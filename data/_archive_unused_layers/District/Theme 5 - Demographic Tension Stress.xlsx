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data\District\"/>
    </mc:Choice>
  </mc:AlternateContent>
  <xr:revisionPtr revIDLastSave="0" documentId="13_ncr:1_{58B9054F-0B3B-437B-B22E-A87D78590B3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3" sheetId="6" r:id="rId1"/>
    <sheet name="Master Sheet" sheetId="5" r:id="rId2"/>
    <sheet name="DISTRICT" sheetId="7" r:id="rId3"/>
    <sheet name="DF_Calculation" sheetId="1" r:id="rId4"/>
    <sheet name="Sheet2" sheetId="4" r:id="rId5"/>
    <sheet name="Prediction Model Variable H" sheetId="3" r:id="rId6"/>
    <sheet name="Sheet1" sheetId="2" r:id="rId7"/>
  </sheets>
  <definedNames>
    <definedName name="_xlnm._FilterDatabase" localSheetId="3" hidden="1">DF_Calculation!$A$1:$K$1628</definedName>
    <definedName name="_xlnm._FilterDatabase" localSheetId="1" hidden="1">'Master Sheet'!$A$1:$N$1</definedName>
  </definedNames>
  <calcPr calcId="191028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5" l="1" a="1"/>
  <c r="P4" i="5" s="1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/>
  <c r="J39" i="5"/>
  <c r="K39" i="5" s="1"/>
  <c r="J40" i="5"/>
  <c r="K40" i="5" s="1"/>
  <c r="J41" i="5"/>
  <c r="K41" i="5"/>
  <c r="J42" i="5"/>
  <c r="K42" i="5" s="1"/>
  <c r="J43" i="5"/>
  <c r="K43" i="5" s="1"/>
  <c r="J44" i="5"/>
  <c r="K44" i="5" s="1"/>
  <c r="J45" i="5"/>
  <c r="K45" i="5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/>
  <c r="J58" i="5"/>
  <c r="K58" i="5" s="1"/>
  <c r="J59" i="5"/>
  <c r="K59" i="5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/>
  <c r="J100" i="5"/>
  <c r="K100" i="5" s="1"/>
  <c r="J101" i="5"/>
  <c r="K101" i="5" s="1"/>
  <c r="J102" i="5"/>
  <c r="K102" i="5" s="1"/>
  <c r="J103" i="5"/>
  <c r="K103" i="5" s="1"/>
  <c r="J104" i="5"/>
  <c r="K104" i="5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/>
  <c r="J111" i="5"/>
  <c r="K111" i="5" s="1"/>
  <c r="J112" i="5"/>
  <c r="K112" i="5" s="1"/>
  <c r="J113" i="5"/>
  <c r="K113" i="5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/>
  <c r="J147" i="5"/>
  <c r="K147" i="5" s="1"/>
  <c r="J148" i="5"/>
  <c r="K148" i="5" s="1"/>
  <c r="J149" i="5"/>
  <c r="K149" i="5"/>
  <c r="J150" i="5"/>
  <c r="K150" i="5" s="1"/>
  <c r="J151" i="5"/>
  <c r="K151" i="5" s="1"/>
  <c r="J152" i="5"/>
  <c r="K152" i="5" s="1"/>
  <c r="J153" i="5"/>
  <c r="K153" i="5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/>
  <c r="J280" i="5"/>
  <c r="K280" i="5" s="1"/>
  <c r="J281" i="5"/>
  <c r="K281" i="5" s="1"/>
  <c r="J282" i="5"/>
  <c r="K282" i="5"/>
  <c r="J283" i="5"/>
  <c r="K283" i="5" s="1"/>
  <c r="J284" i="5"/>
  <c r="K284" i="5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/>
  <c r="J355" i="5"/>
  <c r="K355" i="5" s="1"/>
  <c r="J356" i="5"/>
  <c r="K356" i="5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J467" i="5"/>
  <c r="K467" i="5" s="1"/>
  <c r="J468" i="5"/>
  <c r="K468" i="5" s="1"/>
  <c r="J469" i="5"/>
  <c r="K469" i="5" s="1"/>
  <c r="J470" i="5"/>
  <c r="K470" i="5" s="1"/>
  <c r="J471" i="5"/>
  <c r="K471" i="5"/>
  <c r="J472" i="5"/>
  <c r="K472" i="5" s="1"/>
  <c r="J473" i="5"/>
  <c r="K473" i="5" s="1"/>
  <c r="J474" i="5"/>
  <c r="K474" i="5" s="1"/>
  <c r="J475" i="5"/>
  <c r="K475" i="5" s="1"/>
  <c r="J476" i="5"/>
  <c r="K476" i="5" s="1"/>
  <c r="J477" i="5"/>
  <c r="K477" i="5" s="1"/>
  <c r="J478" i="5"/>
  <c r="K478" i="5" s="1"/>
  <c r="J479" i="5"/>
  <c r="K479" i="5" s="1"/>
  <c r="J480" i="5"/>
  <c r="K480" i="5" s="1"/>
  <c r="J481" i="5"/>
  <c r="K481" i="5" s="1"/>
  <c r="J482" i="5"/>
  <c r="K482" i="5" s="1"/>
  <c r="J483" i="5"/>
  <c r="K483" i="5" s="1"/>
  <c r="J484" i="5"/>
  <c r="K484" i="5" s="1"/>
  <c r="J485" i="5"/>
  <c r="K485" i="5" s="1"/>
  <c r="J486" i="5"/>
  <c r="K486" i="5" s="1"/>
  <c r="J487" i="5"/>
  <c r="K487" i="5" s="1"/>
  <c r="J488" i="5"/>
  <c r="K488" i="5"/>
  <c r="J489" i="5"/>
  <c r="K489" i="5" s="1"/>
  <c r="J490" i="5"/>
  <c r="K490" i="5" s="1"/>
  <c r="J491" i="5"/>
  <c r="K491" i="5" s="1"/>
  <c r="J492" i="5"/>
  <c r="K492" i="5" s="1"/>
  <c r="J493" i="5"/>
  <c r="K493" i="5" s="1"/>
  <c r="J494" i="5"/>
  <c r="K494" i="5" s="1"/>
  <c r="J495" i="5"/>
  <c r="K495" i="5" s="1"/>
  <c r="J496" i="5"/>
  <c r="K496" i="5" s="1"/>
  <c r="J497" i="5"/>
  <c r="K497" i="5" s="1"/>
  <c r="J498" i="5"/>
  <c r="K498" i="5" s="1"/>
  <c r="J499" i="5"/>
  <c r="K499" i="5" s="1"/>
  <c r="J500" i="5"/>
  <c r="K500" i="5"/>
  <c r="J501" i="5"/>
  <c r="K501" i="5" s="1"/>
  <c r="J502" i="5"/>
  <c r="K502" i="5" s="1"/>
  <c r="J503" i="5"/>
  <c r="K503" i="5" s="1"/>
  <c r="J504" i="5"/>
  <c r="K504" i="5" s="1"/>
  <c r="J505" i="5"/>
  <c r="K505" i="5" s="1"/>
  <c r="J506" i="5"/>
  <c r="K506" i="5" s="1"/>
  <c r="J507" i="5"/>
  <c r="K507" i="5" s="1"/>
  <c r="J508" i="5"/>
  <c r="K508" i="5" s="1"/>
  <c r="J509" i="5"/>
  <c r="K509" i="5"/>
  <c r="J510" i="5"/>
  <c r="K510" i="5" s="1"/>
  <c r="J511" i="5"/>
  <c r="K511" i="5" s="1"/>
  <c r="J512" i="5"/>
  <c r="K512" i="5" s="1"/>
  <c r="J513" i="5"/>
  <c r="K513" i="5" s="1"/>
  <c r="J514" i="5"/>
  <c r="K514" i="5" s="1"/>
  <c r="J515" i="5"/>
  <c r="K515" i="5" s="1"/>
  <c r="J516" i="5"/>
  <c r="K516" i="5"/>
  <c r="J517" i="5"/>
  <c r="K517" i="5" s="1"/>
  <c r="J518" i="5"/>
  <c r="K518" i="5" s="1"/>
  <c r="J519" i="5"/>
  <c r="K519" i="5" s="1"/>
  <c r="J520" i="5"/>
  <c r="K520" i="5" s="1"/>
  <c r="J521" i="5"/>
  <c r="K521" i="5" s="1"/>
  <c r="J522" i="5"/>
  <c r="K522" i="5" s="1"/>
  <c r="J523" i="5"/>
  <c r="K523" i="5" s="1"/>
  <c r="J524" i="5"/>
  <c r="K524" i="5" s="1"/>
  <c r="J525" i="5"/>
  <c r="K525" i="5"/>
  <c r="J526" i="5"/>
  <c r="K526" i="5" s="1"/>
  <c r="J527" i="5"/>
  <c r="K527" i="5" s="1"/>
  <c r="J528" i="5"/>
  <c r="K528" i="5"/>
  <c r="J529" i="5"/>
  <c r="K529" i="5" s="1"/>
  <c r="J530" i="5"/>
  <c r="K530" i="5" s="1"/>
  <c r="J531" i="5"/>
  <c r="K531" i="5" s="1"/>
  <c r="J532" i="5"/>
  <c r="K532" i="5" s="1"/>
  <c r="J533" i="5"/>
  <c r="K533" i="5" s="1"/>
  <c r="J534" i="5"/>
  <c r="K534" i="5" s="1"/>
  <c r="J535" i="5"/>
  <c r="K535" i="5" s="1"/>
  <c r="J536" i="5"/>
  <c r="K536" i="5" s="1"/>
  <c r="J537" i="5"/>
  <c r="K537" i="5" s="1"/>
  <c r="J538" i="5"/>
  <c r="K538" i="5" s="1"/>
  <c r="J539" i="5"/>
  <c r="K539" i="5" s="1"/>
  <c r="J540" i="5"/>
  <c r="K540" i="5"/>
  <c r="J541" i="5"/>
  <c r="K541" i="5" s="1"/>
  <c r="J542" i="5"/>
  <c r="K542" i="5" s="1"/>
  <c r="J543" i="5"/>
  <c r="K543" i="5" s="1"/>
  <c r="J544" i="5"/>
  <c r="K544" i="5"/>
  <c r="J545" i="5"/>
  <c r="K545" i="5" s="1"/>
  <c r="J546" i="5"/>
  <c r="K546" i="5" s="1"/>
  <c r="J547" i="5"/>
  <c r="K547" i="5"/>
  <c r="J548" i="5"/>
  <c r="K548" i="5" s="1"/>
  <c r="J549" i="5"/>
  <c r="K549" i="5" s="1"/>
  <c r="J550" i="5"/>
  <c r="K550" i="5" s="1"/>
  <c r="J551" i="5"/>
  <c r="K551" i="5" s="1"/>
  <c r="J552" i="5"/>
  <c r="K552" i="5" s="1"/>
  <c r="J553" i="5"/>
  <c r="K553" i="5" s="1"/>
  <c r="J554" i="5"/>
  <c r="K554" i="5" s="1"/>
  <c r="J555" i="5"/>
  <c r="K555" i="5" s="1"/>
  <c r="J556" i="5"/>
  <c r="K556" i="5" s="1"/>
  <c r="J557" i="5"/>
  <c r="K557" i="5" s="1"/>
  <c r="J558" i="5"/>
  <c r="K558" i="5"/>
  <c r="J559" i="5"/>
  <c r="K559" i="5" s="1"/>
  <c r="J560" i="5"/>
  <c r="K560" i="5" s="1"/>
  <c r="J561" i="5"/>
  <c r="K561" i="5" s="1"/>
  <c r="J562" i="5"/>
  <c r="K562" i="5" s="1"/>
  <c r="J563" i="5"/>
  <c r="K563" i="5" s="1"/>
  <c r="J564" i="5"/>
  <c r="K564" i="5" s="1"/>
  <c r="J565" i="5"/>
  <c r="K565" i="5" s="1"/>
  <c r="J566" i="5"/>
  <c r="K566" i="5" s="1"/>
  <c r="J567" i="5"/>
  <c r="K567" i="5" s="1"/>
  <c r="J568" i="5"/>
  <c r="K568" i="5" s="1"/>
  <c r="J569" i="5"/>
  <c r="K569" i="5" s="1"/>
  <c r="J570" i="5"/>
  <c r="K570" i="5"/>
  <c r="J571" i="5"/>
  <c r="K571" i="5" s="1"/>
  <c r="J572" i="5"/>
  <c r="K572" i="5" s="1"/>
  <c r="J573" i="5"/>
  <c r="K573" i="5" s="1"/>
  <c r="J574" i="5"/>
  <c r="K574" i="5" s="1"/>
  <c r="J575" i="5"/>
  <c r="K575" i="5" s="1"/>
  <c r="J576" i="5"/>
  <c r="K576" i="5" s="1"/>
  <c r="J577" i="5"/>
  <c r="K577" i="5" s="1"/>
  <c r="J578" i="5"/>
  <c r="K578" i="5" s="1"/>
  <c r="J579" i="5"/>
  <c r="K579" i="5" s="1"/>
  <c r="J580" i="5"/>
  <c r="K580" i="5" s="1"/>
  <c r="J581" i="5"/>
  <c r="K581" i="5" s="1"/>
  <c r="J582" i="5"/>
  <c r="K582" i="5" s="1"/>
  <c r="J583" i="5"/>
  <c r="K583" i="5" s="1"/>
  <c r="J584" i="5"/>
  <c r="K584" i="5" s="1"/>
  <c r="J585" i="5"/>
  <c r="K585" i="5" s="1"/>
  <c r="J586" i="5"/>
  <c r="K586" i="5" s="1"/>
  <c r="J587" i="5"/>
  <c r="K587" i="5" s="1"/>
  <c r="J588" i="5"/>
  <c r="K588" i="5"/>
  <c r="J589" i="5"/>
  <c r="K589" i="5" s="1"/>
  <c r="J590" i="5"/>
  <c r="K590" i="5" s="1"/>
  <c r="J591" i="5"/>
  <c r="K591" i="5"/>
  <c r="J592" i="5"/>
  <c r="K592" i="5"/>
  <c r="J593" i="5"/>
  <c r="K593" i="5" s="1"/>
  <c r="J594" i="5"/>
  <c r="K594" i="5" s="1"/>
  <c r="J595" i="5"/>
  <c r="K595" i="5" s="1"/>
  <c r="J596" i="5"/>
  <c r="K596" i="5" s="1"/>
  <c r="J597" i="5"/>
  <c r="K597" i="5" s="1"/>
  <c r="J598" i="5"/>
  <c r="K598" i="5"/>
  <c r="J599" i="5"/>
  <c r="K599" i="5" s="1"/>
  <c r="J600" i="5"/>
  <c r="K600" i="5" s="1"/>
  <c r="J601" i="5"/>
  <c r="K601" i="5" s="1"/>
  <c r="J602" i="5"/>
  <c r="K602" i="5" s="1"/>
  <c r="J603" i="5"/>
  <c r="K603" i="5" s="1"/>
  <c r="J604" i="5"/>
  <c r="K604" i="5" s="1"/>
  <c r="J605" i="5"/>
  <c r="K605" i="5" s="1"/>
  <c r="J606" i="5"/>
  <c r="K606" i="5"/>
  <c r="J607" i="5"/>
  <c r="K607" i="5"/>
  <c r="J608" i="5"/>
  <c r="K608" i="5" s="1"/>
  <c r="J609" i="5"/>
  <c r="K609" i="5" s="1"/>
  <c r="J610" i="5"/>
  <c r="K610" i="5"/>
  <c r="J611" i="5"/>
  <c r="K611" i="5" s="1"/>
  <c r="J612" i="5"/>
  <c r="K612" i="5" s="1"/>
  <c r="J613" i="5"/>
  <c r="K613" i="5" s="1"/>
  <c r="J614" i="5"/>
  <c r="K614" i="5" s="1"/>
  <c r="J615" i="5"/>
  <c r="K615" i="5" s="1"/>
  <c r="J616" i="5"/>
  <c r="K616" i="5" s="1"/>
  <c r="J617" i="5"/>
  <c r="K617" i="5" s="1"/>
  <c r="J618" i="5"/>
  <c r="K618" i="5" s="1"/>
  <c r="J619" i="5"/>
  <c r="K619" i="5" s="1"/>
  <c r="J620" i="5"/>
  <c r="K620" i="5" s="1"/>
  <c r="J621" i="5"/>
  <c r="K621" i="5" s="1"/>
  <c r="J622" i="5"/>
  <c r="K622" i="5" s="1"/>
  <c r="J623" i="5"/>
  <c r="K623" i="5" s="1"/>
  <c r="J624" i="5"/>
  <c r="K624" i="5" s="1"/>
  <c r="J625" i="5"/>
  <c r="K625" i="5" s="1"/>
  <c r="J626" i="5"/>
  <c r="K626" i="5" s="1"/>
  <c r="J627" i="5"/>
  <c r="K627" i="5" s="1"/>
  <c r="J628" i="5"/>
  <c r="K628" i="5"/>
  <c r="J629" i="5"/>
  <c r="K629" i="5" s="1"/>
  <c r="J630" i="5"/>
  <c r="K630" i="5" s="1"/>
  <c r="J631" i="5"/>
  <c r="K631" i="5" s="1"/>
  <c r="J632" i="5"/>
  <c r="K632" i="5" s="1"/>
  <c r="J633" i="5"/>
  <c r="K633" i="5" s="1"/>
  <c r="J634" i="5"/>
  <c r="K634" i="5" s="1"/>
  <c r="J635" i="5"/>
  <c r="K635" i="5" s="1"/>
  <c r="J636" i="5"/>
  <c r="K636" i="5"/>
  <c r="J637" i="5"/>
  <c r="K637" i="5" s="1"/>
  <c r="J638" i="5"/>
  <c r="K638" i="5" s="1"/>
  <c r="J639" i="5"/>
  <c r="K639" i="5" s="1"/>
  <c r="J640" i="5"/>
  <c r="K640" i="5" s="1"/>
  <c r="J641" i="5"/>
  <c r="K641" i="5" s="1"/>
  <c r="J642" i="5"/>
  <c r="K642" i="5" s="1"/>
  <c r="J643" i="5"/>
  <c r="K643" i="5"/>
  <c r="J644" i="5"/>
  <c r="K644" i="5" s="1"/>
  <c r="J645" i="5"/>
  <c r="K645" i="5" s="1"/>
  <c r="J646" i="5"/>
  <c r="K646" i="5" s="1"/>
  <c r="J647" i="5"/>
  <c r="K647" i="5" s="1"/>
  <c r="J648" i="5"/>
  <c r="K648" i="5" s="1"/>
  <c r="J649" i="5"/>
  <c r="K649" i="5" s="1"/>
  <c r="J650" i="5"/>
  <c r="K650" i="5" s="1"/>
  <c r="J651" i="5"/>
  <c r="K651" i="5" s="1"/>
  <c r="J652" i="5"/>
  <c r="K652" i="5" s="1"/>
  <c r="J653" i="5"/>
  <c r="K653" i="5" s="1"/>
  <c r="J654" i="5"/>
  <c r="K654" i="5" s="1"/>
  <c r="J655" i="5"/>
  <c r="K655" i="5" s="1"/>
  <c r="J656" i="5"/>
  <c r="K656" i="5" s="1"/>
  <c r="J657" i="5"/>
  <c r="K657" i="5" s="1"/>
  <c r="J658" i="5"/>
  <c r="K658" i="5"/>
  <c r="J659" i="5"/>
  <c r="K659" i="5" s="1"/>
  <c r="J660" i="5"/>
  <c r="K660" i="5" s="1"/>
  <c r="J661" i="5"/>
  <c r="K661" i="5"/>
  <c r="J662" i="5"/>
  <c r="K662" i="5" s="1"/>
  <c r="J663" i="5"/>
  <c r="K663" i="5"/>
  <c r="J664" i="5"/>
  <c r="K664" i="5" s="1"/>
  <c r="J665" i="5"/>
  <c r="K665" i="5" s="1"/>
  <c r="J666" i="5"/>
  <c r="K666" i="5" s="1"/>
  <c r="J667" i="5"/>
  <c r="K667" i="5"/>
  <c r="J668" i="5"/>
  <c r="K668" i="5" s="1"/>
  <c r="J669" i="5"/>
  <c r="K669" i="5" s="1"/>
  <c r="J670" i="5"/>
  <c r="K670" i="5" s="1"/>
  <c r="J671" i="5"/>
  <c r="K671" i="5" s="1"/>
  <c r="J672" i="5"/>
  <c r="K672" i="5" s="1"/>
  <c r="J673" i="5"/>
  <c r="K673" i="5"/>
  <c r="J674" i="5"/>
  <c r="K674" i="5" s="1"/>
  <c r="J675" i="5"/>
  <c r="K675" i="5" s="1"/>
  <c r="J676" i="5"/>
  <c r="K676" i="5" s="1"/>
  <c r="J677" i="5"/>
  <c r="K677" i="5" s="1"/>
  <c r="J678" i="5"/>
  <c r="K678" i="5" s="1"/>
  <c r="J679" i="5"/>
  <c r="K679" i="5" s="1"/>
  <c r="J680" i="5"/>
  <c r="K680" i="5" s="1"/>
  <c r="J681" i="5"/>
  <c r="K681" i="5" s="1"/>
  <c r="J682" i="5"/>
  <c r="K682" i="5" s="1"/>
  <c r="J683" i="5"/>
  <c r="K683" i="5" s="1"/>
  <c r="J684" i="5"/>
  <c r="K684" i="5" s="1"/>
  <c r="J685" i="5"/>
  <c r="K685" i="5" s="1"/>
  <c r="J686" i="5"/>
  <c r="K686" i="5" s="1"/>
  <c r="J687" i="5"/>
  <c r="K687" i="5" s="1"/>
  <c r="J688" i="5"/>
  <c r="K688" i="5" s="1"/>
  <c r="J689" i="5"/>
  <c r="K689" i="5" s="1"/>
  <c r="J690" i="5"/>
  <c r="K690" i="5" s="1"/>
  <c r="J691" i="5"/>
  <c r="K691" i="5" s="1"/>
  <c r="J692" i="5"/>
  <c r="K692" i="5" s="1"/>
  <c r="J693" i="5"/>
  <c r="K693" i="5" s="1"/>
  <c r="J694" i="5"/>
  <c r="K694" i="5" s="1"/>
  <c r="J695" i="5"/>
  <c r="K695" i="5" s="1"/>
  <c r="J696" i="5"/>
  <c r="K696" i="5" s="1"/>
  <c r="J697" i="5"/>
  <c r="K697" i="5" s="1"/>
  <c r="J698" i="5"/>
  <c r="K698" i="5" s="1"/>
  <c r="J699" i="5"/>
  <c r="K699" i="5"/>
  <c r="J700" i="5"/>
  <c r="K700" i="5" s="1"/>
  <c r="J701" i="5"/>
  <c r="K701" i="5" s="1"/>
  <c r="J702" i="5"/>
  <c r="K702" i="5" s="1"/>
  <c r="J703" i="5"/>
  <c r="K703" i="5" s="1"/>
  <c r="J704" i="5"/>
  <c r="K704" i="5" s="1"/>
  <c r="J705" i="5"/>
  <c r="K705" i="5" s="1"/>
  <c r="J706" i="5"/>
  <c r="K706" i="5" s="1"/>
  <c r="J707" i="5"/>
  <c r="K707" i="5" s="1"/>
  <c r="J708" i="5"/>
  <c r="K708" i="5" s="1"/>
  <c r="J709" i="5"/>
  <c r="K709" i="5" s="1"/>
  <c r="J710" i="5"/>
  <c r="K710" i="5" s="1"/>
  <c r="J711" i="5"/>
  <c r="K711" i="5" s="1"/>
  <c r="J712" i="5"/>
  <c r="K712" i="5" s="1"/>
  <c r="J713" i="5"/>
  <c r="K713" i="5" s="1"/>
  <c r="J714" i="5"/>
  <c r="K714" i="5" s="1"/>
  <c r="J715" i="5"/>
  <c r="K715" i="5" s="1"/>
  <c r="J716" i="5"/>
  <c r="K716" i="5" s="1"/>
  <c r="J717" i="5"/>
  <c r="K717" i="5" s="1"/>
  <c r="J718" i="5"/>
  <c r="K718" i="5" s="1"/>
  <c r="J719" i="5"/>
  <c r="K719" i="5" s="1"/>
  <c r="J720" i="5"/>
  <c r="K720" i="5" s="1"/>
  <c r="J721" i="5"/>
  <c r="K721" i="5" s="1"/>
  <c r="J722" i="5"/>
  <c r="K722" i="5" s="1"/>
  <c r="J723" i="5"/>
  <c r="K723" i="5"/>
  <c r="J724" i="5"/>
  <c r="K724" i="5" s="1"/>
  <c r="J725" i="5"/>
  <c r="K725" i="5" s="1"/>
  <c r="J726" i="5"/>
  <c r="K726" i="5" s="1"/>
  <c r="J727" i="5"/>
  <c r="K727" i="5" s="1"/>
  <c r="J728" i="5"/>
  <c r="K728" i="5" s="1"/>
  <c r="J729" i="5"/>
  <c r="K729" i="5" s="1"/>
  <c r="J730" i="5"/>
  <c r="K730" i="5" s="1"/>
  <c r="J731" i="5"/>
  <c r="K731" i="5" s="1"/>
  <c r="J732" i="5"/>
  <c r="K732" i="5" s="1"/>
  <c r="J733" i="5"/>
  <c r="K733" i="5" s="1"/>
  <c r="J734" i="5"/>
  <c r="K734" i="5" s="1"/>
  <c r="J735" i="5"/>
  <c r="K735" i="5" s="1"/>
  <c r="J736" i="5"/>
  <c r="K736" i="5"/>
  <c r="J737" i="5"/>
  <c r="K737" i="5" s="1"/>
  <c r="J738" i="5"/>
  <c r="K738" i="5" s="1"/>
  <c r="J739" i="5"/>
  <c r="K739" i="5" s="1"/>
  <c r="J740" i="5"/>
  <c r="K740" i="5" s="1"/>
  <c r="J741" i="5"/>
  <c r="K741" i="5"/>
  <c r="J742" i="5"/>
  <c r="K742" i="5" s="1"/>
  <c r="J743" i="5"/>
  <c r="K743" i="5" s="1"/>
  <c r="J744" i="5"/>
  <c r="K744" i="5" s="1"/>
  <c r="J745" i="5"/>
  <c r="K745" i="5" s="1"/>
  <c r="J746" i="5"/>
  <c r="K746" i="5" s="1"/>
  <c r="J747" i="5"/>
  <c r="K747" i="5" s="1"/>
  <c r="J748" i="5"/>
  <c r="K748" i="5" s="1"/>
  <c r="J749" i="5"/>
  <c r="K749" i="5" s="1"/>
  <c r="J750" i="5"/>
  <c r="K750" i="5" s="1"/>
  <c r="J751" i="5"/>
  <c r="K751" i="5" s="1"/>
  <c r="J752" i="5"/>
  <c r="K752" i="5" s="1"/>
  <c r="J753" i="5"/>
  <c r="K753" i="5"/>
  <c r="J754" i="5"/>
  <c r="K754" i="5" s="1"/>
  <c r="J755" i="5"/>
  <c r="K755" i="5" s="1"/>
  <c r="J756" i="5"/>
  <c r="K756" i="5" s="1"/>
  <c r="J757" i="5"/>
  <c r="K757" i="5" s="1"/>
  <c r="J758" i="5"/>
  <c r="K758" i="5" s="1"/>
  <c r="J759" i="5"/>
  <c r="K759" i="5" s="1"/>
  <c r="J760" i="5"/>
  <c r="K760" i="5" s="1"/>
  <c r="J761" i="5"/>
  <c r="K761" i="5" s="1"/>
  <c r="J762" i="5"/>
  <c r="K762" i="5" s="1"/>
  <c r="J763" i="5"/>
  <c r="K763" i="5" s="1"/>
  <c r="J764" i="5"/>
  <c r="K764" i="5" s="1"/>
  <c r="J765" i="5"/>
  <c r="K765" i="5" s="1"/>
  <c r="J766" i="5"/>
  <c r="K766" i="5" s="1"/>
  <c r="J767" i="5"/>
  <c r="K767" i="5" s="1"/>
  <c r="J768" i="5"/>
  <c r="K768" i="5" s="1"/>
  <c r="J769" i="5"/>
  <c r="K769" i="5" s="1"/>
  <c r="J770" i="5"/>
  <c r="K770" i="5" s="1"/>
  <c r="J771" i="5"/>
  <c r="K771" i="5" s="1"/>
  <c r="J772" i="5"/>
  <c r="K772" i="5" s="1"/>
  <c r="J773" i="5"/>
  <c r="K773" i="5" s="1"/>
  <c r="J774" i="5"/>
  <c r="K774" i="5" s="1"/>
  <c r="J775" i="5"/>
  <c r="K775" i="5" s="1"/>
  <c r="J776" i="5"/>
  <c r="K776" i="5" s="1"/>
  <c r="J777" i="5"/>
  <c r="K777" i="5" s="1"/>
  <c r="J778" i="5"/>
  <c r="K778" i="5" s="1"/>
  <c r="J779" i="5"/>
  <c r="K779" i="5" s="1"/>
  <c r="J780" i="5"/>
  <c r="K780" i="5" s="1"/>
  <c r="J781" i="5"/>
  <c r="K781" i="5" s="1"/>
  <c r="J782" i="5"/>
  <c r="K782" i="5" s="1"/>
  <c r="J783" i="5"/>
  <c r="K783" i="5" s="1"/>
  <c r="J784" i="5"/>
  <c r="K784" i="5" s="1"/>
  <c r="J785" i="5"/>
  <c r="K785" i="5" s="1"/>
  <c r="J786" i="5"/>
  <c r="K786" i="5" s="1"/>
  <c r="J787" i="5"/>
  <c r="K787" i="5" s="1"/>
  <c r="J788" i="5"/>
  <c r="K788" i="5" s="1"/>
  <c r="J789" i="5"/>
  <c r="K789" i="5" s="1"/>
  <c r="J790" i="5"/>
  <c r="K790" i="5" s="1"/>
  <c r="J791" i="5"/>
  <c r="K791" i="5" s="1"/>
  <c r="J792" i="5"/>
  <c r="K792" i="5" s="1"/>
  <c r="J793" i="5"/>
  <c r="K793" i="5" s="1"/>
  <c r="J794" i="5"/>
  <c r="K794" i="5" s="1"/>
  <c r="J795" i="5"/>
  <c r="K795" i="5"/>
  <c r="J796" i="5"/>
  <c r="K796" i="5" s="1"/>
  <c r="J797" i="5"/>
  <c r="K797" i="5" s="1"/>
  <c r="J798" i="5"/>
  <c r="K798" i="5" s="1"/>
  <c r="J799" i="5"/>
  <c r="K799" i="5" s="1"/>
  <c r="J800" i="5"/>
  <c r="K800" i="5" s="1"/>
  <c r="J801" i="5"/>
  <c r="K801" i="5" s="1"/>
  <c r="J802" i="5"/>
  <c r="K802" i="5" s="1"/>
  <c r="J803" i="5"/>
  <c r="K803" i="5" s="1"/>
  <c r="J804" i="5"/>
  <c r="K804" i="5" s="1"/>
  <c r="J805" i="5"/>
  <c r="K805" i="5" s="1"/>
  <c r="J806" i="5"/>
  <c r="K806" i="5" s="1"/>
  <c r="J807" i="5"/>
  <c r="K807" i="5" s="1"/>
  <c r="J808" i="5"/>
  <c r="K808" i="5" s="1"/>
  <c r="J809" i="5"/>
  <c r="K809" i="5" s="1"/>
  <c r="J810" i="5"/>
  <c r="K810" i="5" s="1"/>
  <c r="J811" i="5"/>
  <c r="K811" i="5" s="1"/>
  <c r="J812" i="5"/>
  <c r="K812" i="5" s="1"/>
  <c r="J813" i="5"/>
  <c r="K813" i="5" s="1"/>
  <c r="J814" i="5"/>
  <c r="K814" i="5" s="1"/>
  <c r="J815" i="5"/>
  <c r="K815" i="5" s="1"/>
  <c r="J816" i="5"/>
  <c r="K816" i="5" s="1"/>
  <c r="J817" i="5"/>
  <c r="K817" i="5" s="1"/>
  <c r="J818" i="5"/>
  <c r="K818" i="5" s="1"/>
  <c r="J819" i="5"/>
  <c r="K819" i="5" s="1"/>
  <c r="J820" i="5"/>
  <c r="K820" i="5" s="1"/>
  <c r="J821" i="5"/>
  <c r="K821" i="5" s="1"/>
  <c r="J822" i="5"/>
  <c r="K822" i="5" s="1"/>
  <c r="J823" i="5"/>
  <c r="K823" i="5" s="1"/>
  <c r="J824" i="5"/>
  <c r="K824" i="5" s="1"/>
  <c r="J825" i="5"/>
  <c r="K825" i="5" s="1"/>
  <c r="J826" i="5"/>
  <c r="K826" i="5" s="1"/>
  <c r="J827" i="5"/>
  <c r="K827" i="5" s="1"/>
  <c r="J828" i="5"/>
  <c r="K828" i="5" s="1"/>
  <c r="J829" i="5"/>
  <c r="K829" i="5" s="1"/>
  <c r="J830" i="5"/>
  <c r="K830" i="5" s="1"/>
  <c r="J831" i="5"/>
  <c r="K831" i="5" s="1"/>
  <c r="J832" i="5"/>
  <c r="K832" i="5" s="1"/>
  <c r="J833" i="5"/>
  <c r="K833" i="5" s="1"/>
  <c r="J834" i="5"/>
  <c r="K834" i="5" s="1"/>
  <c r="J835" i="5"/>
  <c r="K835" i="5" s="1"/>
  <c r="J836" i="5"/>
  <c r="K836" i="5" s="1"/>
  <c r="J837" i="5"/>
  <c r="K837" i="5" s="1"/>
  <c r="J838" i="5"/>
  <c r="K838" i="5" s="1"/>
  <c r="J839" i="5"/>
  <c r="K839" i="5" s="1"/>
  <c r="J840" i="5"/>
  <c r="K840" i="5" s="1"/>
  <c r="J841" i="5"/>
  <c r="K841" i="5" s="1"/>
  <c r="J842" i="5"/>
  <c r="K842" i="5" s="1"/>
  <c r="J843" i="5"/>
  <c r="K843" i="5" s="1"/>
  <c r="J844" i="5"/>
  <c r="K844" i="5" s="1"/>
  <c r="J845" i="5"/>
  <c r="K845" i="5" s="1"/>
  <c r="J846" i="5"/>
  <c r="K846" i="5" s="1"/>
  <c r="J847" i="5"/>
  <c r="K847" i="5" s="1"/>
  <c r="J848" i="5"/>
  <c r="K848" i="5" s="1"/>
  <c r="J849" i="5"/>
  <c r="K849" i="5" s="1"/>
  <c r="J850" i="5"/>
  <c r="K850" i="5" s="1"/>
  <c r="J851" i="5"/>
  <c r="K851" i="5" s="1"/>
  <c r="J852" i="5"/>
  <c r="K852" i="5" s="1"/>
  <c r="J853" i="5"/>
  <c r="K853" i="5" s="1"/>
  <c r="J854" i="5"/>
  <c r="K854" i="5" s="1"/>
  <c r="J855" i="5"/>
  <c r="K855" i="5" s="1"/>
  <c r="J856" i="5"/>
  <c r="K856" i="5"/>
  <c r="J857" i="5"/>
  <c r="K857" i="5" s="1"/>
  <c r="J858" i="5"/>
  <c r="K858" i="5" s="1"/>
  <c r="J859" i="5"/>
  <c r="K859" i="5" s="1"/>
  <c r="J860" i="5"/>
  <c r="K860" i="5" s="1"/>
  <c r="J861" i="5"/>
  <c r="K861" i="5" s="1"/>
  <c r="J862" i="5"/>
  <c r="K862" i="5" s="1"/>
  <c r="J863" i="5"/>
  <c r="K863" i="5" s="1"/>
  <c r="J864" i="5"/>
  <c r="K864" i="5" s="1"/>
  <c r="J865" i="5"/>
  <c r="K865" i="5" s="1"/>
  <c r="J866" i="5"/>
  <c r="K866" i="5" s="1"/>
  <c r="J867" i="5"/>
  <c r="K867" i="5"/>
  <c r="J868" i="5"/>
  <c r="K868" i="5" s="1"/>
  <c r="J869" i="5"/>
  <c r="K869" i="5" s="1"/>
  <c r="J870" i="5"/>
  <c r="K870" i="5" s="1"/>
  <c r="J871" i="5"/>
  <c r="K871" i="5" s="1"/>
  <c r="J872" i="5"/>
  <c r="K872" i="5" s="1"/>
  <c r="J873" i="5"/>
  <c r="K873" i="5"/>
  <c r="J874" i="5"/>
  <c r="K874" i="5" s="1"/>
  <c r="J875" i="5"/>
  <c r="K875" i="5" s="1"/>
  <c r="J876" i="5"/>
  <c r="K876" i="5" s="1"/>
  <c r="J877" i="5"/>
  <c r="K877" i="5" s="1"/>
  <c r="J878" i="5"/>
  <c r="K878" i="5" s="1"/>
  <c r="J879" i="5"/>
  <c r="K879" i="5" s="1"/>
  <c r="J880" i="5"/>
  <c r="K880" i="5" s="1"/>
  <c r="J881" i="5"/>
  <c r="K881" i="5" s="1"/>
  <c r="J882" i="5"/>
  <c r="K882" i="5" s="1"/>
  <c r="J883" i="5"/>
  <c r="K883" i="5" s="1"/>
  <c r="J884" i="5"/>
  <c r="K884" i="5" s="1"/>
  <c r="J885" i="5"/>
  <c r="K885" i="5" s="1"/>
  <c r="J886" i="5"/>
  <c r="K886" i="5" s="1"/>
  <c r="J887" i="5"/>
  <c r="K887" i="5" s="1"/>
  <c r="J888" i="5"/>
  <c r="K888" i="5" s="1"/>
  <c r="J889" i="5"/>
  <c r="K889" i="5" s="1"/>
  <c r="J890" i="5"/>
  <c r="K890" i="5" s="1"/>
  <c r="J891" i="5"/>
  <c r="K891" i="5" s="1"/>
  <c r="J892" i="5"/>
  <c r="K892" i="5" s="1"/>
  <c r="J893" i="5"/>
  <c r="K893" i="5" s="1"/>
  <c r="J894" i="5"/>
  <c r="K894" i="5" s="1"/>
  <c r="J895" i="5"/>
  <c r="K895" i="5" s="1"/>
  <c r="J896" i="5"/>
  <c r="K896" i="5" s="1"/>
  <c r="J897" i="5"/>
  <c r="K897" i="5" s="1"/>
  <c r="J898" i="5"/>
  <c r="K898" i="5" s="1"/>
  <c r="J899" i="5"/>
  <c r="K899" i="5" s="1"/>
  <c r="J900" i="5"/>
  <c r="K900" i="5" s="1"/>
  <c r="J901" i="5"/>
  <c r="K901" i="5" s="1"/>
  <c r="J902" i="5"/>
  <c r="K902" i="5" s="1"/>
  <c r="J903" i="5"/>
  <c r="K903" i="5" s="1"/>
  <c r="J904" i="5"/>
  <c r="K904" i="5" s="1"/>
  <c r="J905" i="5"/>
  <c r="K905" i="5" s="1"/>
  <c r="J906" i="5"/>
  <c r="K906" i="5" s="1"/>
  <c r="J907" i="5"/>
  <c r="K907" i="5" s="1"/>
  <c r="J908" i="5"/>
  <c r="K908" i="5" s="1"/>
  <c r="J909" i="5"/>
  <c r="K909" i="5" s="1"/>
  <c r="J910" i="5"/>
  <c r="K910" i="5" s="1"/>
  <c r="J911" i="5"/>
  <c r="K911" i="5" s="1"/>
  <c r="J912" i="5"/>
  <c r="K912" i="5" s="1"/>
  <c r="J913" i="5"/>
  <c r="K913" i="5" s="1"/>
  <c r="J914" i="5"/>
  <c r="K914" i="5" s="1"/>
  <c r="J915" i="5"/>
  <c r="K915" i="5" s="1"/>
  <c r="J916" i="5"/>
  <c r="K916" i="5" s="1"/>
  <c r="J917" i="5"/>
  <c r="K917" i="5" s="1"/>
  <c r="J918" i="5"/>
  <c r="K918" i="5" s="1"/>
  <c r="J919" i="5"/>
  <c r="K919" i="5" s="1"/>
  <c r="J920" i="5"/>
  <c r="K920" i="5" s="1"/>
  <c r="J921" i="5"/>
  <c r="K921" i="5" s="1"/>
  <c r="J922" i="5"/>
  <c r="K922" i="5" s="1"/>
  <c r="J923" i="5"/>
  <c r="K923" i="5" s="1"/>
  <c r="J924" i="5"/>
  <c r="K924" i="5" s="1"/>
  <c r="J925" i="5"/>
  <c r="K925" i="5" s="1"/>
  <c r="J926" i="5"/>
  <c r="K926" i="5" s="1"/>
  <c r="J927" i="5"/>
  <c r="K927" i="5" s="1"/>
  <c r="J928" i="5"/>
  <c r="K928" i="5" s="1"/>
  <c r="J929" i="5"/>
  <c r="K929" i="5" s="1"/>
  <c r="J930" i="5"/>
  <c r="K930" i="5" s="1"/>
  <c r="J931" i="5"/>
  <c r="K931" i="5" s="1"/>
  <c r="J932" i="5"/>
  <c r="K932" i="5" s="1"/>
  <c r="J933" i="5"/>
  <c r="K933" i="5" s="1"/>
  <c r="J934" i="5"/>
  <c r="K934" i="5" s="1"/>
  <c r="J935" i="5"/>
  <c r="K935" i="5" s="1"/>
  <c r="J936" i="5"/>
  <c r="K936" i="5" s="1"/>
  <c r="J937" i="5"/>
  <c r="K937" i="5" s="1"/>
  <c r="J938" i="5"/>
  <c r="K938" i="5" s="1"/>
  <c r="J939" i="5"/>
  <c r="K939" i="5" s="1"/>
  <c r="J940" i="5"/>
  <c r="K940" i="5" s="1"/>
  <c r="J941" i="5"/>
  <c r="K941" i="5" s="1"/>
  <c r="J942" i="5"/>
  <c r="K942" i="5" s="1"/>
  <c r="J943" i="5"/>
  <c r="K943" i="5" s="1"/>
  <c r="J944" i="5"/>
  <c r="K944" i="5" s="1"/>
  <c r="J945" i="5"/>
  <c r="K945" i="5"/>
  <c r="J946" i="5"/>
  <c r="K946" i="5" s="1"/>
  <c r="J947" i="5"/>
  <c r="K947" i="5" s="1"/>
  <c r="J948" i="5"/>
  <c r="K948" i="5" s="1"/>
  <c r="J949" i="5"/>
  <c r="K949" i="5" s="1"/>
  <c r="J950" i="5"/>
  <c r="K950" i="5" s="1"/>
  <c r="J951" i="5"/>
  <c r="K951" i="5" s="1"/>
  <c r="J952" i="5"/>
  <c r="K952" i="5" s="1"/>
  <c r="J953" i="5"/>
  <c r="K953" i="5" s="1"/>
  <c r="J954" i="5"/>
  <c r="K954" i="5" s="1"/>
  <c r="J955" i="5"/>
  <c r="K955" i="5" s="1"/>
  <c r="J956" i="5"/>
  <c r="K956" i="5" s="1"/>
  <c r="J957" i="5"/>
  <c r="K957" i="5"/>
  <c r="J958" i="5"/>
  <c r="K958" i="5" s="1"/>
  <c r="J959" i="5"/>
  <c r="K959" i="5" s="1"/>
  <c r="J960" i="5"/>
  <c r="K960" i="5" s="1"/>
  <c r="J961" i="5"/>
  <c r="K961" i="5" s="1"/>
  <c r="J962" i="5"/>
  <c r="K962" i="5" s="1"/>
  <c r="J963" i="5"/>
  <c r="K963" i="5" s="1"/>
  <c r="J964" i="5"/>
  <c r="K964" i="5" s="1"/>
  <c r="J965" i="5"/>
  <c r="K965" i="5" s="1"/>
  <c r="J966" i="5"/>
  <c r="K966" i="5" s="1"/>
  <c r="J967" i="5"/>
  <c r="K967" i="5" s="1"/>
  <c r="J968" i="5"/>
  <c r="K968" i="5" s="1"/>
  <c r="J969" i="5"/>
  <c r="K969" i="5" s="1"/>
  <c r="J970" i="5"/>
  <c r="K970" i="5" s="1"/>
  <c r="J971" i="5"/>
  <c r="K971" i="5" s="1"/>
  <c r="J972" i="5"/>
  <c r="K972" i="5" s="1"/>
  <c r="J973" i="5"/>
  <c r="K973" i="5" s="1"/>
  <c r="J974" i="5"/>
  <c r="K974" i="5" s="1"/>
  <c r="J975" i="5"/>
  <c r="K975" i="5" s="1"/>
  <c r="J976" i="5"/>
  <c r="K976" i="5" s="1"/>
  <c r="J977" i="5"/>
  <c r="K977" i="5" s="1"/>
  <c r="J978" i="5"/>
  <c r="K978" i="5" s="1"/>
  <c r="J979" i="5"/>
  <c r="K979" i="5" s="1"/>
  <c r="J980" i="5"/>
  <c r="K980" i="5" s="1"/>
  <c r="J981" i="5"/>
  <c r="K981" i="5" s="1"/>
  <c r="J982" i="5"/>
  <c r="K982" i="5" s="1"/>
  <c r="J983" i="5"/>
  <c r="K983" i="5" s="1"/>
  <c r="J984" i="5"/>
  <c r="K984" i="5" s="1"/>
  <c r="J985" i="5"/>
  <c r="K985" i="5" s="1"/>
  <c r="J986" i="5"/>
  <c r="K986" i="5" s="1"/>
  <c r="J987" i="5"/>
  <c r="K987" i="5" s="1"/>
  <c r="J988" i="5"/>
  <c r="K988" i="5" s="1"/>
  <c r="J989" i="5"/>
  <c r="K989" i="5" s="1"/>
  <c r="J990" i="5"/>
  <c r="K990" i="5" s="1"/>
  <c r="J991" i="5"/>
  <c r="K991" i="5" s="1"/>
  <c r="J992" i="5"/>
  <c r="K992" i="5" s="1"/>
  <c r="J993" i="5"/>
  <c r="K993" i="5" s="1"/>
  <c r="J994" i="5"/>
  <c r="K994" i="5" s="1"/>
  <c r="J995" i="5"/>
  <c r="K995" i="5" s="1"/>
  <c r="J996" i="5"/>
  <c r="K996" i="5" s="1"/>
  <c r="J997" i="5"/>
  <c r="K997" i="5" s="1"/>
  <c r="J998" i="5"/>
  <c r="K998" i="5" s="1"/>
  <c r="J999" i="5"/>
  <c r="K999" i="5" s="1"/>
  <c r="J1000" i="5"/>
  <c r="K1000" i="5" s="1"/>
  <c r="J1001" i="5"/>
  <c r="K1001" i="5" s="1"/>
  <c r="J1002" i="5"/>
  <c r="K1002" i="5" s="1"/>
  <c r="J1003" i="5"/>
  <c r="K1003" i="5" s="1"/>
  <c r="J1004" i="5"/>
  <c r="K1004" i="5" s="1"/>
  <c r="J1005" i="5"/>
  <c r="K1005" i="5" s="1"/>
  <c r="J1006" i="5"/>
  <c r="K1006" i="5" s="1"/>
  <c r="J1007" i="5"/>
  <c r="K1007" i="5" s="1"/>
  <c r="J1008" i="5"/>
  <c r="K1008" i="5" s="1"/>
  <c r="J1009" i="5"/>
  <c r="K1009" i="5" s="1"/>
  <c r="J1010" i="5"/>
  <c r="K1010" i="5" s="1"/>
  <c r="J1011" i="5"/>
  <c r="K1011" i="5" s="1"/>
  <c r="J1012" i="5"/>
  <c r="K1012" i="5" s="1"/>
  <c r="J1013" i="5"/>
  <c r="K1013" i="5" s="1"/>
  <c r="J1014" i="5"/>
  <c r="K1014" i="5" s="1"/>
  <c r="J1015" i="5"/>
  <c r="K1015" i="5" s="1"/>
  <c r="J1016" i="5"/>
  <c r="K1016" i="5" s="1"/>
  <c r="J1017" i="5"/>
  <c r="K1017" i="5"/>
  <c r="J1018" i="5"/>
  <c r="K1018" i="5" s="1"/>
  <c r="J1019" i="5"/>
  <c r="K1019" i="5" s="1"/>
  <c r="J1020" i="5"/>
  <c r="K1020" i="5" s="1"/>
  <c r="J1021" i="5"/>
  <c r="K1021" i="5" s="1"/>
  <c r="J1022" i="5"/>
  <c r="K1022" i="5" s="1"/>
  <c r="J1023" i="5"/>
  <c r="K1023" i="5" s="1"/>
  <c r="J1024" i="5"/>
  <c r="K1024" i="5" s="1"/>
  <c r="J1025" i="5"/>
  <c r="K1025" i="5" s="1"/>
  <c r="J1026" i="5"/>
  <c r="K1026" i="5" s="1"/>
  <c r="J1027" i="5"/>
  <c r="K1027" i="5" s="1"/>
  <c r="J1028" i="5"/>
  <c r="K1028" i="5" s="1"/>
  <c r="J1029" i="5"/>
  <c r="K1029" i="5" s="1"/>
  <c r="J1030" i="5"/>
  <c r="K1030" i="5" s="1"/>
  <c r="J1031" i="5"/>
  <c r="K1031" i="5" s="1"/>
  <c r="J1032" i="5"/>
  <c r="K1032" i="5" s="1"/>
  <c r="J1033" i="5"/>
  <c r="K1033" i="5" s="1"/>
  <c r="J1034" i="5"/>
  <c r="K1034" i="5" s="1"/>
  <c r="J1035" i="5"/>
  <c r="K1035" i="5" s="1"/>
  <c r="J1036" i="5"/>
  <c r="K1036" i="5" s="1"/>
  <c r="J1037" i="5"/>
  <c r="K1037" i="5" s="1"/>
  <c r="J1038" i="5"/>
  <c r="K1038" i="5" s="1"/>
  <c r="J1039" i="5"/>
  <c r="K1039" i="5" s="1"/>
  <c r="J1040" i="5"/>
  <c r="K1040" i="5" s="1"/>
  <c r="J1041" i="5"/>
  <c r="K1041" i="5" s="1"/>
  <c r="J1042" i="5"/>
  <c r="K1042" i="5" s="1"/>
  <c r="J1043" i="5"/>
  <c r="K1043" i="5" s="1"/>
  <c r="J1044" i="5"/>
  <c r="K1044" i="5" s="1"/>
  <c r="J1045" i="5"/>
  <c r="K1045" i="5" s="1"/>
  <c r="J1046" i="5"/>
  <c r="K1046" i="5" s="1"/>
  <c r="J1047" i="5"/>
  <c r="K1047" i="5" s="1"/>
  <c r="J1048" i="5"/>
  <c r="K1048" i="5" s="1"/>
  <c r="J1049" i="5"/>
  <c r="K1049" i="5" s="1"/>
  <c r="J1050" i="5"/>
  <c r="K1050" i="5" s="1"/>
  <c r="J1051" i="5"/>
  <c r="K1051" i="5" s="1"/>
  <c r="J1052" i="5"/>
  <c r="K1052" i="5" s="1"/>
  <c r="J1053" i="5"/>
  <c r="K1053" i="5" s="1"/>
  <c r="J1054" i="5"/>
  <c r="K1054" i="5" s="1"/>
  <c r="J1055" i="5"/>
  <c r="K1055" i="5" s="1"/>
  <c r="J1056" i="5"/>
  <c r="K1056" i="5" s="1"/>
  <c r="J1057" i="5"/>
  <c r="K1057" i="5" s="1"/>
  <c r="J1058" i="5"/>
  <c r="K1058" i="5" s="1"/>
  <c r="J1059" i="5"/>
  <c r="K1059" i="5" s="1"/>
  <c r="J1060" i="5"/>
  <c r="K1060" i="5" s="1"/>
  <c r="J1061" i="5"/>
  <c r="K1061" i="5" s="1"/>
  <c r="J1062" i="5"/>
  <c r="K1062" i="5" s="1"/>
  <c r="J1063" i="5"/>
  <c r="K1063" i="5" s="1"/>
  <c r="J1064" i="5"/>
  <c r="K1064" i="5" s="1"/>
  <c r="J1065" i="5"/>
  <c r="K1065" i="5"/>
  <c r="J1066" i="5"/>
  <c r="K1066" i="5" s="1"/>
  <c r="J1067" i="5"/>
  <c r="K1067" i="5" s="1"/>
  <c r="J1068" i="5"/>
  <c r="K1068" i="5" s="1"/>
  <c r="J1069" i="5"/>
  <c r="K1069" i="5" s="1"/>
  <c r="J1070" i="5"/>
  <c r="K1070" i="5" s="1"/>
  <c r="J1071" i="5"/>
  <c r="K1071" i="5" s="1"/>
  <c r="J1072" i="5"/>
  <c r="K1072" i="5"/>
  <c r="J1073" i="5"/>
  <c r="K1073" i="5" s="1"/>
  <c r="J1074" i="5"/>
  <c r="K1074" i="5" s="1"/>
  <c r="J1075" i="5"/>
  <c r="K1075" i="5" s="1"/>
  <c r="J1076" i="5"/>
  <c r="K1076" i="5" s="1"/>
  <c r="J1077" i="5"/>
  <c r="K1077" i="5" s="1"/>
  <c r="J1078" i="5"/>
  <c r="K1078" i="5" s="1"/>
  <c r="J1079" i="5"/>
  <c r="K1079" i="5" s="1"/>
  <c r="J1080" i="5"/>
  <c r="K1080" i="5" s="1"/>
  <c r="J1081" i="5"/>
  <c r="K1081" i="5" s="1"/>
  <c r="J1082" i="5"/>
  <c r="K1082" i="5" s="1"/>
  <c r="J1083" i="5"/>
  <c r="K1083" i="5"/>
  <c r="J1084" i="5"/>
  <c r="K1084" i="5" s="1"/>
  <c r="J1085" i="5"/>
  <c r="K1085" i="5" s="1"/>
  <c r="J1086" i="5"/>
  <c r="K1086" i="5" s="1"/>
  <c r="J1087" i="5"/>
  <c r="K1087" i="5" s="1"/>
  <c r="J1088" i="5"/>
  <c r="K1088" i="5" s="1"/>
  <c r="J1089" i="5"/>
  <c r="K1089" i="5"/>
  <c r="J1090" i="5"/>
  <c r="K1090" i="5" s="1"/>
  <c r="J1091" i="5"/>
  <c r="K1091" i="5" s="1"/>
  <c r="J1092" i="5"/>
  <c r="K1092" i="5" s="1"/>
  <c r="J1093" i="5"/>
  <c r="K1093" i="5" s="1"/>
  <c r="J1094" i="5"/>
  <c r="K1094" i="5" s="1"/>
  <c r="J1095" i="5"/>
  <c r="K1095" i="5" s="1"/>
  <c r="J1096" i="5"/>
  <c r="K1096" i="5" s="1"/>
  <c r="J1097" i="5"/>
  <c r="K1097" i="5" s="1"/>
  <c r="J1098" i="5"/>
  <c r="K1098" i="5" s="1"/>
  <c r="J1099" i="5"/>
  <c r="K1099" i="5" s="1"/>
  <c r="J1100" i="5"/>
  <c r="K1100" i="5" s="1"/>
  <c r="J1101" i="5"/>
  <c r="K1101" i="5" s="1"/>
  <c r="J1102" i="5"/>
  <c r="K1102" i="5" s="1"/>
  <c r="J1103" i="5"/>
  <c r="K1103" i="5" s="1"/>
  <c r="J1104" i="5"/>
  <c r="K1104" i="5" s="1"/>
  <c r="J1105" i="5"/>
  <c r="K1105" i="5" s="1"/>
  <c r="J1106" i="5"/>
  <c r="K1106" i="5" s="1"/>
  <c r="J1107" i="5"/>
  <c r="K1107" i="5" s="1"/>
  <c r="J1108" i="5"/>
  <c r="K1108" i="5" s="1"/>
  <c r="J1109" i="5"/>
  <c r="K1109" i="5" s="1"/>
  <c r="J1110" i="5"/>
  <c r="K1110" i="5" s="1"/>
  <c r="J1111" i="5"/>
  <c r="K1111" i="5" s="1"/>
  <c r="J1112" i="5"/>
  <c r="K1112" i="5" s="1"/>
  <c r="J1113" i="5"/>
  <c r="K1113" i="5" s="1"/>
  <c r="J1114" i="5"/>
  <c r="K1114" i="5" s="1"/>
  <c r="J1115" i="5"/>
  <c r="K1115" i="5" s="1"/>
  <c r="J1116" i="5"/>
  <c r="K1116" i="5" s="1"/>
  <c r="J1117" i="5"/>
  <c r="K1117" i="5" s="1"/>
  <c r="J1118" i="5"/>
  <c r="K1118" i="5" s="1"/>
  <c r="J1119" i="5"/>
  <c r="K1119" i="5" s="1"/>
  <c r="J1120" i="5"/>
  <c r="K1120" i="5" s="1"/>
  <c r="J1121" i="5"/>
  <c r="K1121" i="5" s="1"/>
  <c r="J1122" i="5"/>
  <c r="K1122" i="5" s="1"/>
  <c r="J1123" i="5"/>
  <c r="K1123" i="5" s="1"/>
  <c r="J1124" i="5"/>
  <c r="K1124" i="5" s="1"/>
  <c r="J1125" i="5"/>
  <c r="K1125" i="5" s="1"/>
  <c r="J1126" i="5"/>
  <c r="K1126" i="5" s="1"/>
  <c r="J1127" i="5"/>
  <c r="K1127" i="5" s="1"/>
  <c r="J1128" i="5"/>
  <c r="K1128" i="5" s="1"/>
  <c r="J1129" i="5"/>
  <c r="K1129" i="5" s="1"/>
  <c r="J1130" i="5"/>
  <c r="K1130" i="5" s="1"/>
  <c r="J1131" i="5"/>
  <c r="K1131" i="5" s="1"/>
  <c r="J1132" i="5"/>
  <c r="K1132" i="5" s="1"/>
  <c r="J1133" i="5"/>
  <c r="K1133" i="5" s="1"/>
  <c r="J1134" i="5"/>
  <c r="K1134" i="5" s="1"/>
  <c r="J1135" i="5"/>
  <c r="K1135" i="5" s="1"/>
  <c r="J1136" i="5"/>
  <c r="K1136" i="5" s="1"/>
  <c r="J1137" i="5"/>
  <c r="K1137" i="5" s="1"/>
  <c r="J1138" i="5"/>
  <c r="K1138" i="5" s="1"/>
  <c r="J1139" i="5"/>
  <c r="K1139" i="5" s="1"/>
  <c r="J1140" i="5"/>
  <c r="K1140" i="5" s="1"/>
  <c r="J1141" i="5"/>
  <c r="K1141" i="5" s="1"/>
  <c r="J1142" i="5"/>
  <c r="K1142" i="5" s="1"/>
  <c r="J1143" i="5"/>
  <c r="K1143" i="5" s="1"/>
  <c r="J1144" i="5"/>
  <c r="K1144" i="5"/>
  <c r="J1145" i="5"/>
  <c r="K1145" i="5" s="1"/>
  <c r="J1146" i="5"/>
  <c r="K1146" i="5" s="1"/>
  <c r="J1147" i="5"/>
  <c r="K1147" i="5" s="1"/>
  <c r="J1148" i="5"/>
  <c r="K1148" i="5" s="1"/>
  <c r="J1149" i="5"/>
  <c r="K1149" i="5"/>
  <c r="J1150" i="5"/>
  <c r="K1150" i="5" s="1"/>
  <c r="J1151" i="5"/>
  <c r="K1151" i="5" s="1"/>
  <c r="J1152" i="5"/>
  <c r="K1152" i="5" s="1"/>
  <c r="J1153" i="5"/>
  <c r="K1153" i="5" s="1"/>
  <c r="J1154" i="5"/>
  <c r="K1154" i="5" s="1"/>
  <c r="J1155" i="5"/>
  <c r="K1155" i="5" s="1"/>
  <c r="J1156" i="5"/>
  <c r="K1156" i="5" s="1"/>
  <c r="J1157" i="5"/>
  <c r="K1157" i="5" s="1"/>
  <c r="J1158" i="5"/>
  <c r="K1158" i="5" s="1"/>
  <c r="J1159" i="5"/>
  <c r="K1159" i="5" s="1"/>
  <c r="J1160" i="5"/>
  <c r="K1160" i="5" s="1"/>
  <c r="J1161" i="5"/>
  <c r="K1161" i="5" s="1"/>
  <c r="J1162" i="5"/>
  <c r="K1162" i="5" s="1"/>
  <c r="J1163" i="5"/>
  <c r="K1163" i="5" s="1"/>
  <c r="J1164" i="5"/>
  <c r="K1164" i="5" s="1"/>
  <c r="J1165" i="5"/>
  <c r="K1165" i="5" s="1"/>
  <c r="J1166" i="5"/>
  <c r="K1166" i="5" s="1"/>
  <c r="J1167" i="5"/>
  <c r="K1167" i="5" s="1"/>
  <c r="J1168" i="5"/>
  <c r="K1168" i="5" s="1"/>
  <c r="J1169" i="5"/>
  <c r="K1169" i="5" s="1"/>
  <c r="J1170" i="5"/>
  <c r="K1170" i="5" s="1"/>
  <c r="J1171" i="5"/>
  <c r="K1171" i="5" s="1"/>
  <c r="J1172" i="5"/>
  <c r="K1172" i="5" s="1"/>
  <c r="J1173" i="5"/>
  <c r="K1173" i="5" s="1"/>
  <c r="J1174" i="5"/>
  <c r="K1174" i="5" s="1"/>
  <c r="J1175" i="5"/>
  <c r="K1175" i="5" s="1"/>
  <c r="J1176" i="5"/>
  <c r="K1176" i="5" s="1"/>
  <c r="J1177" i="5"/>
  <c r="K1177" i="5" s="1"/>
  <c r="J1178" i="5"/>
  <c r="K1178" i="5" s="1"/>
  <c r="J1179" i="5"/>
  <c r="K1179" i="5" s="1"/>
  <c r="J1180" i="5"/>
  <c r="K1180" i="5" s="1"/>
  <c r="J1181" i="5"/>
  <c r="K1181" i="5" s="1"/>
  <c r="J1182" i="5"/>
  <c r="K1182" i="5" s="1"/>
  <c r="J1183" i="5"/>
  <c r="K1183" i="5" s="1"/>
  <c r="J1184" i="5"/>
  <c r="K1184" i="5" s="1"/>
  <c r="J1185" i="5"/>
  <c r="K1185" i="5" s="1"/>
  <c r="J1186" i="5"/>
  <c r="K1186" i="5" s="1"/>
  <c r="J1187" i="5"/>
  <c r="K1187" i="5" s="1"/>
  <c r="J1188" i="5"/>
  <c r="K1188" i="5" s="1"/>
  <c r="J1189" i="5"/>
  <c r="K1189" i="5" s="1"/>
  <c r="J1190" i="5"/>
  <c r="K1190" i="5" s="1"/>
  <c r="J1191" i="5"/>
  <c r="K1191" i="5" s="1"/>
  <c r="J1192" i="5"/>
  <c r="K1192" i="5" s="1"/>
  <c r="J1193" i="5"/>
  <c r="K1193" i="5" s="1"/>
  <c r="J1194" i="5"/>
  <c r="K1194" i="5" s="1"/>
  <c r="J1195" i="5"/>
  <c r="K1195" i="5" s="1"/>
  <c r="J1196" i="5"/>
  <c r="K1196" i="5" s="1"/>
  <c r="J1197" i="5"/>
  <c r="K1197" i="5"/>
  <c r="J1198" i="5"/>
  <c r="K1198" i="5"/>
  <c r="J1199" i="5"/>
  <c r="K1199" i="5" s="1"/>
  <c r="J1200" i="5"/>
  <c r="K1200" i="5" s="1"/>
  <c r="J1201" i="5"/>
  <c r="K1201" i="5" s="1"/>
  <c r="J1202" i="5"/>
  <c r="K1202" i="5" s="1"/>
  <c r="J1203" i="5"/>
  <c r="K1203" i="5" s="1"/>
  <c r="J1204" i="5"/>
  <c r="K1204" i="5" s="1"/>
  <c r="J1205" i="5"/>
  <c r="K1205" i="5" s="1"/>
  <c r="J1206" i="5"/>
  <c r="K1206" i="5" s="1"/>
  <c r="J1207" i="5"/>
  <c r="K1207" i="5" s="1"/>
  <c r="J1208" i="5"/>
  <c r="K1208" i="5" s="1"/>
  <c r="J1209" i="5"/>
  <c r="K1209" i="5" s="1"/>
  <c r="J1210" i="5"/>
  <c r="K1210" i="5" s="1"/>
  <c r="J1211" i="5"/>
  <c r="K1211" i="5" s="1"/>
  <c r="J1212" i="5"/>
  <c r="K1212" i="5" s="1"/>
  <c r="J1213" i="5"/>
  <c r="K1213" i="5" s="1"/>
  <c r="J1214" i="5"/>
  <c r="K1214" i="5" s="1"/>
  <c r="J1215" i="5"/>
  <c r="K1215" i="5" s="1"/>
  <c r="J1216" i="5"/>
  <c r="K1216" i="5" s="1"/>
  <c r="J1217" i="5"/>
  <c r="K1217" i="5" s="1"/>
  <c r="J1218" i="5"/>
  <c r="K1218" i="5" s="1"/>
  <c r="J1219" i="5"/>
  <c r="K1219" i="5" s="1"/>
  <c r="J1220" i="5"/>
  <c r="K1220" i="5" s="1"/>
  <c r="J1221" i="5"/>
  <c r="K1221" i="5"/>
  <c r="J1222" i="5"/>
  <c r="K1222" i="5" s="1"/>
  <c r="J1223" i="5"/>
  <c r="K1223" i="5" s="1"/>
  <c r="J1224" i="5"/>
  <c r="K1224" i="5" s="1"/>
  <c r="J1225" i="5"/>
  <c r="K1225" i="5" s="1"/>
  <c r="J1226" i="5"/>
  <c r="K1226" i="5" s="1"/>
  <c r="J1227" i="5"/>
  <c r="K1227" i="5"/>
  <c r="J1228" i="5"/>
  <c r="K1228" i="5" s="1"/>
  <c r="J1229" i="5"/>
  <c r="K1229" i="5" s="1"/>
  <c r="J1230" i="5"/>
  <c r="K1230" i="5" s="1"/>
  <c r="J1231" i="5"/>
  <c r="K1231" i="5" s="1"/>
  <c r="J1232" i="5"/>
  <c r="K1232" i="5" s="1"/>
  <c r="J1233" i="5"/>
  <c r="K1233" i="5" s="1"/>
  <c r="J1234" i="5"/>
  <c r="K1234" i="5"/>
  <c r="J1235" i="5"/>
  <c r="K1235" i="5" s="1"/>
  <c r="J1236" i="5"/>
  <c r="K1236" i="5" s="1"/>
  <c r="J1237" i="5"/>
  <c r="K1237" i="5" s="1"/>
  <c r="J1238" i="5"/>
  <c r="K1238" i="5" s="1"/>
  <c r="J1239" i="5"/>
  <c r="K1239" i="5" s="1"/>
  <c r="J1240" i="5"/>
  <c r="K1240" i="5" s="1"/>
  <c r="J1241" i="5"/>
  <c r="K1241" i="5" s="1"/>
  <c r="J1242" i="5"/>
  <c r="K1242" i="5" s="1"/>
  <c r="J1243" i="5"/>
  <c r="K1243" i="5" s="1"/>
  <c r="J1244" i="5"/>
  <c r="K1244" i="5" s="1"/>
  <c r="J1245" i="5"/>
  <c r="K1245" i="5" s="1"/>
  <c r="J1246" i="5"/>
  <c r="K1246" i="5" s="1"/>
  <c r="J1247" i="5"/>
  <c r="K1247" i="5" s="1"/>
  <c r="J1248" i="5"/>
  <c r="K1248" i="5" s="1"/>
  <c r="J1249" i="5"/>
  <c r="K1249" i="5" s="1"/>
  <c r="J1250" i="5"/>
  <c r="K1250" i="5" s="1"/>
  <c r="J1251" i="5"/>
  <c r="K1251" i="5" s="1"/>
  <c r="J1252" i="5"/>
  <c r="K1252" i="5" s="1"/>
  <c r="J1253" i="5"/>
  <c r="K1253" i="5" s="1"/>
  <c r="J1254" i="5"/>
  <c r="K1254" i="5" s="1"/>
  <c r="J1255" i="5"/>
  <c r="K1255" i="5" s="1"/>
  <c r="J1256" i="5"/>
  <c r="K1256" i="5" s="1"/>
  <c r="J1257" i="5"/>
  <c r="K1257" i="5" s="1"/>
  <c r="J1258" i="5"/>
  <c r="K1258" i="5" s="1"/>
  <c r="J1259" i="5"/>
  <c r="K1259" i="5" s="1"/>
  <c r="J1260" i="5"/>
  <c r="K1260" i="5" s="1"/>
  <c r="J1261" i="5"/>
  <c r="K1261" i="5" s="1"/>
  <c r="J1262" i="5"/>
  <c r="K1262" i="5" s="1"/>
  <c r="J1263" i="5"/>
  <c r="K1263" i="5" s="1"/>
  <c r="J1264" i="5"/>
  <c r="K1264" i="5" s="1"/>
  <c r="J1265" i="5"/>
  <c r="K1265" i="5" s="1"/>
  <c r="J1266" i="5"/>
  <c r="K1266" i="5" s="1"/>
  <c r="J1267" i="5"/>
  <c r="K1267" i="5" s="1"/>
  <c r="J1268" i="5"/>
  <c r="K1268" i="5" s="1"/>
  <c r="J1269" i="5"/>
  <c r="K1269" i="5"/>
  <c r="J1270" i="5"/>
  <c r="K1270" i="5" s="1"/>
  <c r="J1271" i="5"/>
  <c r="K1271" i="5" s="1"/>
  <c r="J1272" i="5"/>
  <c r="K1272" i="5" s="1"/>
  <c r="J1273" i="5"/>
  <c r="K1273" i="5" s="1"/>
  <c r="J1274" i="5"/>
  <c r="K1274" i="5" s="1"/>
  <c r="J1275" i="5"/>
  <c r="K1275" i="5" s="1"/>
  <c r="J1276" i="5"/>
  <c r="K1276" i="5" s="1"/>
  <c r="J1277" i="5"/>
  <c r="K1277" i="5" s="1"/>
  <c r="J1278" i="5"/>
  <c r="K1278" i="5" s="1"/>
  <c r="J1279" i="5"/>
  <c r="K1279" i="5" s="1"/>
  <c r="J1280" i="5"/>
  <c r="K1280" i="5" s="1"/>
  <c r="J1281" i="5"/>
  <c r="K1281" i="5" s="1"/>
  <c r="J1282" i="5"/>
  <c r="K1282" i="5" s="1"/>
  <c r="J1283" i="5"/>
  <c r="K1283" i="5" s="1"/>
  <c r="J1284" i="5"/>
  <c r="K1284" i="5" s="1"/>
  <c r="J1285" i="5"/>
  <c r="K1285" i="5" s="1"/>
  <c r="J1286" i="5"/>
  <c r="K1286" i="5" s="1"/>
  <c r="J1287" i="5"/>
  <c r="K1287" i="5" s="1"/>
  <c r="J1288" i="5"/>
  <c r="K1288" i="5" s="1"/>
  <c r="J1289" i="5"/>
  <c r="K1289" i="5" s="1"/>
  <c r="J1290" i="5"/>
  <c r="K1290" i="5" s="1"/>
  <c r="J1291" i="5"/>
  <c r="K1291" i="5" s="1"/>
  <c r="J1292" i="5"/>
  <c r="K1292" i="5" s="1"/>
  <c r="J1293" i="5"/>
  <c r="K1293" i="5" s="1"/>
  <c r="J1294" i="5"/>
  <c r="K1294" i="5" s="1"/>
  <c r="J1295" i="5"/>
  <c r="K1295" i="5" s="1"/>
  <c r="J1296" i="5"/>
  <c r="K1296" i="5" s="1"/>
  <c r="J1297" i="5"/>
  <c r="K1297" i="5" s="1"/>
  <c r="J1298" i="5"/>
  <c r="K1298" i="5" s="1"/>
  <c r="J1299" i="5"/>
  <c r="K1299" i="5" s="1"/>
  <c r="J1300" i="5"/>
  <c r="K1300" i="5" s="1"/>
  <c r="J1301" i="5"/>
  <c r="K1301" i="5" s="1"/>
  <c r="J1302" i="5"/>
  <c r="K1302" i="5" s="1"/>
  <c r="J1303" i="5"/>
  <c r="K1303" i="5" s="1"/>
  <c r="J1304" i="5"/>
  <c r="K1304" i="5" s="1"/>
  <c r="J1305" i="5"/>
  <c r="K1305" i="5"/>
  <c r="J1306" i="5"/>
  <c r="K1306" i="5"/>
  <c r="J1307" i="5"/>
  <c r="K1307" i="5" s="1"/>
  <c r="J1308" i="5"/>
  <c r="K1308" i="5" s="1"/>
  <c r="J1309" i="5"/>
  <c r="K1309" i="5" s="1"/>
  <c r="J1310" i="5"/>
  <c r="K1310" i="5" s="1"/>
  <c r="J1311" i="5"/>
  <c r="K1311" i="5" s="1"/>
  <c r="J1312" i="5"/>
  <c r="K1312" i="5" s="1"/>
  <c r="J1313" i="5"/>
  <c r="K1313" i="5" s="1"/>
  <c r="J1314" i="5"/>
  <c r="K1314" i="5" s="1"/>
  <c r="J1315" i="5"/>
  <c r="K1315" i="5" s="1"/>
  <c r="J1316" i="5"/>
  <c r="K1316" i="5" s="1"/>
  <c r="J1317" i="5"/>
  <c r="K1317" i="5" s="1"/>
  <c r="J1318" i="5"/>
  <c r="K1318" i="5" s="1"/>
  <c r="J1319" i="5"/>
  <c r="K1319" i="5" s="1"/>
  <c r="J1320" i="5"/>
  <c r="K1320" i="5" s="1"/>
  <c r="J1321" i="5"/>
  <c r="K1321" i="5" s="1"/>
  <c r="J1322" i="5"/>
  <c r="K1322" i="5" s="1"/>
  <c r="J1323" i="5"/>
  <c r="K1323" i="5" s="1"/>
  <c r="J1324" i="5"/>
  <c r="K1324" i="5" s="1"/>
  <c r="J1325" i="5"/>
  <c r="K1325" i="5" s="1"/>
  <c r="J1326" i="5"/>
  <c r="K1326" i="5" s="1"/>
  <c r="J1327" i="5"/>
  <c r="K1327" i="5" s="1"/>
  <c r="J1328" i="5"/>
  <c r="K1328" i="5" s="1"/>
  <c r="J1329" i="5"/>
  <c r="K1329" i="5" s="1"/>
  <c r="J1330" i="5"/>
  <c r="K1330" i="5" s="1"/>
  <c r="J1331" i="5"/>
  <c r="K1331" i="5" s="1"/>
  <c r="J1332" i="5"/>
  <c r="K1332" i="5" s="1"/>
  <c r="J1333" i="5"/>
  <c r="K1333" i="5" s="1"/>
  <c r="J1334" i="5"/>
  <c r="K1334" i="5" s="1"/>
  <c r="J1335" i="5"/>
  <c r="K1335" i="5" s="1"/>
  <c r="J1336" i="5"/>
  <c r="K1336" i="5" s="1"/>
  <c r="J1337" i="5"/>
  <c r="K1337" i="5" s="1"/>
  <c r="J1338" i="5"/>
  <c r="K1338" i="5" s="1"/>
  <c r="J1339" i="5"/>
  <c r="K1339" i="5" s="1"/>
  <c r="J1340" i="5"/>
  <c r="K1340" i="5" s="1"/>
  <c r="J1341" i="5"/>
  <c r="K1341" i="5" s="1"/>
  <c r="J1342" i="5"/>
  <c r="K1342" i="5" s="1"/>
  <c r="J1343" i="5"/>
  <c r="K1343" i="5" s="1"/>
  <c r="J1344" i="5"/>
  <c r="K1344" i="5" s="1"/>
  <c r="J1345" i="5"/>
  <c r="K1345" i="5" s="1"/>
  <c r="J1346" i="5"/>
  <c r="K1346" i="5" s="1"/>
  <c r="J1347" i="5"/>
  <c r="K1347" i="5" s="1"/>
  <c r="J1348" i="5"/>
  <c r="K1348" i="5" s="1"/>
  <c r="J1349" i="5"/>
  <c r="K1349" i="5" s="1"/>
  <c r="J1350" i="5"/>
  <c r="K1350" i="5" s="1"/>
  <c r="J1351" i="5"/>
  <c r="K1351" i="5" s="1"/>
  <c r="J1352" i="5"/>
  <c r="K1352" i="5" s="1"/>
  <c r="J1353" i="5"/>
  <c r="K1353" i="5" s="1"/>
  <c r="J1354" i="5"/>
  <c r="K1354" i="5" s="1"/>
  <c r="J1355" i="5"/>
  <c r="K1355" i="5" s="1"/>
  <c r="J1356" i="5"/>
  <c r="K1356" i="5" s="1"/>
  <c r="J1357" i="5"/>
  <c r="K1357" i="5" s="1"/>
  <c r="J1358" i="5"/>
  <c r="K1358" i="5" s="1"/>
  <c r="J1359" i="5"/>
  <c r="K1359" i="5" s="1"/>
  <c r="J1360" i="5"/>
  <c r="K1360" i="5"/>
  <c r="J1361" i="5"/>
  <c r="K1361" i="5" s="1"/>
  <c r="J1362" i="5"/>
  <c r="K1362" i="5" s="1"/>
  <c r="J1363" i="5"/>
  <c r="K1363" i="5" s="1"/>
  <c r="J1364" i="5"/>
  <c r="K1364" i="5" s="1"/>
  <c r="J1365" i="5"/>
  <c r="K1365" i="5" s="1"/>
  <c r="J1366" i="5"/>
  <c r="K1366" i="5" s="1"/>
  <c r="J1367" i="5"/>
  <c r="K1367" i="5" s="1"/>
  <c r="J1368" i="5"/>
  <c r="K1368" i="5" s="1"/>
  <c r="J1369" i="5"/>
  <c r="K1369" i="5" s="1"/>
  <c r="J1370" i="5"/>
  <c r="K1370" i="5" s="1"/>
  <c r="J1371" i="5"/>
  <c r="K1371" i="5" s="1"/>
  <c r="J1372" i="5"/>
  <c r="K1372" i="5" s="1"/>
  <c r="J1373" i="5"/>
  <c r="K1373" i="5" s="1"/>
  <c r="J1374" i="5"/>
  <c r="K1374" i="5" s="1"/>
  <c r="J1375" i="5"/>
  <c r="K1375" i="5" s="1"/>
  <c r="J1376" i="5"/>
  <c r="K1376" i="5" s="1"/>
  <c r="J1377" i="5"/>
  <c r="K1377" i="5" s="1"/>
  <c r="J1378" i="5"/>
  <c r="K1378" i="5" s="1"/>
  <c r="J1379" i="5"/>
  <c r="K1379" i="5" s="1"/>
  <c r="J1380" i="5"/>
  <c r="K1380" i="5" s="1"/>
  <c r="J1381" i="5"/>
  <c r="K1381" i="5" s="1"/>
  <c r="J1382" i="5"/>
  <c r="K1382" i="5" s="1"/>
  <c r="J1383" i="5"/>
  <c r="K1383" i="5" s="1"/>
  <c r="J1384" i="5"/>
  <c r="K1384" i="5" s="1"/>
  <c r="J1385" i="5"/>
  <c r="K1385" i="5" s="1"/>
  <c r="J1386" i="5"/>
  <c r="K1386" i="5" s="1"/>
  <c r="J1387" i="5"/>
  <c r="K1387" i="5" s="1"/>
  <c r="J1388" i="5"/>
  <c r="K1388" i="5" s="1"/>
  <c r="J1389" i="5"/>
  <c r="K1389" i="5" s="1"/>
  <c r="J1390" i="5"/>
  <c r="K1390" i="5" s="1"/>
  <c r="J1391" i="5"/>
  <c r="K1391" i="5" s="1"/>
  <c r="J1392" i="5"/>
  <c r="K1392" i="5" s="1"/>
  <c r="J1393" i="5"/>
  <c r="K1393" i="5" s="1"/>
  <c r="J1394" i="5"/>
  <c r="K1394" i="5" s="1"/>
  <c r="J1395" i="5"/>
  <c r="K1395" i="5" s="1"/>
  <c r="J1396" i="5"/>
  <c r="K1396" i="5" s="1"/>
  <c r="J1397" i="5"/>
  <c r="K1397" i="5" s="1"/>
  <c r="J1398" i="5"/>
  <c r="K1398" i="5" s="1"/>
  <c r="J1399" i="5"/>
  <c r="K1399" i="5" s="1"/>
  <c r="J1400" i="5"/>
  <c r="K1400" i="5" s="1"/>
  <c r="J1401" i="5"/>
  <c r="K1401" i="5" s="1"/>
  <c r="J1402" i="5"/>
  <c r="K1402" i="5" s="1"/>
  <c r="J1403" i="5"/>
  <c r="K1403" i="5" s="1"/>
  <c r="J1404" i="5"/>
  <c r="K1404" i="5" s="1"/>
  <c r="J1405" i="5"/>
  <c r="K1405" i="5" s="1"/>
  <c r="J1406" i="5"/>
  <c r="K1406" i="5" s="1"/>
  <c r="J1407" i="5"/>
  <c r="K1407" i="5" s="1"/>
  <c r="J1408" i="5"/>
  <c r="K1408" i="5" s="1"/>
  <c r="J1409" i="5"/>
  <c r="K1409" i="5" s="1"/>
  <c r="J1410" i="5"/>
  <c r="K1410" i="5" s="1"/>
  <c r="J1411" i="5"/>
  <c r="K1411" i="5" s="1"/>
  <c r="J1412" i="5"/>
  <c r="K1412" i="5" s="1"/>
  <c r="J1413" i="5"/>
  <c r="K1413" i="5" s="1"/>
  <c r="J1414" i="5"/>
  <c r="K1414" i="5" s="1"/>
  <c r="J1415" i="5"/>
  <c r="K1415" i="5" s="1"/>
  <c r="J1416" i="5"/>
  <c r="K1416" i="5" s="1"/>
  <c r="J1417" i="5"/>
  <c r="K1417" i="5" s="1"/>
  <c r="J1418" i="5"/>
  <c r="K1418" i="5" s="1"/>
  <c r="J1419" i="5"/>
  <c r="K1419" i="5" s="1"/>
  <c r="J1420" i="5"/>
  <c r="K1420" i="5" s="1"/>
  <c r="J1421" i="5"/>
  <c r="K1421" i="5" s="1"/>
  <c r="J1422" i="5"/>
  <c r="K1422" i="5" s="1"/>
  <c r="J1423" i="5"/>
  <c r="K1423" i="5" s="1"/>
  <c r="J1424" i="5"/>
  <c r="K1424" i="5" s="1"/>
  <c r="J1425" i="5"/>
  <c r="K1425" i="5" s="1"/>
  <c r="J1426" i="5"/>
  <c r="K1426" i="5" s="1"/>
  <c r="J1427" i="5"/>
  <c r="K1427" i="5" s="1"/>
  <c r="J1428" i="5"/>
  <c r="K1428" i="5" s="1"/>
  <c r="J1429" i="5"/>
  <c r="K1429" i="5" s="1"/>
  <c r="J1430" i="5"/>
  <c r="K1430" i="5" s="1"/>
  <c r="J1431" i="5"/>
  <c r="K1431" i="5" s="1"/>
  <c r="J1432" i="5"/>
  <c r="K1432" i="5" s="1"/>
  <c r="J1433" i="5"/>
  <c r="K1433" i="5" s="1"/>
  <c r="J1434" i="5"/>
  <c r="K1434" i="5" s="1"/>
  <c r="J1435" i="5"/>
  <c r="K1435" i="5" s="1"/>
  <c r="J1436" i="5"/>
  <c r="K1436" i="5" s="1"/>
  <c r="J1437" i="5"/>
  <c r="K1437" i="5" s="1"/>
  <c r="J1438" i="5"/>
  <c r="K1438" i="5" s="1"/>
  <c r="J1439" i="5"/>
  <c r="K1439" i="5" s="1"/>
  <c r="J1440" i="5"/>
  <c r="K1440" i="5" s="1"/>
  <c r="J1441" i="5"/>
  <c r="K1441" i="5" s="1"/>
  <c r="J1442" i="5"/>
  <c r="K1442" i="5" s="1"/>
  <c r="J1443" i="5"/>
  <c r="K1443" i="5" s="1"/>
  <c r="J1444" i="5"/>
  <c r="K1444" i="5" s="1"/>
  <c r="J1445" i="5"/>
  <c r="K1445" i="5" s="1"/>
  <c r="J1446" i="5"/>
  <c r="K1446" i="5" s="1"/>
  <c r="J1447" i="5"/>
  <c r="K1447" i="5" s="1"/>
  <c r="J1448" i="5"/>
  <c r="K1448" i="5" s="1"/>
  <c r="J1449" i="5"/>
  <c r="K1449" i="5" s="1"/>
  <c r="J1450" i="5"/>
  <c r="K1450" i="5" s="1"/>
  <c r="J1451" i="5"/>
  <c r="K1451" i="5" s="1"/>
  <c r="J1452" i="5"/>
  <c r="K1452" i="5" s="1"/>
  <c r="J1453" i="5"/>
  <c r="K1453" i="5" s="1"/>
  <c r="J1454" i="5"/>
  <c r="K1454" i="5" s="1"/>
  <c r="J1455" i="5"/>
  <c r="K1455" i="5" s="1"/>
  <c r="J1456" i="5"/>
  <c r="K1456" i="5" s="1"/>
  <c r="J1457" i="5"/>
  <c r="K1457" i="5" s="1"/>
  <c r="J1458" i="5"/>
  <c r="K1458" i="5" s="1"/>
  <c r="J1459" i="5"/>
  <c r="K1459" i="5" s="1"/>
  <c r="J1460" i="5"/>
  <c r="K1460" i="5" s="1"/>
  <c r="J1461" i="5"/>
  <c r="K1461" i="5" s="1"/>
  <c r="J1462" i="5"/>
  <c r="K1462" i="5" s="1"/>
  <c r="J1463" i="5"/>
  <c r="K1463" i="5" s="1"/>
  <c r="J1464" i="5"/>
  <c r="K1464" i="5" s="1"/>
  <c r="J1465" i="5"/>
  <c r="K1465" i="5" s="1"/>
  <c r="J1466" i="5"/>
  <c r="K1466" i="5" s="1"/>
  <c r="J1467" i="5"/>
  <c r="K1467" i="5" s="1"/>
  <c r="J1468" i="5"/>
  <c r="K1468" i="5" s="1"/>
  <c r="J1469" i="5"/>
  <c r="K1469" i="5" s="1"/>
  <c r="J1470" i="5"/>
  <c r="K1470" i="5" s="1"/>
  <c r="J1471" i="5"/>
  <c r="K1471" i="5" s="1"/>
  <c r="J1472" i="5"/>
  <c r="K1472" i="5" s="1"/>
  <c r="J1473" i="5"/>
  <c r="K1473" i="5" s="1"/>
  <c r="J1474" i="5"/>
  <c r="K1474" i="5" s="1"/>
  <c r="J1475" i="5"/>
  <c r="K1475" i="5" s="1"/>
  <c r="J1476" i="5"/>
  <c r="K1476" i="5" s="1"/>
  <c r="J1477" i="5"/>
  <c r="K1477" i="5" s="1"/>
  <c r="J1478" i="5"/>
  <c r="K1478" i="5" s="1"/>
  <c r="J1479" i="5"/>
  <c r="K1479" i="5" s="1"/>
  <c r="J1480" i="5"/>
  <c r="K1480" i="5" s="1"/>
  <c r="J1481" i="5"/>
  <c r="K1481" i="5" s="1"/>
  <c r="J1482" i="5"/>
  <c r="K1482" i="5" s="1"/>
  <c r="J1483" i="5"/>
  <c r="K1483" i="5" s="1"/>
  <c r="J1484" i="5"/>
  <c r="K1484" i="5" s="1"/>
  <c r="J1485" i="5"/>
  <c r="K1485" i="5" s="1"/>
  <c r="J1486" i="5"/>
  <c r="K1486" i="5" s="1"/>
  <c r="J1487" i="5"/>
  <c r="K1487" i="5" s="1"/>
  <c r="J1488" i="5"/>
  <c r="K1488" i="5" s="1"/>
  <c r="J1489" i="5"/>
  <c r="K1489" i="5" s="1"/>
  <c r="J1490" i="5"/>
  <c r="K1490" i="5" s="1"/>
  <c r="J1491" i="5"/>
  <c r="K1491" i="5" s="1"/>
  <c r="J1492" i="5"/>
  <c r="K1492" i="5" s="1"/>
  <c r="J1493" i="5"/>
  <c r="K1493" i="5" s="1"/>
  <c r="J1494" i="5"/>
  <c r="K1494" i="5" s="1"/>
  <c r="J1495" i="5"/>
  <c r="K1495" i="5" s="1"/>
  <c r="J1496" i="5"/>
  <c r="K1496" i="5" s="1"/>
  <c r="J1497" i="5"/>
  <c r="K1497" i="5" s="1"/>
  <c r="J1498" i="5"/>
  <c r="K1498" i="5" s="1"/>
  <c r="J1499" i="5"/>
  <c r="K1499" i="5" s="1"/>
  <c r="J1500" i="5"/>
  <c r="K1500" i="5" s="1"/>
  <c r="J1501" i="5"/>
  <c r="K1501" i="5" s="1"/>
  <c r="J1502" i="5"/>
  <c r="K1502" i="5" s="1"/>
  <c r="J1503" i="5"/>
  <c r="K1503" i="5" s="1"/>
  <c r="J1504" i="5"/>
  <c r="K1504" i="5" s="1"/>
  <c r="J1505" i="5"/>
  <c r="K1505" i="5" s="1"/>
  <c r="J1506" i="5"/>
  <c r="K1506" i="5" s="1"/>
  <c r="J1507" i="5"/>
  <c r="K1507" i="5" s="1"/>
  <c r="J1508" i="5"/>
  <c r="K1508" i="5" s="1"/>
  <c r="J1509" i="5"/>
  <c r="K1509" i="5" s="1"/>
  <c r="J1510" i="5"/>
  <c r="K1510" i="5" s="1"/>
  <c r="J1511" i="5"/>
  <c r="K1511" i="5" s="1"/>
  <c r="J1512" i="5"/>
  <c r="K1512" i="5" s="1"/>
  <c r="J1513" i="5"/>
  <c r="K1513" i="5" s="1"/>
  <c r="J1514" i="5"/>
  <c r="K1514" i="5" s="1"/>
  <c r="J1515" i="5"/>
  <c r="K1515" i="5" s="1"/>
  <c r="J1516" i="5"/>
  <c r="K1516" i="5" s="1"/>
  <c r="J1517" i="5"/>
  <c r="K1517" i="5" s="1"/>
  <c r="J1518" i="5"/>
  <c r="K1518" i="5" s="1"/>
  <c r="J1519" i="5"/>
  <c r="K1519" i="5" s="1"/>
  <c r="J1520" i="5"/>
  <c r="K1520" i="5" s="1"/>
  <c r="J1521" i="5"/>
  <c r="K1521" i="5" s="1"/>
  <c r="J1522" i="5"/>
  <c r="K1522" i="5" s="1"/>
  <c r="J1523" i="5"/>
  <c r="K1523" i="5" s="1"/>
  <c r="J1524" i="5"/>
  <c r="K1524" i="5" s="1"/>
  <c r="J1525" i="5"/>
  <c r="K1525" i="5" s="1"/>
  <c r="J1526" i="5"/>
  <c r="K1526" i="5" s="1"/>
  <c r="J1527" i="5"/>
  <c r="K1527" i="5" s="1"/>
  <c r="J1528" i="5"/>
  <c r="K1528" i="5" s="1"/>
  <c r="J1529" i="5"/>
  <c r="K1529" i="5" s="1"/>
  <c r="J1530" i="5"/>
  <c r="K1530" i="5" s="1"/>
  <c r="J1531" i="5"/>
  <c r="K1531" i="5" s="1"/>
  <c r="J1532" i="5"/>
  <c r="K1532" i="5" s="1"/>
  <c r="J1533" i="5"/>
  <c r="K1533" i="5" s="1"/>
  <c r="J1534" i="5"/>
  <c r="K1534" i="5" s="1"/>
  <c r="J1535" i="5"/>
  <c r="K1535" i="5" s="1"/>
  <c r="J1536" i="5"/>
  <c r="K1536" i="5" s="1"/>
  <c r="J1537" i="5"/>
  <c r="K1537" i="5" s="1"/>
  <c r="J1538" i="5"/>
  <c r="K1538" i="5" s="1"/>
  <c r="J1539" i="5"/>
  <c r="K1539" i="5" s="1"/>
  <c r="J1540" i="5"/>
  <c r="K1540" i="5" s="1"/>
  <c r="J1541" i="5"/>
  <c r="K1541" i="5" s="1"/>
  <c r="J1542" i="5"/>
  <c r="K1542" i="5" s="1"/>
  <c r="J1543" i="5"/>
  <c r="K1543" i="5" s="1"/>
  <c r="J1544" i="5"/>
  <c r="K1544" i="5" s="1"/>
  <c r="J1545" i="5"/>
  <c r="K1545" i="5" s="1"/>
  <c r="J1546" i="5"/>
  <c r="K1546" i="5" s="1"/>
  <c r="J1547" i="5"/>
  <c r="K1547" i="5" s="1"/>
  <c r="J1548" i="5"/>
  <c r="K1548" i="5" s="1"/>
  <c r="J1549" i="5"/>
  <c r="K1549" i="5" s="1"/>
  <c r="J1550" i="5"/>
  <c r="K1550" i="5" s="1"/>
  <c r="J1551" i="5"/>
  <c r="K1551" i="5" s="1"/>
  <c r="J1552" i="5"/>
  <c r="K1552" i="5" s="1"/>
  <c r="J1553" i="5"/>
  <c r="K1553" i="5" s="1"/>
  <c r="J1554" i="5"/>
  <c r="K1554" i="5" s="1"/>
  <c r="J1555" i="5"/>
  <c r="K1555" i="5" s="1"/>
  <c r="J1556" i="5"/>
  <c r="K1556" i="5" s="1"/>
  <c r="J1557" i="5"/>
  <c r="K1557" i="5" s="1"/>
  <c r="J1558" i="5"/>
  <c r="K1558" i="5" s="1"/>
  <c r="J1559" i="5"/>
  <c r="K1559" i="5" s="1"/>
  <c r="J1560" i="5"/>
  <c r="K1560" i="5" s="1"/>
  <c r="J1561" i="5"/>
  <c r="K1561" i="5" s="1"/>
  <c r="J1562" i="5"/>
  <c r="K1562" i="5" s="1"/>
  <c r="J1563" i="5"/>
  <c r="K1563" i="5" s="1"/>
  <c r="J1564" i="5"/>
  <c r="K1564" i="5" s="1"/>
  <c r="J1565" i="5"/>
  <c r="K1565" i="5" s="1"/>
  <c r="J1566" i="5"/>
  <c r="K1566" i="5" s="1"/>
  <c r="J1567" i="5"/>
  <c r="K1567" i="5" s="1"/>
  <c r="J1568" i="5"/>
  <c r="K1568" i="5" s="1"/>
  <c r="J1569" i="5"/>
  <c r="K1569" i="5" s="1"/>
  <c r="J1570" i="5"/>
  <c r="K1570" i="5" s="1"/>
  <c r="J1571" i="5"/>
  <c r="K1571" i="5" s="1"/>
  <c r="J1572" i="5"/>
  <c r="K1572" i="5" s="1"/>
  <c r="J1573" i="5"/>
  <c r="K1573" i="5" s="1"/>
  <c r="J1574" i="5"/>
  <c r="K1574" i="5" s="1"/>
  <c r="J1575" i="5"/>
  <c r="K1575" i="5" s="1"/>
  <c r="J1576" i="5"/>
  <c r="K1576" i="5" s="1"/>
  <c r="J1577" i="5"/>
  <c r="K1577" i="5" s="1"/>
  <c r="J1578" i="5"/>
  <c r="K1578" i="5" s="1"/>
  <c r="J1579" i="5"/>
  <c r="K1579" i="5" s="1"/>
  <c r="J1580" i="5"/>
  <c r="K1580" i="5" s="1"/>
  <c r="J1581" i="5"/>
  <c r="K1581" i="5" s="1"/>
  <c r="J1582" i="5"/>
  <c r="K1582" i="5" s="1"/>
  <c r="J1583" i="5"/>
  <c r="K1583" i="5" s="1"/>
  <c r="J1584" i="5"/>
  <c r="K1584" i="5" s="1"/>
  <c r="J1585" i="5"/>
  <c r="K1585" i="5" s="1"/>
  <c r="J1586" i="5"/>
  <c r="K1586" i="5" s="1"/>
  <c r="J1587" i="5"/>
  <c r="K1587" i="5" s="1"/>
  <c r="J1588" i="5"/>
  <c r="K1588" i="5" s="1"/>
  <c r="J1589" i="5"/>
  <c r="K1589" i="5" s="1"/>
  <c r="J1590" i="5"/>
  <c r="K1590" i="5" s="1"/>
  <c r="J1591" i="5"/>
  <c r="K1591" i="5" s="1"/>
  <c r="J1592" i="5"/>
  <c r="K1592" i="5" s="1"/>
  <c r="J1593" i="5"/>
  <c r="K1593" i="5" s="1"/>
  <c r="J1594" i="5"/>
  <c r="K1594" i="5" s="1"/>
  <c r="J1595" i="5"/>
  <c r="K1595" i="5" s="1"/>
  <c r="J1596" i="5"/>
  <c r="K1596" i="5" s="1"/>
  <c r="J1597" i="5"/>
  <c r="K1597" i="5" s="1"/>
  <c r="J1598" i="5"/>
  <c r="K1598" i="5" s="1"/>
  <c r="J1599" i="5"/>
  <c r="K1599" i="5" s="1"/>
  <c r="J1600" i="5"/>
  <c r="K1600" i="5" s="1"/>
  <c r="J1601" i="5"/>
  <c r="K1601" i="5" s="1"/>
  <c r="J1602" i="5"/>
  <c r="K1602" i="5" s="1"/>
  <c r="J1603" i="5"/>
  <c r="K1603" i="5" s="1"/>
  <c r="J1604" i="5"/>
  <c r="K1604" i="5" s="1"/>
  <c r="J1605" i="5"/>
  <c r="K1605" i="5" s="1"/>
  <c r="J1606" i="5"/>
  <c r="K1606" i="5" s="1"/>
  <c r="J1607" i="5"/>
  <c r="K1607" i="5" s="1"/>
  <c r="J1608" i="5"/>
  <c r="K1608" i="5" s="1"/>
  <c r="J1609" i="5"/>
  <c r="K1609" i="5" s="1"/>
  <c r="J1610" i="5"/>
  <c r="K1610" i="5" s="1"/>
  <c r="J1611" i="5"/>
  <c r="K1611" i="5" s="1"/>
  <c r="J1612" i="5"/>
  <c r="K1612" i="5" s="1"/>
  <c r="J1613" i="5"/>
  <c r="K1613" i="5" s="1"/>
  <c r="J1614" i="5"/>
  <c r="K1614" i="5" s="1"/>
  <c r="J1615" i="5"/>
  <c r="K1615" i="5" s="1"/>
  <c r="J1616" i="5"/>
  <c r="K1616" i="5" s="1"/>
  <c r="J1617" i="5"/>
  <c r="K1617" i="5" s="1"/>
  <c r="J1618" i="5"/>
  <c r="K1618" i="5" s="1"/>
  <c r="J1619" i="5"/>
  <c r="K1619" i="5" s="1"/>
  <c r="J1620" i="5"/>
  <c r="K1620" i="5" s="1"/>
  <c r="J1621" i="5"/>
  <c r="K1621" i="5" s="1"/>
  <c r="J1622" i="5"/>
  <c r="K1622" i="5" s="1"/>
  <c r="J1623" i="5"/>
  <c r="K1623" i="5" s="1"/>
  <c r="J1624" i="5"/>
  <c r="K1624" i="5" s="1"/>
  <c r="J1625" i="5"/>
  <c r="K1625" i="5" s="1"/>
  <c r="J1626" i="5"/>
  <c r="K1626" i="5" s="1"/>
  <c r="J1627" i="5"/>
  <c r="K1627" i="5" s="1"/>
  <c r="J1628" i="5"/>
  <c r="K1628" i="5" s="1"/>
  <c r="N3" i="5" l="1"/>
  <c r="N2" i="5"/>
  <c r="J2" i="5"/>
  <c r="K2" i="5" s="1"/>
  <c r="P4" i="1"/>
  <c r="P3" i="1"/>
  <c r="N3" i="1"/>
  <c r="N2" i="1"/>
  <c r="B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N1" i="1" l="1"/>
  <c r="I2" i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<sst xmlns="http://schemas.openxmlformats.org/spreadsheetml/2006/main" count="19707" uniqueCount="2533">
  <si>
    <t>Status</t>
  </si>
  <si>
    <t>Updated Nmes</t>
  </si>
  <si>
    <t>District</t>
  </si>
  <si>
    <t>Governorate</t>
  </si>
  <si>
    <t>ACS Code</t>
  </si>
  <si>
    <t>Resident_Population (R)</t>
  </si>
  <si>
    <t>Displaced_Population (D)</t>
  </si>
  <si>
    <t>Heterogeneity (H)</t>
  </si>
  <si>
    <t>Displacement_Ratio (S = D/R)</t>
  </si>
  <si>
    <t>Demographic_Factor (DF = S*H)</t>
  </si>
  <si>
    <t>Actual</t>
  </si>
  <si>
    <t>عين المريسه</t>
  </si>
  <si>
    <t>بيروت</t>
  </si>
  <si>
    <t>رأس بيروت</t>
  </si>
  <si>
    <t>Predicted</t>
  </si>
  <si>
    <t>مصيطبة</t>
  </si>
  <si>
    <t>مينا الحصن</t>
  </si>
  <si>
    <t>المزرعة</t>
  </si>
  <si>
    <t>باشورة</t>
  </si>
  <si>
    <t>زقاق البلاط</t>
  </si>
  <si>
    <t>مرفأ</t>
  </si>
  <si>
    <t>صيفي</t>
  </si>
  <si>
    <t>رميل</t>
  </si>
  <si>
    <t>مدور</t>
  </si>
  <si>
    <t>الاشرفية</t>
  </si>
  <si>
    <t>شياح</t>
  </si>
  <si>
    <t>بعبدا</t>
  </si>
  <si>
    <t>جبل لبنان</t>
  </si>
  <si>
    <t>حارة حريك</t>
  </si>
  <si>
    <t>ليلكي</t>
  </si>
  <si>
    <t>برج البراجنة</t>
  </si>
  <si>
    <t>تحويطة الغدير</t>
  </si>
  <si>
    <t>حدث</t>
  </si>
  <si>
    <t>بطشيه</t>
  </si>
  <si>
    <t>مرداشة</t>
  </si>
  <si>
    <t>لويزة</t>
  </si>
  <si>
    <t>كفرشيما</t>
  </si>
  <si>
    <t>وادي شحرور السفلى</t>
  </si>
  <si>
    <t>وادي شحرور العليا</t>
  </si>
  <si>
    <t>حارة الست</t>
  </si>
  <si>
    <t>بعلشميه</t>
  </si>
  <si>
    <t>عين موفق</t>
  </si>
  <si>
    <t>رويسة البلوط</t>
  </si>
  <si>
    <t>هلالية</t>
  </si>
  <si>
    <t>حارة حمزة</t>
  </si>
  <si>
    <t>قتالة</t>
  </si>
  <si>
    <t>راس الحرف</t>
  </si>
  <si>
    <t>دير خونة</t>
  </si>
  <si>
    <t>عبادية</t>
  </si>
  <si>
    <t>قرية</t>
  </si>
  <si>
    <t>راس المتن</t>
  </si>
  <si>
    <t>شويت</t>
  </si>
  <si>
    <t>قبيع</t>
  </si>
  <si>
    <t>قرطادة</t>
  </si>
  <si>
    <t>قصيبة</t>
  </si>
  <si>
    <t>دير الحرف</t>
  </si>
  <si>
    <t>عاريا</t>
  </si>
  <si>
    <t>زندوقة</t>
  </si>
  <si>
    <t>كنيسة بعبدا</t>
  </si>
  <si>
    <t>عربانية</t>
  </si>
  <si>
    <t>دليبه</t>
  </si>
  <si>
    <t>صليما بعبدا</t>
  </si>
  <si>
    <t>حاصبيّا المتن</t>
  </si>
  <si>
    <t>حمانا</t>
  </si>
  <si>
    <t>القلعة</t>
  </si>
  <si>
    <t>خلوات</t>
  </si>
  <si>
    <t>شبانية</t>
  </si>
  <si>
    <t>خريبة بعبدا</t>
  </si>
  <si>
    <t>بمريم</t>
  </si>
  <si>
    <t>بتخناي</t>
  </si>
  <si>
    <t>فالوغا</t>
  </si>
  <si>
    <t>بتبيات</t>
  </si>
  <si>
    <t>قرنايل</t>
  </si>
  <si>
    <t>جوار الحوز</t>
  </si>
  <si>
    <t>بزبدين</t>
  </si>
  <si>
    <t>ارصون</t>
  </si>
  <si>
    <t>كفرسلوان</t>
  </si>
  <si>
    <t>ترشيش</t>
  </si>
  <si>
    <t>جورة ارصون</t>
  </si>
  <si>
    <t>منصورية</t>
  </si>
  <si>
    <t>عاليه</t>
  </si>
  <si>
    <t>نابيه</t>
  </si>
  <si>
    <t>بعلبك</t>
  </si>
  <si>
    <t>بعلبك والهرمل</t>
  </si>
  <si>
    <t>ذوق الخراب</t>
  </si>
  <si>
    <t>عكار</t>
  </si>
  <si>
    <t>شويا</t>
  </si>
  <si>
    <t>حاصبيا</t>
  </si>
  <si>
    <t>النبطية</t>
  </si>
  <si>
    <t xml:space="preserve">كفرتيه </t>
  </si>
  <si>
    <t>كسروان</t>
  </si>
  <si>
    <t>بنواتي</t>
  </si>
  <si>
    <t>جزين</t>
  </si>
  <si>
    <t>الجنوب</t>
  </si>
  <si>
    <t>بكيفا</t>
  </si>
  <si>
    <t>راشيا</t>
  </si>
  <si>
    <t>البقاع</t>
  </si>
  <si>
    <t>بسابا</t>
  </si>
  <si>
    <t xml:space="preserve">بيرة </t>
  </si>
  <si>
    <t>نيحا</t>
  </si>
  <si>
    <t>زحلة</t>
  </si>
  <si>
    <t>كحلونية الشوف</t>
  </si>
  <si>
    <t>عمروسية الشويفات</t>
  </si>
  <si>
    <t>قبة الشويفات</t>
  </si>
  <si>
    <t>الشويفات الامراء</t>
  </si>
  <si>
    <t>دير قوبل</t>
  </si>
  <si>
    <t>عرمون</t>
  </si>
  <si>
    <t>عرمون كسروان</t>
  </si>
  <si>
    <t>عين درافيل</t>
  </si>
  <si>
    <t xml:space="preserve"> سرحمول </t>
  </si>
  <si>
    <t>بعورته</t>
  </si>
  <si>
    <t>بشامون</t>
  </si>
  <si>
    <t>دقون</t>
  </si>
  <si>
    <t>عين عنوب</t>
  </si>
  <si>
    <t>بليبل</t>
  </si>
  <si>
    <t>حومال</t>
  </si>
  <si>
    <t>بدادون</t>
  </si>
  <si>
    <t>بسوس</t>
  </si>
  <si>
    <t>الكحاله</t>
  </si>
  <si>
    <t xml:space="preserve"> قماطية </t>
  </si>
  <si>
    <t>عين الرمانة</t>
  </si>
  <si>
    <t>بمكين</t>
  </si>
  <si>
    <t>بخشتيه</t>
  </si>
  <si>
    <t>الغابون</t>
  </si>
  <si>
    <t>عين الجديدة</t>
  </si>
  <si>
    <t>بحوارا</t>
  </si>
  <si>
    <t>عيتات</t>
  </si>
  <si>
    <t>سوق الغرب</t>
  </si>
  <si>
    <t xml:space="preserve"> تعزانية </t>
  </si>
  <si>
    <t xml:space="preserve"> رجمة </t>
  </si>
  <si>
    <t>كيفون</t>
  </si>
  <si>
    <t>شملان</t>
  </si>
  <si>
    <t>بيصور جزين</t>
  </si>
  <si>
    <t>بيصور</t>
  </si>
  <si>
    <t>دوير الرمان</t>
  </si>
  <si>
    <t xml:space="preserve"> رويسة النعمان </t>
  </si>
  <si>
    <t>مجدليا</t>
  </si>
  <si>
    <t>عيناب</t>
  </si>
  <si>
    <t>شرتون</t>
  </si>
  <si>
    <t>بو زريده</t>
  </si>
  <si>
    <t>دفون</t>
  </si>
  <si>
    <t xml:space="preserve"> رشميا </t>
  </si>
  <si>
    <t>عين تراز</t>
  </si>
  <si>
    <t>سلفايا</t>
  </si>
  <si>
    <t>البساتين</t>
  </si>
  <si>
    <t>رمحالا</t>
  </si>
  <si>
    <t>عين كسور</t>
  </si>
  <si>
    <t>جسر القاضي</t>
  </si>
  <si>
    <t>عبيه</t>
  </si>
  <si>
    <t>كفرمتى</t>
  </si>
  <si>
    <t>بحمدون المحطة</t>
  </si>
  <si>
    <t>شانيه</t>
  </si>
  <si>
    <t>بطلون</t>
  </si>
  <si>
    <t xml:space="preserve"> مجدل بعنا </t>
  </si>
  <si>
    <t xml:space="preserve"> صوفر </t>
  </si>
  <si>
    <t>عين الحلزون</t>
  </si>
  <si>
    <t>بدغان</t>
  </si>
  <si>
    <t>شارون</t>
  </si>
  <si>
    <t>بتاتر</t>
  </si>
  <si>
    <t>اغميد</t>
  </si>
  <si>
    <t>العزونيه</t>
  </si>
  <si>
    <t xml:space="preserve"> مشرفه </t>
  </si>
  <si>
    <t>حبرمون</t>
  </si>
  <si>
    <t>بسرين</t>
  </si>
  <si>
    <t xml:space="preserve"> رملية </t>
  </si>
  <si>
    <t xml:space="preserve"> معصريتي  </t>
  </si>
  <si>
    <t xml:space="preserve"> مزرعة النهر </t>
  </si>
  <si>
    <t>عين داره</t>
  </si>
  <si>
    <t>بمهريه</t>
  </si>
  <si>
    <t>صربا</t>
  </si>
  <si>
    <t>ذوق مكايل</t>
  </si>
  <si>
    <t>جونيه</t>
  </si>
  <si>
    <t>ذوق مصبح</t>
  </si>
  <si>
    <t>حارة صخر</t>
  </si>
  <si>
    <t>ساحل علما</t>
  </si>
  <si>
    <t>كفر ياسين</t>
  </si>
  <si>
    <t>طبرجا</t>
  </si>
  <si>
    <t>ادما والدفنه</t>
  </si>
  <si>
    <t>صفرا كسروان</t>
  </si>
  <si>
    <t>بوار</t>
  </si>
  <si>
    <t>عقيبة</t>
  </si>
  <si>
    <t>عجلتون</t>
  </si>
  <si>
    <t>بلونة</t>
  </si>
  <si>
    <t>سهيلة</t>
  </si>
  <si>
    <t>عين الريحان</t>
  </si>
  <si>
    <t>جعيتا</t>
  </si>
  <si>
    <t>عينطورة</t>
  </si>
  <si>
    <t>غزير</t>
  </si>
  <si>
    <t>فتقا</t>
  </si>
  <si>
    <t>شننعير</t>
  </si>
  <si>
    <t>جديدة غزير</t>
  </si>
  <si>
    <t>غوسطا</t>
  </si>
  <si>
    <t>معراب</t>
  </si>
  <si>
    <t>دلبتا</t>
  </si>
  <si>
    <t>بطحا</t>
  </si>
  <si>
    <t>الكفور</t>
  </si>
  <si>
    <t>غدراس</t>
  </si>
  <si>
    <t>هرهريا</t>
  </si>
  <si>
    <t>بزمار</t>
  </si>
  <si>
    <t>حريصا</t>
  </si>
  <si>
    <t>نمورة</t>
  </si>
  <si>
    <t>غينة</t>
  </si>
  <si>
    <t>حصين</t>
  </si>
  <si>
    <t>درعون</t>
  </si>
  <si>
    <t>حياطة</t>
  </si>
  <si>
    <t>شحتول</t>
  </si>
  <si>
    <t>زعيتره</t>
  </si>
  <si>
    <t>جورة الترمس</t>
  </si>
  <si>
    <t>المعيصرة</t>
  </si>
  <si>
    <t xml:space="preserve">غبالة </t>
  </si>
  <si>
    <t>جورة بدران</t>
  </si>
  <si>
    <t>مرادية</t>
  </si>
  <si>
    <t>بزحل</t>
  </si>
  <si>
    <t>يحشوش</t>
  </si>
  <si>
    <t>زيتون</t>
  </si>
  <si>
    <t>إغبة</t>
  </si>
  <si>
    <t>ريفون</t>
  </si>
  <si>
    <t>عشقوت</t>
  </si>
  <si>
    <t>فيطرون</t>
  </si>
  <si>
    <t>بقعاتة عشقوت</t>
  </si>
  <si>
    <t>رعشين</t>
  </si>
  <si>
    <t>كفر دبيان</t>
  </si>
  <si>
    <t>بقعاتة كنعان</t>
  </si>
  <si>
    <t>بقعتوتا</t>
  </si>
  <si>
    <t>وطى الجوز</t>
  </si>
  <si>
    <t>ميروبا</t>
  </si>
  <si>
    <t>عين الدلبة جبيل</t>
  </si>
  <si>
    <t>جبيل</t>
  </si>
  <si>
    <t>عين الدلبة</t>
  </si>
  <si>
    <t>حراجل</t>
  </si>
  <si>
    <t>فاريا</t>
  </si>
  <si>
    <t>شوان</t>
  </si>
  <si>
    <t>بلاط</t>
  </si>
  <si>
    <t>بلاط مرجعيون</t>
  </si>
  <si>
    <t>مرجعيون</t>
  </si>
  <si>
    <t>اده</t>
  </si>
  <si>
    <t>عمشيت</t>
  </si>
  <si>
    <t>حالات</t>
  </si>
  <si>
    <t>حصرايل</t>
  </si>
  <si>
    <t>ريحانة</t>
  </si>
  <si>
    <t>جدايل</t>
  </si>
  <si>
    <t>نهر ابراهيم</t>
  </si>
  <si>
    <t>المنصف</t>
  </si>
  <si>
    <t>كفر كده</t>
  </si>
  <si>
    <t>اهمج</t>
  </si>
  <si>
    <t>علمات الشمالية</t>
  </si>
  <si>
    <t>طورزيا</t>
  </si>
  <si>
    <t>فرحت</t>
  </si>
  <si>
    <t xml:space="preserve">صوانة </t>
  </si>
  <si>
    <t>صوانة مرجعيون</t>
  </si>
  <si>
    <t>فرات</t>
  </si>
  <si>
    <t>حجولا</t>
  </si>
  <si>
    <t>عين جرين</t>
  </si>
  <si>
    <t>حصون</t>
  </si>
  <si>
    <t>مشان</t>
  </si>
  <si>
    <t>لحفد</t>
  </si>
  <si>
    <t>هابيل</t>
  </si>
  <si>
    <t>ادونيس</t>
  </si>
  <si>
    <t>راس اسطا</t>
  </si>
  <si>
    <t>بشتليدا</t>
  </si>
  <si>
    <t>بشلّلي</t>
  </si>
  <si>
    <t>زبدين</t>
  </si>
  <si>
    <t>حقل</t>
  </si>
  <si>
    <t>خاربة جبيل</t>
  </si>
  <si>
    <t>قطارة</t>
  </si>
  <si>
    <t>عبيدات</t>
  </si>
  <si>
    <t>ميفوق</t>
  </si>
  <si>
    <t>بحديدات</t>
  </si>
  <si>
    <t>الراموط</t>
  </si>
  <si>
    <t>ساقية الخيط</t>
  </si>
  <si>
    <t>فتري</t>
  </si>
  <si>
    <t>كفون</t>
  </si>
  <si>
    <t>بنتاعل</t>
  </si>
  <si>
    <t>بيت حبّاق</t>
  </si>
  <si>
    <t>كفر</t>
  </si>
  <si>
    <t>كفرجرا</t>
  </si>
  <si>
    <t>جليسه</t>
  </si>
  <si>
    <t>بجه</t>
  </si>
  <si>
    <t>غلبون</t>
  </si>
  <si>
    <t>شامات</t>
  </si>
  <si>
    <t>حبالين</t>
  </si>
  <si>
    <t>حصارات</t>
  </si>
  <si>
    <t>كفر مسحون</t>
  </si>
  <si>
    <t>عين كفاع</t>
  </si>
  <si>
    <t>غرفين</t>
  </si>
  <si>
    <t>معاد</t>
  </si>
  <si>
    <t>غرزوز</t>
  </si>
  <si>
    <t>شيخان</t>
  </si>
  <si>
    <t>شموت</t>
  </si>
  <si>
    <t>بخعاز</t>
  </si>
  <si>
    <t>فغال</t>
  </si>
  <si>
    <t>بزيون</t>
  </si>
  <si>
    <t>قرطبا</t>
  </si>
  <si>
    <t>عين الغويبة</t>
  </si>
  <si>
    <t>مزرعة السياد</t>
  </si>
  <si>
    <t>جنة</t>
  </si>
  <si>
    <t>لاسا</t>
  </si>
  <si>
    <t>سرعيتا</t>
  </si>
  <si>
    <t>غابات</t>
  </si>
  <si>
    <t>مغيره</t>
  </si>
  <si>
    <t>يانوح</t>
  </si>
  <si>
    <t>يانوح صور</t>
  </si>
  <si>
    <t>صور</t>
  </si>
  <si>
    <t>قرقريا</t>
  </si>
  <si>
    <t>المجدل</t>
  </si>
  <si>
    <t>المجدل عكار</t>
  </si>
  <si>
    <t>اللقلوق</t>
  </si>
  <si>
    <t>افقا</t>
  </si>
  <si>
    <t>قهمز</t>
  </si>
  <si>
    <t>عاقورة</t>
  </si>
  <si>
    <t>سقي رشميا</t>
  </si>
  <si>
    <t>جاج</t>
  </si>
  <si>
    <t>ترتج</t>
  </si>
  <si>
    <t>حمى مار مارون عنَايا</t>
  </si>
  <si>
    <t>الحدادين</t>
  </si>
  <si>
    <t>طرابلس</t>
  </si>
  <si>
    <t>الشمال</t>
  </si>
  <si>
    <t>التل</t>
  </si>
  <si>
    <t>النوري</t>
  </si>
  <si>
    <t>المهاترة</t>
  </si>
  <si>
    <t>الرمانة</t>
  </si>
  <si>
    <t>الحديد</t>
  </si>
  <si>
    <t>القبة</t>
  </si>
  <si>
    <t>الزاهرية</t>
  </si>
  <si>
    <t>التبانة</t>
  </si>
  <si>
    <t>بساتين طرابلس</t>
  </si>
  <si>
    <t>مينا طرابلس 1</t>
  </si>
  <si>
    <t>مينا طرابلس 2</t>
  </si>
  <si>
    <t>المينا</t>
  </si>
  <si>
    <t>القلمون</t>
  </si>
  <si>
    <t>كفرحاتا</t>
  </si>
  <si>
    <t>زغرتا</t>
  </si>
  <si>
    <t>برصا</t>
  </si>
  <si>
    <t>الهرمل</t>
  </si>
  <si>
    <t>البقيعة</t>
  </si>
  <si>
    <t>رشعين</t>
  </si>
  <si>
    <t>قره باش</t>
  </si>
  <si>
    <t>ارده</t>
  </si>
  <si>
    <t>اصنون</t>
  </si>
  <si>
    <t>مجدليا زغرتا</t>
  </si>
  <si>
    <t>علما</t>
  </si>
  <si>
    <t>الجديدة زغرتا</t>
  </si>
  <si>
    <t>ايعال</t>
  </si>
  <si>
    <t>كفر حورا</t>
  </si>
  <si>
    <t>كفر زينا</t>
  </si>
  <si>
    <t>كفر شخنا</t>
  </si>
  <si>
    <t>حواكير</t>
  </si>
  <si>
    <t>كفر ياشيت</t>
  </si>
  <si>
    <t>بشنين</t>
  </si>
  <si>
    <t>بنشعي</t>
  </si>
  <si>
    <t>عرجس</t>
  </si>
  <si>
    <t xml:space="preserve">داريا </t>
  </si>
  <si>
    <t>داريا كسروان</t>
  </si>
  <si>
    <t>كفر فو</t>
  </si>
  <si>
    <t>راس كيفا</t>
  </si>
  <si>
    <t>كرم سده</t>
  </si>
  <si>
    <t>تلة زغرتا</t>
  </si>
  <si>
    <t>عينطورين</t>
  </si>
  <si>
    <t>كفر صغاب</t>
  </si>
  <si>
    <t>عربة قزحيا</t>
  </si>
  <si>
    <t>مزرعة التفاح</t>
  </si>
  <si>
    <t>ايطو</t>
  </si>
  <si>
    <t>مزيارة</t>
  </si>
  <si>
    <t>سرعيل</t>
  </si>
  <si>
    <t>سبعل زغرتا</t>
  </si>
  <si>
    <t>عشاش</t>
  </si>
  <si>
    <t>مرياطا</t>
  </si>
  <si>
    <t>حيلان زغرتا</t>
  </si>
  <si>
    <t>بوسيط</t>
  </si>
  <si>
    <t>حريقص</t>
  </si>
  <si>
    <t>اجبع</t>
  </si>
  <si>
    <t>ضهر ابي ياغي</t>
  </si>
  <si>
    <t>تولا</t>
  </si>
  <si>
    <t>زان</t>
  </si>
  <si>
    <t>راشا</t>
  </si>
  <si>
    <t>حلبا</t>
  </si>
  <si>
    <t>الشيخ محمد</t>
  </si>
  <si>
    <t>النفيسة</t>
  </si>
  <si>
    <t>عدبل</t>
  </si>
  <si>
    <t>كروم العرب</t>
  </si>
  <si>
    <t>الشيخ طابا السهل</t>
  </si>
  <si>
    <t>الشيخ طابا</t>
  </si>
  <si>
    <t>الدوره</t>
  </si>
  <si>
    <t>الزواريب</t>
  </si>
  <si>
    <t>منيارة</t>
  </si>
  <si>
    <t>مشيلحة الحاكور</t>
  </si>
  <si>
    <t>كرم عصفور</t>
  </si>
  <si>
    <t>بيت غطاس</t>
  </si>
  <si>
    <t>مشحة</t>
  </si>
  <si>
    <t>حيزوق</t>
  </si>
  <si>
    <t>عرقا</t>
  </si>
  <si>
    <t>السويسة</t>
  </si>
  <si>
    <t>ايلات</t>
  </si>
  <si>
    <t>بقرزلا</t>
  </si>
  <si>
    <t>دير دلوم</t>
  </si>
  <si>
    <t>ذوق الحصينة</t>
  </si>
  <si>
    <t>ذوق الحبالصة</t>
  </si>
  <si>
    <t>ضهر ليسينه</t>
  </si>
  <si>
    <t>ذوق حدارة</t>
  </si>
  <si>
    <t>ذوق المقشرين</t>
  </si>
  <si>
    <t>جبرائيل</t>
  </si>
  <si>
    <t>مار توما</t>
  </si>
  <si>
    <t>الهد</t>
  </si>
  <si>
    <t>تكريت</t>
  </si>
  <si>
    <t>بيت ملات</t>
  </si>
  <si>
    <t>بينو</t>
  </si>
  <si>
    <t>العيون</t>
  </si>
  <si>
    <t>قبولا</t>
  </si>
  <si>
    <t>الشقدوف</t>
  </si>
  <si>
    <t>البرج عكار</t>
  </si>
  <si>
    <t>عيات</t>
  </si>
  <si>
    <t>عين يعقوب</t>
  </si>
  <si>
    <t>بزبينا</t>
  </si>
  <si>
    <t>عكار العتيقة</t>
  </si>
  <si>
    <t>تل عباس الشرقي</t>
  </si>
  <si>
    <t>الكويخات</t>
  </si>
  <si>
    <t>خريبة الجندي</t>
  </si>
  <si>
    <t>سعدين</t>
  </si>
  <si>
    <t>الحيصة</t>
  </si>
  <si>
    <t>شير حمارين</t>
  </si>
  <si>
    <t>دارين</t>
  </si>
  <si>
    <t>السمونيه</t>
  </si>
  <si>
    <t>المسعودية</t>
  </si>
  <si>
    <t>كفرملكي</t>
  </si>
  <si>
    <t>صيدا</t>
  </si>
  <si>
    <t>تلبيرة</t>
  </si>
  <si>
    <t>تلحميرة</t>
  </si>
  <si>
    <t>حكر جورة سرار</t>
  </si>
  <si>
    <t>القليعات</t>
  </si>
  <si>
    <t>الكنيسة</t>
  </si>
  <si>
    <t>العبودية</t>
  </si>
  <si>
    <t>حكر الضاهري</t>
  </si>
  <si>
    <t>المقيطع</t>
  </si>
  <si>
    <t>عماره</t>
  </si>
  <si>
    <t>الشيخ زناد</t>
  </si>
  <si>
    <t>السماقية</t>
  </si>
  <si>
    <t>العريضة</t>
  </si>
  <si>
    <t>ببنين</t>
  </si>
  <si>
    <t>المحمرة</t>
  </si>
  <si>
    <t>سيسوق</t>
  </si>
  <si>
    <t>برقايل</t>
  </si>
  <si>
    <t>بزال</t>
  </si>
  <si>
    <t>قلود الباقية</t>
  </si>
  <si>
    <t>شان</t>
  </si>
  <si>
    <t>بيت يونس</t>
  </si>
  <si>
    <t>الحويش</t>
  </si>
  <si>
    <t>سفينة القيطع</t>
  </si>
  <si>
    <t>قبعيت</t>
  </si>
  <si>
    <t>حبشيت</t>
  </si>
  <si>
    <t>حرار</t>
  </si>
  <si>
    <t>الحميرة</t>
  </si>
  <si>
    <t>القريات</t>
  </si>
  <si>
    <t>بيت ايوب</t>
  </si>
  <si>
    <t>القرقف</t>
  </si>
  <si>
    <t>جديدة القيطع</t>
  </si>
  <si>
    <t>عيون الغزلان</t>
  </si>
  <si>
    <t>مشمش جبيل</t>
  </si>
  <si>
    <t>مشمش</t>
  </si>
  <si>
    <t>القرنة</t>
  </si>
  <si>
    <t>النبي خالد</t>
  </si>
  <si>
    <t>مجدلا</t>
  </si>
  <si>
    <t>تاشع</t>
  </si>
  <si>
    <t>رحبة</t>
  </si>
  <si>
    <t>وادي الجاموس</t>
  </si>
  <si>
    <t>بيت الحوش</t>
  </si>
  <si>
    <t>ممنع</t>
  </si>
  <si>
    <t>شيخلار</t>
  </si>
  <si>
    <t>رماح النهريه</t>
  </si>
  <si>
    <t>كفرنون</t>
  </si>
  <si>
    <t>فريديس</t>
  </si>
  <si>
    <t>فريديس الشوف</t>
  </si>
  <si>
    <t>منجز</t>
  </si>
  <si>
    <t>القصير</t>
  </si>
  <si>
    <t>خربة داوود</t>
  </si>
  <si>
    <t>الدغلة</t>
  </si>
  <si>
    <t>العوينات</t>
  </si>
  <si>
    <t>كفر الفتوح</t>
  </si>
  <si>
    <t>عين الزيت</t>
  </si>
  <si>
    <t>الكواشرة</t>
  </si>
  <si>
    <t>خربة شار</t>
  </si>
  <si>
    <t>دبابية</t>
  </si>
  <si>
    <t>برباره</t>
  </si>
  <si>
    <t>عين تنتا</t>
  </si>
  <si>
    <t>مشتى حمود</t>
  </si>
  <si>
    <t>دوسة بغدادي</t>
  </si>
  <si>
    <t>دير جنين</t>
  </si>
  <si>
    <t>دوير عدويه</t>
  </si>
  <si>
    <t>سفينة الدريب</t>
  </si>
  <si>
    <t>عمار البيكات</t>
  </si>
  <si>
    <t>قشلق</t>
  </si>
  <si>
    <t>وادي الحور</t>
  </si>
  <si>
    <t>شربيلا</t>
  </si>
  <si>
    <t>التليل</t>
  </si>
  <si>
    <t>هيتلا</t>
  </si>
  <si>
    <t>كنيسة صور</t>
  </si>
  <si>
    <t>كنيسة</t>
  </si>
  <si>
    <t>الريحانية</t>
  </si>
  <si>
    <t>السنديانة</t>
  </si>
  <si>
    <t>حميص</t>
  </si>
  <si>
    <t>سرار</t>
  </si>
  <si>
    <t>الغزيله</t>
  </si>
  <si>
    <t xml:space="preserve">النهريه </t>
  </si>
  <si>
    <t>القبيات</t>
  </si>
  <si>
    <t>عندقت</t>
  </si>
  <si>
    <t>العماير</t>
  </si>
  <si>
    <t>حنيدر</t>
  </si>
  <si>
    <t>اكروم</t>
  </si>
  <si>
    <t>مزرعة بني صعب</t>
  </si>
  <si>
    <t>بداوي</t>
  </si>
  <si>
    <t>حازمية المنيه</t>
  </si>
  <si>
    <t>سفيرة</t>
  </si>
  <si>
    <t>حوش الزراعنة</t>
  </si>
  <si>
    <t>الراسية</t>
  </si>
  <si>
    <t>بربارة زحلة</t>
  </si>
  <si>
    <t>زحلة معلقة أراضي</t>
  </si>
  <si>
    <t>زحلة مار انطونيوس</t>
  </si>
  <si>
    <t>زحلة حوش الامراء أراضي</t>
  </si>
  <si>
    <t>زحلة  سيدة النجاة</t>
  </si>
  <si>
    <t>مار الياس زحلة</t>
  </si>
  <si>
    <t xml:space="preserve">فرزل </t>
  </si>
  <si>
    <t>تويتي</t>
  </si>
  <si>
    <t>نبي ايلا</t>
  </si>
  <si>
    <t>حزرتا</t>
  </si>
  <si>
    <t>ابلح</t>
  </si>
  <si>
    <t>قاع الريم</t>
  </si>
  <si>
    <t>وادي العرايش</t>
  </si>
  <si>
    <t>شتورا</t>
  </si>
  <si>
    <t>مكسة</t>
  </si>
  <si>
    <t>تعلبايا</t>
  </si>
  <si>
    <t>جديتا</t>
  </si>
  <si>
    <t>تعنايل</t>
  </si>
  <si>
    <t>سعدنايل</t>
  </si>
  <si>
    <t>قب الياس</t>
  </si>
  <si>
    <t>مريجات</t>
  </si>
  <si>
    <t xml:space="preserve"> مريجات عاليه</t>
  </si>
  <si>
    <t>بوارج</t>
  </si>
  <si>
    <t>وادي الدلم</t>
  </si>
  <si>
    <t>بر الياس</t>
  </si>
  <si>
    <t>مجدل عنجر</t>
  </si>
  <si>
    <t>ناصرية  زحلة</t>
  </si>
  <si>
    <t>رياق</t>
  </si>
  <si>
    <t>حوش حالا</t>
  </si>
  <si>
    <t>علي النهري</t>
  </si>
  <si>
    <t>حوش الغنم</t>
  </si>
  <si>
    <t>دير الغزال</t>
  </si>
  <si>
    <t>قوسايا</t>
  </si>
  <si>
    <t>رعيت</t>
  </si>
  <si>
    <t>تربل</t>
  </si>
  <si>
    <t>مسا</t>
  </si>
  <si>
    <t>عين كفر زبد</t>
  </si>
  <si>
    <t>دلهميه</t>
  </si>
  <si>
    <t>كفر زبد</t>
  </si>
  <si>
    <t>مشغرة</t>
  </si>
  <si>
    <t>البقاع الغربي</t>
  </si>
  <si>
    <t>عين التينة بقاع الغربي</t>
  </si>
  <si>
    <t>عيتنيت</t>
  </si>
  <si>
    <t>باب مارع</t>
  </si>
  <si>
    <t>صغبين</t>
  </si>
  <si>
    <t>لوسيا</t>
  </si>
  <si>
    <t>عين زبدة</t>
  </si>
  <si>
    <t>خربة قنافار</t>
  </si>
  <si>
    <t>عانا</t>
  </si>
  <si>
    <t>المنصورة</t>
  </si>
  <si>
    <t>عميق</t>
  </si>
  <si>
    <t>شبرقية عميق</t>
  </si>
  <si>
    <t>جب جنين</t>
  </si>
  <si>
    <t>لالا</t>
  </si>
  <si>
    <t>كامد اللوز</t>
  </si>
  <si>
    <t>بعلول</t>
  </si>
  <si>
    <t>غزة</t>
  </si>
  <si>
    <t>سلطان يعقوب الفوقا</t>
  </si>
  <si>
    <t>الخيارة</t>
  </si>
  <si>
    <t>القرعون</t>
  </si>
  <si>
    <t>دكوة</t>
  </si>
  <si>
    <t>حوش الحريمة</t>
  </si>
  <si>
    <t>الوقف بقاع الغربي</t>
  </si>
  <si>
    <t>صويري</t>
  </si>
  <si>
    <t>سحمر</t>
  </si>
  <si>
    <t>لبايا</t>
  </si>
  <si>
    <t>المرج</t>
  </si>
  <si>
    <t>زلايا</t>
  </si>
  <si>
    <t>ميدون</t>
  </si>
  <si>
    <t>روضة إسطبل</t>
  </si>
  <si>
    <t>دوريس</t>
  </si>
  <si>
    <t>ايعات</t>
  </si>
  <si>
    <t>حوش تل صفية</t>
  </si>
  <si>
    <t>طيبة بعلبك</t>
  </si>
  <si>
    <t>طيبة مرجعيون</t>
  </si>
  <si>
    <t xml:space="preserve">نحله </t>
  </si>
  <si>
    <t>مجدلون</t>
  </si>
  <si>
    <t>حوش بردى</t>
  </si>
  <si>
    <t>مقنة</t>
  </si>
  <si>
    <t>سعيدة</t>
  </si>
  <si>
    <t>جبعا</t>
  </si>
  <si>
    <t>كفر دان</t>
  </si>
  <si>
    <t>راس بعلبك</t>
  </si>
  <si>
    <t>فاكهة</t>
  </si>
  <si>
    <t>العين</t>
  </si>
  <si>
    <t>نبي عثمان</t>
  </si>
  <si>
    <t>عرسال</t>
  </si>
  <si>
    <t>لبوة</t>
  </si>
  <si>
    <t>زبود</t>
  </si>
  <si>
    <t>القاع</t>
  </si>
  <si>
    <t>حلباتا</t>
  </si>
  <si>
    <t>المقرق</t>
  </si>
  <si>
    <t>صبوبا</t>
  </si>
  <si>
    <t>حربتا</t>
  </si>
  <si>
    <t>نبحا</t>
  </si>
  <si>
    <t>شعت</t>
  </si>
  <si>
    <t>قرحا</t>
  </si>
  <si>
    <t>الرام</t>
  </si>
  <si>
    <t>يونين</t>
  </si>
  <si>
    <t>دير الاحمر</t>
  </si>
  <si>
    <t>بشوات</t>
  </si>
  <si>
    <t>برقا</t>
  </si>
  <si>
    <t>ريحا</t>
  </si>
  <si>
    <t>دار الواسعة</t>
  </si>
  <si>
    <t>بتدعي</t>
  </si>
  <si>
    <t>عيناتا بنت جبيل</t>
  </si>
  <si>
    <t>بنت جبيل</t>
  </si>
  <si>
    <t>عيناتا</t>
  </si>
  <si>
    <t>يمونة</t>
  </si>
  <si>
    <t>بدنايل</t>
  </si>
  <si>
    <t>قصرنابا</t>
  </si>
  <si>
    <t>تمنين الفوقا</t>
  </si>
  <si>
    <t>بيت شاما</t>
  </si>
  <si>
    <t>حوش الرافقة</t>
  </si>
  <si>
    <t>تمنين التحتا</t>
  </si>
  <si>
    <t>كفر دبش</t>
  </si>
  <si>
    <t>شمسطار</t>
  </si>
  <si>
    <t>حوش النبي</t>
  </si>
  <si>
    <t>حوش سنيد</t>
  </si>
  <si>
    <t>طاريا</t>
  </si>
  <si>
    <t>سرعين التحتا</t>
  </si>
  <si>
    <t>طليا</t>
  </si>
  <si>
    <t>حزين</t>
  </si>
  <si>
    <t>تل الاخضر</t>
  </si>
  <si>
    <t xml:space="preserve">خضر </t>
  </si>
  <si>
    <t>نبي شيت</t>
  </si>
  <si>
    <t>جنتا</t>
  </si>
  <si>
    <t>يحفوفا</t>
  </si>
  <si>
    <t>حور تعلا</t>
  </si>
  <si>
    <t>بريتال</t>
  </si>
  <si>
    <t xml:space="preserve">خريبة </t>
  </si>
  <si>
    <t>مزرعة بيت مشيك</t>
  </si>
  <si>
    <t>بوداي</t>
  </si>
  <si>
    <t>معربون</t>
  </si>
  <si>
    <t>حام</t>
  </si>
  <si>
    <t>عين البنية</t>
  </si>
  <si>
    <t>شليفا</t>
  </si>
  <si>
    <t>النبي سباط</t>
  </si>
  <si>
    <t>طفيل</t>
  </si>
  <si>
    <t>هرمل</t>
  </si>
  <si>
    <t>زغرين</t>
  </si>
  <si>
    <t>شربين</t>
  </si>
  <si>
    <t>الخرائب صيدا</t>
  </si>
  <si>
    <t>الخرائب</t>
  </si>
  <si>
    <t>عقبة راشيّا</t>
  </si>
  <si>
    <t>عيحا</t>
  </si>
  <si>
    <t>ضهر الاحمر</t>
  </si>
  <si>
    <t>بيت لهيا</t>
  </si>
  <si>
    <t>تنورة</t>
  </si>
  <si>
    <t>كفرقوق</t>
  </si>
  <si>
    <t>كفر دنيس</t>
  </si>
  <si>
    <t xml:space="preserve">محيدثه </t>
  </si>
  <si>
    <t xml:space="preserve">كوكبا </t>
  </si>
  <si>
    <t>كوكبا حاصبيّا</t>
  </si>
  <si>
    <t>خربة روحا</t>
  </si>
  <si>
    <t>كفر مشكي</t>
  </si>
  <si>
    <t>الرافد راشيا</t>
  </si>
  <si>
    <t>بيرة راشّيا</t>
  </si>
  <si>
    <t>عين عرب</t>
  </si>
  <si>
    <t>عين عرب مرجعيون</t>
  </si>
  <si>
    <t>عين عطا</t>
  </si>
  <si>
    <t>مجدل بلهيص</t>
  </si>
  <si>
    <t>بكا</t>
  </si>
  <si>
    <t>مدوخا</t>
  </si>
  <si>
    <t>ينطا</t>
  </si>
  <si>
    <t>دير العشاير</t>
  </si>
  <si>
    <t>مزرعة سلساتا</t>
  </si>
  <si>
    <t>عيتا الفخار</t>
  </si>
  <si>
    <t>حلوة</t>
  </si>
  <si>
    <t>الوسطاني</t>
  </si>
  <si>
    <t>صيدا الدكرمان</t>
  </si>
  <si>
    <t>برامية</t>
  </si>
  <si>
    <t>هلالية صيدا</t>
  </si>
  <si>
    <t>حارة صيدا</t>
  </si>
  <si>
    <t>مية ومية</t>
  </si>
  <si>
    <t>صالحية</t>
  </si>
  <si>
    <t>كفريا زغرتا</t>
  </si>
  <si>
    <t>كفريا</t>
  </si>
  <si>
    <t>كفريا بقاع الغربي</t>
  </si>
  <si>
    <t>مجدليون</t>
  </si>
  <si>
    <t xml:space="preserve">عبرا </t>
  </si>
  <si>
    <t>قرية صيدا</t>
  </si>
  <si>
    <t>بقسطا</t>
  </si>
  <si>
    <t>عين الدلب</t>
  </si>
  <si>
    <t>غازية</t>
  </si>
  <si>
    <t>مغدوشة</t>
  </si>
  <si>
    <t>درب السيم</t>
  </si>
  <si>
    <t>قناريت</t>
  </si>
  <si>
    <t>زيتا</t>
  </si>
  <si>
    <t>زغدرايا</t>
  </si>
  <si>
    <t>طنبوريت</t>
  </si>
  <si>
    <t>ارزي</t>
  </si>
  <si>
    <t>زرارية</t>
  </si>
  <si>
    <t>عدلون</t>
  </si>
  <si>
    <t>إنصارية</t>
  </si>
  <si>
    <t>لوبية</t>
  </si>
  <si>
    <t>بابلية</t>
  </si>
  <si>
    <t>خرطوم</t>
  </si>
  <si>
    <t>غسانية</t>
  </si>
  <si>
    <t>صرفند</t>
  </si>
  <si>
    <t>قعقعية الصنوبر</t>
  </si>
  <si>
    <t>بيسارية</t>
  </si>
  <si>
    <t>كوثرية السياد</t>
  </si>
  <si>
    <t>تفاحتا</t>
  </si>
  <si>
    <t>سكسكية</t>
  </si>
  <si>
    <t>مروانية</t>
  </si>
  <si>
    <t>نجارية</t>
  </si>
  <si>
    <t>عدّوسية</t>
  </si>
  <si>
    <t>حجة</t>
  </si>
  <si>
    <t>خزيز</t>
  </si>
  <si>
    <t>معمارية</t>
  </si>
  <si>
    <t>عقتنيت</t>
  </si>
  <si>
    <t>اركي</t>
  </si>
  <si>
    <t>بنعفول</t>
  </si>
  <si>
    <t>برتي</t>
  </si>
  <si>
    <t>عنقون</t>
  </si>
  <si>
    <t>كفربيت</t>
  </si>
  <si>
    <t>كفرحتى</t>
  </si>
  <si>
    <t>كفر شلال</t>
  </si>
  <si>
    <t>برج الشمالي</t>
  </si>
  <si>
    <t>باتوليه</t>
  </si>
  <si>
    <t>دير قانون</t>
  </si>
  <si>
    <t>جويا</t>
  </si>
  <si>
    <t>دبعل</t>
  </si>
  <si>
    <t>المجادل</t>
  </si>
  <si>
    <t>مزرعة المشرف</t>
  </si>
  <si>
    <t>عيتيت</t>
  </si>
  <si>
    <t>وادي جيلو</t>
  </si>
  <si>
    <t>بافليه</t>
  </si>
  <si>
    <t>ديرعامص</t>
  </si>
  <si>
    <t>باريش</t>
  </si>
  <si>
    <t>البياض صور</t>
  </si>
  <si>
    <t xml:space="preserve">سلعا </t>
  </si>
  <si>
    <t>قانا</t>
  </si>
  <si>
    <t>معركة</t>
  </si>
  <si>
    <t>نفاخية</t>
  </si>
  <si>
    <t>معروب</t>
  </si>
  <si>
    <t>رشكنانيه</t>
  </si>
  <si>
    <t>جناتا</t>
  </si>
  <si>
    <t>دردغايا</t>
  </si>
  <si>
    <t>صديقين</t>
  </si>
  <si>
    <t xml:space="preserve">حميري </t>
  </si>
  <si>
    <t>بازورية</t>
  </si>
  <si>
    <t>حناوي</t>
  </si>
  <si>
    <t>دير كيفا</t>
  </si>
  <si>
    <t>طير دبّه</t>
  </si>
  <si>
    <t xml:space="preserve">شهابية </t>
  </si>
  <si>
    <t>ارزون</t>
  </si>
  <si>
    <t>رمادية</t>
  </si>
  <si>
    <t>طورا</t>
  </si>
  <si>
    <t>دير قانون النهر</t>
  </si>
  <si>
    <t>شحور</t>
  </si>
  <si>
    <t>صريفا</t>
  </si>
  <si>
    <t>حلوسية</t>
  </si>
  <si>
    <t>طير فلسيه</t>
  </si>
  <si>
    <t>بدياس</t>
  </si>
  <si>
    <t xml:space="preserve">عباسية </t>
  </si>
  <si>
    <t>شعيتية</t>
  </si>
  <si>
    <t>جبال البطم</t>
  </si>
  <si>
    <t>برج رحال</t>
  </si>
  <si>
    <t>شيحين</t>
  </si>
  <si>
    <t>زبقين</t>
  </si>
  <si>
    <t>قليلة</t>
  </si>
  <si>
    <t>عين ابو عبدالله</t>
  </si>
  <si>
    <t>جبين</t>
  </si>
  <si>
    <t>حنية</t>
  </si>
  <si>
    <t>طير حرفا</t>
  </si>
  <si>
    <t>المنصوري</t>
  </si>
  <si>
    <t>مجدل زون</t>
  </si>
  <si>
    <t>شمع</t>
  </si>
  <si>
    <t>يارين</t>
  </si>
  <si>
    <t>مروحين</t>
  </si>
  <si>
    <t>الناقورة</t>
  </si>
  <si>
    <t>علما الشعب</t>
  </si>
  <si>
    <t>بستان صور</t>
  </si>
  <si>
    <t xml:space="preserve">ظهيرة </t>
  </si>
  <si>
    <t>مزرعة الزلوطية</t>
  </si>
  <si>
    <t>وادي جزين</t>
  </si>
  <si>
    <t>قيتولي</t>
  </si>
  <si>
    <t>بكاسين</t>
  </si>
  <si>
    <t>حمصية</t>
  </si>
  <si>
    <t>صّباح</t>
  </si>
  <si>
    <t>حيطورة</t>
  </si>
  <si>
    <t>غبَاطية</t>
  </si>
  <si>
    <t xml:space="preserve">مكنونية </t>
  </si>
  <si>
    <t>بتدين اللقش</t>
  </si>
  <si>
    <t>مشموشة</t>
  </si>
  <si>
    <t xml:space="preserve">ميدان </t>
  </si>
  <si>
    <t>كفرحون</t>
  </si>
  <si>
    <t>الحرف</t>
  </si>
  <si>
    <t>زحلتا</t>
  </si>
  <si>
    <t>بحنين</t>
  </si>
  <si>
    <t>عازور</t>
  </si>
  <si>
    <t>تعيد</t>
  </si>
  <si>
    <t>بسري</t>
  </si>
  <si>
    <t>كفرفالوس</t>
  </si>
  <si>
    <t>مراح الحباس</t>
  </si>
  <si>
    <t>حيتوله</t>
  </si>
  <si>
    <t>لبعا</t>
  </si>
  <si>
    <t>محاربية</t>
  </si>
  <si>
    <t>صفاريه</t>
  </si>
  <si>
    <t>حسانية</t>
  </si>
  <si>
    <t>كرخا</t>
  </si>
  <si>
    <t>شواليق جزين</t>
  </si>
  <si>
    <t>وادي بعنقودين</t>
  </si>
  <si>
    <t>مجيدل</t>
  </si>
  <si>
    <t>جنسنايا</t>
  </si>
  <si>
    <t>ريمات</t>
  </si>
  <si>
    <t>صيدون</t>
  </si>
  <si>
    <t>انان</t>
  </si>
  <si>
    <t>روم</t>
  </si>
  <si>
    <t xml:space="preserve">دير قطِين </t>
  </si>
  <si>
    <t>سنيَا</t>
  </si>
  <si>
    <t>قتالة جزين</t>
  </si>
  <si>
    <t>جرنايا</t>
  </si>
  <si>
    <t>مزرعة المطحنة</t>
  </si>
  <si>
    <t>سريرة</t>
  </si>
  <si>
    <t>عرمتى</t>
  </si>
  <si>
    <t>مليخ</t>
  </si>
  <si>
    <t>قطراني</t>
  </si>
  <si>
    <t>سجد</t>
  </si>
  <si>
    <t>عيشية</t>
  </si>
  <si>
    <t>الجرمق</t>
  </si>
  <si>
    <t>بوصلايا</t>
  </si>
  <si>
    <t>عدشيت الشقيف</t>
  </si>
  <si>
    <t>إنصار</t>
  </si>
  <si>
    <t>يحمر</t>
  </si>
  <si>
    <t>مارون الراس</t>
  </si>
  <si>
    <t>عين ابل</t>
  </si>
  <si>
    <t>عيترون</t>
  </si>
  <si>
    <t>يارون</t>
  </si>
  <si>
    <t>رميش</t>
  </si>
  <si>
    <t>عيتا الشعب</t>
  </si>
  <si>
    <t>رامية بنت جبيل</t>
  </si>
  <si>
    <t>تبنين</t>
  </si>
  <si>
    <t xml:space="preserve">سلطانية </t>
  </si>
  <si>
    <t>صفد البطيخ</t>
  </si>
  <si>
    <t>جميجمة</t>
  </si>
  <si>
    <t>عيتا الجبل الزط</t>
  </si>
  <si>
    <t>برعشيت</t>
  </si>
  <si>
    <t xml:space="preserve">شقرا </t>
  </si>
  <si>
    <t>حداثا</t>
  </si>
  <si>
    <t>خربة سلم</t>
  </si>
  <si>
    <t>بيت ياحون</t>
  </si>
  <si>
    <t>حاريص</t>
  </si>
  <si>
    <t>دير نطار</t>
  </si>
  <si>
    <t>كفر دونين</t>
  </si>
  <si>
    <t>كونين</t>
  </si>
  <si>
    <t>طيري</t>
  </si>
  <si>
    <t>كفرا بنت جبيل</t>
  </si>
  <si>
    <t>قلويه</t>
  </si>
  <si>
    <t>برج قلويه</t>
  </si>
  <si>
    <t>صربين</t>
  </si>
  <si>
    <t>رشاف</t>
  </si>
  <si>
    <t>غندورية بنت جبيل</t>
  </si>
  <si>
    <t>فرون</t>
  </si>
  <si>
    <t>ياطر</t>
  </si>
  <si>
    <t>دبل امية</t>
  </si>
  <si>
    <t>حنين</t>
  </si>
  <si>
    <t>بيت ليف</t>
  </si>
  <si>
    <t>قوزح</t>
  </si>
  <si>
    <t>بويضة مرجعيون</t>
  </si>
  <si>
    <t>دبين</t>
  </si>
  <si>
    <t>ابل السقي</t>
  </si>
  <si>
    <t>برج الملوك</t>
  </si>
  <si>
    <t>قليعة</t>
  </si>
  <si>
    <t>الخيام</t>
  </si>
  <si>
    <t>دير ميماس</t>
  </si>
  <si>
    <t>مزرعة  سردة</t>
  </si>
  <si>
    <t>عديسة مرجعيون</t>
  </si>
  <si>
    <t>بني حيان</t>
  </si>
  <si>
    <t>كفركيلا</t>
  </si>
  <si>
    <t>دير سريان</t>
  </si>
  <si>
    <t>حولا</t>
  </si>
  <si>
    <t>طلوسة</t>
  </si>
  <si>
    <t>مركبا</t>
  </si>
  <si>
    <t>محيبيب</t>
  </si>
  <si>
    <t>ميس الجبل</t>
  </si>
  <si>
    <t>رب التلاتين</t>
  </si>
  <si>
    <t>قبريخا</t>
  </si>
  <si>
    <t>القنطرة</t>
  </si>
  <si>
    <t>قنطرة</t>
  </si>
  <si>
    <t>مجدل سلم</t>
  </si>
  <si>
    <t>تولين</t>
  </si>
  <si>
    <t>بليدا</t>
  </si>
  <si>
    <t>علمانة</t>
  </si>
  <si>
    <t>أبو قمحة</t>
  </si>
  <si>
    <t>عين جرفا</t>
  </si>
  <si>
    <t>الفرديس</t>
  </si>
  <si>
    <t>راشيّا الفخار</t>
  </si>
  <si>
    <t>هبّارية</t>
  </si>
  <si>
    <t>عين قنيا</t>
  </si>
  <si>
    <t>ميمس</t>
  </si>
  <si>
    <t>شبعا</t>
  </si>
  <si>
    <t>برغز</t>
  </si>
  <si>
    <t>ماري</t>
  </si>
  <si>
    <t>كفر شوبا</t>
  </si>
  <si>
    <t>خلوات حاصبيّا</t>
  </si>
  <si>
    <t>كفير الزيت</t>
  </si>
  <si>
    <t>مجيدية حاصبيا</t>
  </si>
  <si>
    <t>دلافة</t>
  </si>
  <si>
    <t>Bourj Hammoud</t>
  </si>
  <si>
    <t>El Meten</t>
  </si>
  <si>
    <t>Mount Lebanon</t>
  </si>
  <si>
    <t>Minie</t>
  </si>
  <si>
    <t>El Minieh-Dennie</t>
  </si>
  <si>
    <t>North</t>
  </si>
  <si>
    <t>Barja</t>
  </si>
  <si>
    <t>Chouf</t>
  </si>
  <si>
    <t>Naame</t>
  </si>
  <si>
    <t>Baouchriye</t>
  </si>
  <si>
    <t>Chhim</t>
  </si>
  <si>
    <t>Jiye</t>
  </si>
  <si>
    <t>Jadra</t>
  </si>
  <si>
    <t>Damour</t>
  </si>
  <si>
    <t>Dekouane</t>
  </si>
  <si>
    <t>Sinn El-Fil</t>
  </si>
  <si>
    <t>Chikka</t>
  </si>
  <si>
    <t>El Batroun</t>
  </si>
  <si>
    <t>Fanar</t>
  </si>
  <si>
    <t>Bterram</t>
  </si>
  <si>
    <t>El Koura</t>
  </si>
  <si>
    <t>Batroun</t>
  </si>
  <si>
    <t>Nabatieh Et-Tahta</t>
  </si>
  <si>
    <t>El Nabatieh</t>
  </si>
  <si>
    <t>Jdaidet El-Matn</t>
  </si>
  <si>
    <t>Sir Ed-Danniye</t>
  </si>
  <si>
    <t>Ras Masqa</t>
  </si>
  <si>
    <t>Rmeilet Ech-Chouf</t>
  </si>
  <si>
    <t>Habbouch En-Nabatiyeh</t>
  </si>
  <si>
    <t>Toul</t>
  </si>
  <si>
    <t>Dedde</t>
  </si>
  <si>
    <t>Kfar Roummane</t>
  </si>
  <si>
    <t>Enfe</t>
  </si>
  <si>
    <t>Baaqline</t>
  </si>
  <si>
    <t>Bakhaaoun</t>
  </si>
  <si>
    <t>Ketermaya</t>
  </si>
  <si>
    <t>Deir Aammar</t>
  </si>
  <si>
    <t>Kfar Tibnit</t>
  </si>
  <si>
    <t>Douair En-Nabatiyeh</t>
  </si>
  <si>
    <t>Choueir</t>
  </si>
  <si>
    <t>Nabatiyeh El-Faouka</t>
  </si>
  <si>
    <t>Antelias</t>
  </si>
  <si>
    <t>Bikfaya</t>
  </si>
  <si>
    <t>Deir Ez-Zahrani</t>
  </si>
  <si>
    <t>Broummana El-Matn</t>
  </si>
  <si>
    <t>Koubba</t>
  </si>
  <si>
    <t>Amioun</t>
  </si>
  <si>
    <t>Baabdat</t>
  </si>
  <si>
    <t>Merkebta</t>
  </si>
  <si>
    <t>Dibbiye</t>
  </si>
  <si>
    <t>Kfar Aaqqa</t>
  </si>
  <si>
    <t>Nakhle</t>
  </si>
  <si>
    <t>Kousba</t>
  </si>
  <si>
    <t>Bteghrine</t>
  </si>
  <si>
    <t>mazboud</t>
  </si>
  <si>
    <t>Kfar Habou</t>
  </si>
  <si>
    <t>Dbaye</t>
  </si>
  <si>
    <t>Ouardaniye</t>
  </si>
  <si>
    <t>Jall Ed-Did</t>
  </si>
  <si>
    <t>Sibline</t>
  </si>
  <si>
    <t>Choukine</t>
  </si>
  <si>
    <t>Zefta</t>
  </si>
  <si>
    <t>Deir Nbouh</t>
  </si>
  <si>
    <t>Joun</t>
  </si>
  <si>
    <t>Zalqa</t>
  </si>
  <si>
    <t>Mazraat Yachouaa</t>
  </si>
  <si>
    <t>Tannourine El-Faouqa</t>
  </si>
  <si>
    <t>Aarab Salim</t>
  </si>
  <si>
    <t>Bcharre</t>
  </si>
  <si>
    <t>Bqaa Sefrine</t>
  </si>
  <si>
    <t>Beit Meri</t>
  </si>
  <si>
    <t>Baskinta</t>
  </si>
  <si>
    <t>Kfar Him</t>
  </si>
  <si>
    <t>Kfar Chellane</t>
  </si>
  <si>
    <t>Dar Baaechtar</t>
  </si>
  <si>
    <t>Sir El-Gharbiye</t>
  </si>
  <si>
    <t>Knisse</t>
  </si>
  <si>
    <t>Akkar</t>
  </si>
  <si>
    <t>Aalmane Ech-Chouf</t>
  </si>
  <si>
    <t>Mghairiye Ech-Chouf</t>
  </si>
  <si>
    <t>Bsarma</t>
  </si>
  <si>
    <t>Deir El-Qamar</t>
  </si>
  <si>
    <t>Semqaniye</t>
  </si>
  <si>
    <t>Aanout</t>
  </si>
  <si>
    <t>Harouf En-Nabatiyeh</t>
  </si>
  <si>
    <t>Byaqout</t>
  </si>
  <si>
    <t>Mrouj</t>
  </si>
  <si>
    <t>Roumie</t>
  </si>
  <si>
    <t>Kfar Sir</t>
  </si>
  <si>
    <t>Baassir</t>
  </si>
  <si>
    <t>Bqarsouna</t>
  </si>
  <si>
    <t>Aafsdiq</t>
  </si>
  <si>
    <t>Houmine El-Faouqa</t>
  </si>
  <si>
    <t>Aain Saade</t>
  </si>
  <si>
    <t>Qaaqaaiyet Ej-Jisr</t>
  </si>
  <si>
    <t>Aassoun</t>
  </si>
  <si>
    <t>Beit Chabab</t>
  </si>
  <si>
    <t>Kfar Aabida</t>
  </si>
  <si>
    <t>Btouratij</t>
  </si>
  <si>
    <t>Bziza</t>
  </si>
  <si>
    <t>Aabrine</t>
  </si>
  <si>
    <t>Bater</t>
  </si>
  <si>
    <t>Dahr Es-Souane El-Matn</t>
  </si>
  <si>
    <t>Naqqach</t>
  </si>
  <si>
    <t>Heri</t>
  </si>
  <si>
    <t>Dmit</t>
  </si>
  <si>
    <t>Qalhat</t>
  </si>
  <si>
    <t>Mayfadoun</t>
  </si>
  <si>
    <t>Chibtine</t>
  </si>
  <si>
    <t>Hamat</t>
  </si>
  <si>
    <t>Mtayleb</t>
  </si>
  <si>
    <t>Ras Nahhach</t>
  </si>
  <si>
    <t>Batroumine</t>
  </si>
  <si>
    <t>Izal</t>
  </si>
  <si>
    <t>Himlaya</t>
  </si>
  <si>
    <t>Nmairiye</t>
  </si>
  <si>
    <t>Douma</t>
  </si>
  <si>
    <t>Zaoutar Ech-Charqiye</t>
  </si>
  <si>
    <t>Majdel El-Meouch</t>
  </si>
  <si>
    <t>Bechmizzine</t>
  </si>
  <si>
    <t>Zakrit</t>
  </si>
  <si>
    <t>Jibchit</t>
  </si>
  <si>
    <t>Qornet Chehouane</t>
  </si>
  <si>
    <t>Kfar Nabrakh</t>
  </si>
  <si>
    <t>Jouret El-Ballout</t>
  </si>
  <si>
    <t>Mtain</t>
  </si>
  <si>
    <t>Gharife</t>
  </si>
  <si>
    <t>Hasroun</t>
  </si>
  <si>
    <t>Aabba</t>
  </si>
  <si>
    <t>Mazraat Ech-Chouf</t>
  </si>
  <si>
    <t>Charqiye</t>
  </si>
  <si>
    <t>Fiaa</t>
  </si>
  <si>
    <t>Ouarhaniye</t>
  </si>
  <si>
    <t>Roumine</t>
  </si>
  <si>
    <t>Brih</t>
  </si>
  <si>
    <t>Zaarouriye</t>
  </si>
  <si>
    <t>Bsalim</t>
  </si>
  <si>
    <t>Ouata El-Mrouj</t>
  </si>
  <si>
    <t>Zakroun</t>
  </si>
  <si>
    <t>Mkalles</t>
  </si>
  <si>
    <t>Dar Chmizzine</t>
  </si>
  <si>
    <t>Dalhoun</t>
  </si>
  <si>
    <t>Barghoun</t>
  </si>
  <si>
    <t>Houmine Et-Tahta</t>
  </si>
  <si>
    <t>Aain Zhalta</t>
  </si>
  <si>
    <t>Braiqeaa</t>
  </si>
  <si>
    <t>Assia</t>
  </si>
  <si>
    <t>Bchtfine</t>
  </si>
  <si>
    <t>aain Aalaq</t>
  </si>
  <si>
    <t>Hasrout</t>
  </si>
  <si>
    <t>Nabi Youcheaa</t>
  </si>
  <si>
    <t>Aain Qana</t>
  </si>
  <si>
    <t>Jahliye</t>
  </si>
  <si>
    <t>Botme</t>
  </si>
  <si>
    <t>Barouk</t>
  </si>
  <si>
    <t>Aain Et-Tine-Miniyé</t>
  </si>
  <si>
    <t>Rachkida</t>
  </si>
  <si>
    <t>Batloun</t>
  </si>
  <si>
    <t>Zaraaoun</t>
  </si>
  <si>
    <t>Mechref</t>
  </si>
  <si>
    <t>AAbdelli</t>
  </si>
  <si>
    <t>Arnoun</t>
  </si>
  <si>
    <t>Btaaboura</t>
  </si>
  <si>
    <t>Beit Chlala</t>
  </si>
  <si>
    <t>Boqsmaiya</t>
  </si>
  <si>
    <t>tarane</t>
  </si>
  <si>
    <t>Bourjein</t>
  </si>
  <si>
    <t>Sghar</t>
  </si>
  <si>
    <t>Mar Moussa Ed-Douar</t>
  </si>
  <si>
    <t>Bkeftine</t>
  </si>
  <si>
    <t>Tannourine Et-Tahta</t>
  </si>
  <si>
    <t>Beit Ech-Chaar</t>
  </si>
  <si>
    <t>Baadarane</t>
  </si>
  <si>
    <t>Ijdabra</t>
  </si>
  <si>
    <t>Fraike</t>
  </si>
  <si>
    <t>Majdalouna</t>
  </si>
  <si>
    <t>Thoum</t>
  </si>
  <si>
    <t>Aainbal</t>
  </si>
  <si>
    <t>Chatine</t>
  </si>
  <si>
    <t>Aathrine</t>
  </si>
  <si>
    <t>Kfifane</t>
  </si>
  <si>
    <t>Raouda-Aadoua</t>
  </si>
  <si>
    <t>Mazraat Es-Dahr</t>
  </si>
  <si>
    <t>Zaghartaghrine</t>
  </si>
  <si>
    <t>Douar El-Matn</t>
  </si>
  <si>
    <t>Aain Ouzain</t>
  </si>
  <si>
    <t>Mrah Es-Srayj</t>
  </si>
  <si>
    <t>Aazqai</t>
  </si>
  <si>
    <t>Jrane El-Batroun</t>
  </si>
  <si>
    <t>Bfaroue</t>
  </si>
  <si>
    <t>Jarjouaa</t>
  </si>
  <si>
    <t>Khinchara</t>
  </si>
  <si>
    <t>Btermaz</t>
  </si>
  <si>
    <t>Ijdaabrine</t>
  </si>
  <si>
    <t>Haqath Ej-Jebbe</t>
  </si>
  <si>
    <t>Beit Ed-Dine</t>
  </si>
  <si>
    <t>Moukhtara</t>
  </si>
  <si>
    <t>Bijdarfil</t>
  </si>
  <si>
    <t>Jrabta El-Batroun</t>
  </si>
  <si>
    <t>Jbaa Ech-Chouf</t>
  </si>
  <si>
    <t>Daychouniye</t>
  </si>
  <si>
    <t>Deir Dourit</t>
  </si>
  <si>
    <t>Ain Aakrine</t>
  </si>
  <si>
    <t>Kfarfila</t>
  </si>
  <si>
    <t>Berhalioun</t>
  </si>
  <si>
    <t>Selaata</t>
  </si>
  <si>
    <t>Bqennaya</t>
  </si>
  <si>
    <t>Bcheaali</t>
  </si>
  <si>
    <t>Qaaqour</t>
  </si>
  <si>
    <t>Hadchit</t>
  </si>
  <si>
    <t>Bdebba</t>
  </si>
  <si>
    <t>Bhersaf</t>
  </si>
  <si>
    <t>Dahr Ech-Chouf</t>
  </si>
  <si>
    <t>Sirjbal</t>
  </si>
  <si>
    <t>Deir Billa</t>
  </si>
  <si>
    <t>Kour</t>
  </si>
  <si>
    <t>Smar Jbayl</t>
  </si>
  <si>
    <t>Qornet El-Hamra</t>
  </si>
  <si>
    <t>Jebla</t>
  </si>
  <si>
    <t>Bechtoudar</t>
  </si>
  <si>
    <t>Zaoutar El-Gharbiye</t>
  </si>
  <si>
    <t>Kfar Hay</t>
  </si>
  <si>
    <t>Mehmarch</t>
  </si>
  <si>
    <t>Borj El-Yahoudiye</t>
  </si>
  <si>
    <t>Qarsaita</t>
  </si>
  <si>
    <t>Jmailiye</t>
  </si>
  <si>
    <t>Mtolle</t>
  </si>
  <si>
    <t>Mayasse</t>
  </si>
  <si>
    <t>Haret Jandal</t>
  </si>
  <si>
    <t>Ouadi Es-Sitt</t>
  </si>
  <si>
    <t>Abou Mizane</t>
  </si>
  <si>
    <t>Dik El-Mehdi</t>
  </si>
  <si>
    <t>Kaftoun</t>
  </si>
  <si>
    <t>Bayqoun</t>
  </si>
  <si>
    <t>Qattine-Miniyé</t>
  </si>
  <si>
    <t>Deir Chamra</t>
  </si>
  <si>
    <t>Kfour El-Aarbi</t>
  </si>
  <si>
    <t>Bnehran</t>
  </si>
  <si>
    <t>Aatchane</t>
  </si>
  <si>
    <t>Aazzi</t>
  </si>
  <si>
    <t>Menqlet Mezher</t>
  </si>
  <si>
    <t>Aayroun</t>
  </si>
  <si>
    <t>Deir Kouche</t>
  </si>
  <si>
    <t>Chaouiye</t>
  </si>
  <si>
    <t>Aalali</t>
  </si>
  <si>
    <t>Rachana</t>
  </si>
  <si>
    <t>Masqa</t>
  </si>
  <si>
    <t>Maasser Beit Ed-Dine</t>
  </si>
  <si>
    <t>Douq</t>
  </si>
  <si>
    <t>Masrah</t>
  </si>
  <si>
    <t>Behouaita</t>
  </si>
  <si>
    <t>Mrah Es-Sfire</t>
  </si>
  <si>
    <t>Bhabbouch El-Koura</t>
  </si>
  <si>
    <t>Deir Baba</t>
  </si>
  <si>
    <t>Kfar Niss</t>
  </si>
  <si>
    <t>Helta</t>
  </si>
  <si>
    <t>Badbhoun</t>
  </si>
  <si>
    <t>Haouaret-Miniye</t>
  </si>
  <si>
    <t>Rechdibbine</t>
  </si>
  <si>
    <t>Majdel tarchich</t>
  </si>
  <si>
    <t>Bazaaoun</t>
  </si>
  <si>
    <t>Khirbet Bisri</t>
  </si>
  <si>
    <t>Beit El-Kekko</t>
  </si>
  <si>
    <t>Karm El-Mohr</t>
  </si>
  <si>
    <t>Metrit</t>
  </si>
  <si>
    <t>maaniye</t>
  </si>
  <si>
    <t>Ghouma</t>
  </si>
  <si>
    <t>Beit El-Faqs</t>
  </si>
  <si>
    <t>Mrah Ez Ziyat</t>
  </si>
  <si>
    <t>Bqerqacha</t>
  </si>
  <si>
    <t>Hadtoun</t>
  </si>
  <si>
    <t>Mrah El-Hajj</t>
  </si>
  <si>
    <t>Marjaba</t>
  </si>
  <si>
    <t>Jleiliye</t>
  </si>
  <si>
    <t>Kahf El-Malloul</t>
  </si>
  <si>
    <t>Aartiz</t>
  </si>
  <si>
    <t>Daraya El-Batroun</t>
  </si>
  <si>
    <t>Aammatour</t>
  </si>
  <si>
    <t>Aain Es-Sindiane</t>
  </si>
  <si>
    <t>Mchikha</t>
  </si>
  <si>
    <t>Dimane</t>
  </si>
  <si>
    <t>Mazraat Deir Aaoukar</t>
  </si>
  <si>
    <t>Qennabet Broummana</t>
  </si>
  <si>
    <t>Kfar Bibnine</t>
  </si>
  <si>
    <t>Nahle El-Batroun</t>
  </si>
  <si>
    <t>Michaa Mrajhine</t>
  </si>
  <si>
    <t>El Hermel</t>
  </si>
  <si>
    <t>Baalbek-El Hermel</t>
  </si>
  <si>
    <t>Aain El-Qabu</t>
  </si>
  <si>
    <t>Chourit</t>
  </si>
  <si>
    <t>Mazraat Aassaf</t>
  </si>
  <si>
    <t>Kfarb Shlaimane</t>
  </si>
  <si>
    <t>Sourat El-Batroun</t>
  </si>
  <si>
    <t>Mar Boutros Karm Et-Tine</t>
  </si>
  <si>
    <t>Zabbougha</t>
  </si>
  <si>
    <t>Deir  El-Moukhalles Ech-Chouf</t>
  </si>
  <si>
    <t>Mazmoura</t>
  </si>
  <si>
    <t>Aain es-Sofsaf El-Matn</t>
  </si>
  <si>
    <t>Mristi</t>
  </si>
  <si>
    <t>Ouadi bnehlay</t>
  </si>
  <si>
    <t>Ouajh El-Hajjar</t>
  </si>
  <si>
    <t>Mar Mama</t>
  </si>
  <si>
    <t>Beit Haouik</t>
  </si>
  <si>
    <t>Qannebet Salima</t>
  </si>
  <si>
    <t>Hardine</t>
  </si>
  <si>
    <t>Aain Et-Teffaha</t>
  </si>
  <si>
    <t>Jouar El-Matn</t>
  </si>
  <si>
    <t>Jayroun</t>
  </si>
  <si>
    <t>Bane</t>
  </si>
  <si>
    <t>Breissat</t>
  </si>
  <si>
    <t>Maasser Ech-Chouf</t>
  </si>
  <si>
    <t>Mrah Chdid</t>
  </si>
  <si>
    <t>Sfeilet Bikfaya</t>
  </si>
  <si>
    <t>Mimrine</t>
  </si>
  <si>
    <t>Aabdine</t>
  </si>
  <si>
    <t>Bqaa Kafra</t>
  </si>
  <si>
    <t>Aain Aar</t>
  </si>
  <si>
    <t>Beit Menzer</t>
  </si>
  <si>
    <t>Tourza</t>
  </si>
  <si>
    <t>Chrine</t>
  </si>
  <si>
    <t>Khillet El-Mtain</t>
  </si>
  <si>
    <t>Aain Qania</t>
  </si>
  <si>
    <t>Daael</t>
  </si>
  <si>
    <t>Aain El-Kharroube</t>
  </si>
  <si>
    <t>Qemmamine</t>
  </si>
  <si>
    <t>Blaouza</t>
  </si>
  <si>
    <t>Ouadi Qannoubine</t>
  </si>
  <si>
    <t>Qnayouer</t>
  </si>
  <si>
    <t>Ouadi Ed-Deir</t>
  </si>
  <si>
    <t>Ftahat El-Batroun</t>
  </si>
  <si>
    <t>Ouata Houb</t>
  </si>
  <si>
    <t>Zgharta El-Mtaouile</t>
  </si>
  <si>
    <t>Aain Ez-Zeitoune</t>
  </si>
  <si>
    <t>Machraah El-Matn</t>
  </si>
  <si>
    <t>Ouadi Chahine</t>
  </si>
  <si>
    <t>Ouadi El-Karm El-Matn</t>
  </si>
  <si>
    <t>Aaymar</t>
  </si>
  <si>
    <t>Haql el Aazime</t>
  </si>
  <si>
    <t>Harf Es-Sayad</t>
  </si>
  <si>
    <t>Kharroub-Miniye</t>
  </si>
  <si>
    <t>Trablous Ez-Zeitoun</t>
  </si>
  <si>
    <t>Tripoli</t>
  </si>
  <si>
    <t>Zouq Bhannine</t>
  </si>
  <si>
    <t>Tall Aabbas El-Gharbi</t>
  </si>
  <si>
    <t>Zahle Maallaqa Aradi</t>
  </si>
  <si>
    <t>Zahle</t>
  </si>
  <si>
    <t>Bekaa</t>
  </si>
  <si>
    <t>Biret Aakkar</t>
  </si>
  <si>
    <t>Qoubber Chamra</t>
  </si>
  <si>
    <t>Aanjar (Haouch Moussa)</t>
  </si>
  <si>
    <t>Dayret Nahr El-Kabir</t>
  </si>
  <si>
    <t>Aadous</t>
  </si>
  <si>
    <t>Baalbek</t>
  </si>
  <si>
    <t>Jdeidet Ech-Chouf</t>
  </si>
  <si>
    <t>Aain Baal</t>
  </si>
  <si>
    <t>Sour</t>
  </si>
  <si>
    <t>South</t>
  </si>
  <si>
    <t>Kneisset Hnaider</t>
  </si>
  <si>
    <t>Tall Meaayan Tall Kiri</t>
  </si>
  <si>
    <t>Daraiya Ech-Chouf</t>
  </si>
  <si>
    <t>Furn Ech-Chebbak</t>
  </si>
  <si>
    <t>Baabda</t>
  </si>
  <si>
    <t>Qaabrine</t>
  </si>
  <si>
    <t>Haouchab</t>
  </si>
  <si>
    <t>Marjaayoun</t>
  </si>
  <si>
    <t>Salaiyeb</t>
  </si>
  <si>
    <t>Hasbaya</t>
  </si>
  <si>
    <t>Bhamdoun Ed-Dayaa</t>
  </si>
  <si>
    <t>Aley</t>
  </si>
  <si>
    <t>Hadath Baalbek</t>
  </si>
  <si>
    <t>Mina Jardin</t>
  </si>
  <si>
    <t>Kfar Hilda</t>
  </si>
  <si>
    <t>Hasbaiya</t>
  </si>
  <si>
    <t>Kfar Melki Saida</t>
  </si>
  <si>
    <t>Saida</t>
  </si>
  <si>
    <t>Zibdine En-Nabatiyeh</t>
  </si>
  <si>
    <t>Rachaiya</t>
  </si>
  <si>
    <t>Rachaya</t>
  </si>
  <si>
    <t>Kfar Hazir</t>
  </si>
  <si>
    <t>Ksara</t>
  </si>
  <si>
    <t>Mastita</t>
  </si>
  <si>
    <t>Jbeil</t>
  </si>
  <si>
    <t>Ehden</t>
  </si>
  <si>
    <t>Zgharta</t>
  </si>
  <si>
    <t>Mazraat Kfarjaouz</t>
  </si>
  <si>
    <t>Niha Zahle</t>
  </si>
  <si>
    <t>Mheilib</t>
  </si>
  <si>
    <t>Kfardlaqous</t>
  </si>
  <si>
    <t>Qaa Baayoun</t>
  </si>
  <si>
    <t>Zahle Aradi</t>
  </si>
  <si>
    <t>Semmaqli</t>
  </si>
  <si>
    <t>Nasriyet Rizk</t>
  </si>
  <si>
    <t>Qleiaat Kesrouane</t>
  </si>
  <si>
    <t>Kesrwane</t>
  </si>
  <si>
    <t>Qsaibet En-Nabatiyeh</t>
  </si>
  <si>
    <t>Jbaa En-Nabatiyeh</t>
  </si>
  <si>
    <t>Mazraat 'Mseileh</t>
  </si>
  <si>
    <t>Aain Bourday</t>
  </si>
  <si>
    <t>Sindianet Zeidane</t>
  </si>
  <si>
    <t>Mazraat El Yahoudiye (Aaitaniyé)</t>
  </si>
  <si>
    <t>Beirut Central District</t>
  </si>
  <si>
    <t>Beirut</t>
  </si>
  <si>
    <t>Kfar Kahel</t>
  </si>
  <si>
    <t>Kfarhata Zgharta</t>
  </si>
  <si>
    <t>Kfour En-Nabatieh</t>
  </si>
  <si>
    <t>Kfar Saroun El-Koura</t>
  </si>
  <si>
    <t>Kfar Faqoud</t>
  </si>
  <si>
    <t>Noura Et-Tahta</t>
  </si>
  <si>
    <t>Manara (Hammara) BG</t>
  </si>
  <si>
    <t>West Bekaa</t>
  </si>
  <si>
    <t>Moughayret Ech-Chouf</t>
  </si>
  <si>
    <t>Aamaret Chalhoub</t>
  </si>
  <si>
    <t>Balde WaMazraatBalde</t>
  </si>
  <si>
    <t>Hokr Etti</t>
  </si>
  <si>
    <t>Qarha Aakkar</t>
  </si>
  <si>
    <t>Hboub</t>
  </si>
  <si>
    <t>Matariyet Ech-Choumar</t>
  </si>
  <si>
    <t>Rihane Jezzine</t>
  </si>
  <si>
    <t>Jezzine</t>
  </si>
  <si>
    <t>Kafraya El-Koura</t>
  </si>
  <si>
    <t>Haouch El Qinnabe Rachaiya</t>
  </si>
  <si>
    <t>Edde El-Batroun</t>
  </si>
  <si>
    <t>Yohmor BG</t>
  </si>
  <si>
    <t>Hermel Jbab</t>
  </si>
  <si>
    <t>A'ain El-Mir (El Establ)</t>
  </si>
  <si>
    <t>Mazraat Kaoutariyet Er-Riz</t>
  </si>
  <si>
    <t>Mazraat Sinai</t>
  </si>
  <si>
    <t>Aaba</t>
  </si>
  <si>
    <t>Binnay</t>
  </si>
  <si>
    <t>Jdidet Ej-Joumeh</t>
  </si>
  <si>
    <t>Majdel el-Koura</t>
  </si>
  <si>
    <t>Mzaraat El-Ouasta</t>
  </si>
  <si>
    <t>Tall Sebaal</t>
  </si>
  <si>
    <t>Mansouriyet Bhamdoun</t>
  </si>
  <si>
    <t>Trablous Es-Souayqa</t>
  </si>
  <si>
    <t>Haouch Mandara</t>
  </si>
  <si>
    <t>Sakhra</t>
  </si>
  <si>
    <t>Aammiq Ech-Chouf</t>
  </si>
  <si>
    <t>Bsaba Baabda</t>
  </si>
  <si>
    <t>Ras Baalbek Ech-Charqi</t>
  </si>
  <si>
    <t>Khaldiye</t>
  </si>
  <si>
    <t>Morh Kfarsghab</t>
  </si>
  <si>
    <t>Ouadi Faara</t>
  </si>
  <si>
    <t>Qatnaaoun</t>
  </si>
  <si>
    <t>Benouati Jezzine</t>
  </si>
  <si>
    <t>Zighrine El-Matn</t>
  </si>
  <si>
    <t>Khereibet Ech-Chouf</t>
  </si>
  <si>
    <t>Maaysra El-Hermel</t>
  </si>
  <si>
    <t>Kfar Baal</t>
  </si>
  <si>
    <t>Aarab Ej-Jall</t>
  </si>
  <si>
    <t>Tall Znoub</t>
  </si>
  <si>
    <t>Janine</t>
  </si>
  <si>
    <t>Bednayel El-Koura</t>
  </si>
  <si>
    <t>haouch El-Dehab</t>
  </si>
  <si>
    <t>Aamriyet Aakkar</t>
  </si>
  <si>
    <t>Mazraat Deir Taqla</t>
  </si>
  <si>
    <t>Bechnnata</t>
  </si>
  <si>
    <t>Qartaboun</t>
  </si>
  <si>
    <t>Aaray</t>
  </si>
  <si>
    <t>Zahle Haouch El-Oumara</t>
  </si>
  <si>
    <t>Bsebaal</t>
  </si>
  <si>
    <t>Ras Baalbek El Gharbi</t>
  </si>
  <si>
    <t>Aarab Tabbaya</t>
  </si>
  <si>
    <t>Haouch El-Aamara</t>
  </si>
  <si>
    <t>Moghr El-Ahoual</t>
  </si>
  <si>
    <t>Bajjaje</t>
  </si>
  <si>
    <t>Sarba En-Nabatieh</t>
  </si>
  <si>
    <t>Aamchki</t>
  </si>
  <si>
    <t>Brayj Jbayl</t>
  </si>
  <si>
    <t>Aadchit El-Qoussair</t>
  </si>
  <si>
    <t>Khirbet Ed-Douair Saida</t>
  </si>
  <si>
    <t>Basbina</t>
  </si>
  <si>
    <t>Hraiche</t>
  </si>
  <si>
    <t>Kfar Qatra</t>
  </si>
  <si>
    <t>Dinbou</t>
  </si>
  <si>
    <t>Qaa Jouar Maqiye</t>
  </si>
  <si>
    <t>Bqaiaa Ech-Chouf</t>
  </si>
  <si>
    <t>Marlaya Melhem</t>
  </si>
  <si>
    <t>Qelaya</t>
  </si>
  <si>
    <t>Kfar Harra</t>
  </si>
  <si>
    <t>Qnat</t>
  </si>
  <si>
    <t>Soltan Yacoub el Aradi</t>
  </si>
  <si>
    <t>Aain Ej-Jaouz Baalbek</t>
  </si>
  <si>
    <t>Barde</t>
  </si>
  <si>
    <t>Berbara Jbayl</t>
  </si>
  <si>
    <t>Chammis Ech-Chouf</t>
  </si>
  <si>
    <t>Kfar Aaqab</t>
  </si>
  <si>
    <t>Khalsa</t>
  </si>
  <si>
    <t>Daoudiye</t>
  </si>
  <si>
    <t>Aintoura El-Matn</t>
  </si>
  <si>
    <t>Aain Bou Souar</t>
  </si>
  <si>
    <t>Faouarat Jaafar</t>
  </si>
  <si>
    <t>Bnabil</t>
  </si>
  <si>
    <t>Kfar Hatna</t>
  </si>
  <si>
    <t>Terbol-Miniye</t>
  </si>
  <si>
    <t>Rmoul</t>
  </si>
  <si>
    <t>Kfar Aamay</t>
  </si>
  <si>
    <t>Aayoun El-Matn</t>
  </si>
  <si>
    <t>Niha El-Batroun</t>
  </si>
  <si>
    <t>Zahle Mar Gerges</t>
  </si>
  <si>
    <t>Toula Zgharta</t>
  </si>
  <si>
    <t>Deir El-Balamand</t>
  </si>
  <si>
    <t>Mhaidset Matn</t>
  </si>
  <si>
    <t>Rihaniyet-Miniye</t>
  </si>
  <si>
    <t>Marj Ez-Zouhour (Haouch El-Qinnaabe)</t>
  </si>
  <si>
    <t>Mchekhti</t>
  </si>
  <si>
    <t>Louayzet Jezzine</t>
  </si>
  <si>
    <t>Mazraat Kfar Beda</t>
  </si>
  <si>
    <t>Deir mar Roukoz</t>
  </si>
  <si>
    <t>Mchaa Kfar Dibiane</t>
  </si>
  <si>
    <t>Beit Zoud</t>
  </si>
  <si>
    <t>Deir Mar Maroun Baalbek</t>
  </si>
  <si>
    <t>Kneisset Ech-Chouf</t>
  </si>
  <si>
    <t>Qreiaa</t>
  </si>
  <si>
    <t>Aazra ouel Aazr</t>
  </si>
  <si>
    <t>Mighraq Aakkar</t>
  </si>
  <si>
    <t>Deir Tamich</t>
  </si>
  <si>
    <t>Haret El-Ballane</t>
  </si>
  <si>
    <t>Bestiyat</t>
  </si>
  <si>
    <t>Mousraye</t>
  </si>
  <si>
    <t>Mazraat El-Hdaira</t>
  </si>
  <si>
    <t>Jarjour</t>
  </si>
  <si>
    <t>Khreibet Hasbaiya</t>
  </si>
  <si>
    <t>Ouadi El-Laymoun</t>
  </si>
  <si>
    <t>Jijim</t>
  </si>
  <si>
    <t>Bqaq Ed-Dine</t>
  </si>
  <si>
    <t>Kharayeb Nahr Ibrahim</t>
  </si>
  <si>
    <t>Aain Rouha</t>
  </si>
  <si>
    <t>Mazraat Jamjim</t>
  </si>
  <si>
    <t>Iskandarouna Sour</t>
  </si>
  <si>
    <t>Danha</t>
  </si>
  <si>
    <t>Qaa Ouadi El-Khanzir</t>
  </si>
  <si>
    <t>Aalita</t>
  </si>
  <si>
    <t>Nahr Ed-Dahab</t>
  </si>
  <si>
    <t>Hoshmosh</t>
  </si>
  <si>
    <t>Msalla</t>
  </si>
  <si>
    <t>Kfar Qouas</t>
  </si>
  <si>
    <t>Maraat Ouazaiye</t>
  </si>
  <si>
    <t>Mazraat Khallet Khazen</t>
  </si>
  <si>
    <t>Jazira Saida</t>
  </si>
  <si>
    <t>Hariq Zgharta</t>
  </si>
  <si>
    <t>Bakkifac Rachaya</t>
  </si>
  <si>
    <t>Tebna</t>
  </si>
  <si>
    <t>Aaziye</t>
  </si>
  <si>
    <t>Deir Tahniche</t>
  </si>
  <si>
    <t>Harime Es-Soughra</t>
  </si>
  <si>
    <t>Billa</t>
  </si>
  <si>
    <t>Ram El-Batroun</t>
  </si>
  <si>
    <t>Hbous</t>
  </si>
  <si>
    <t>Bechehhara</t>
  </si>
  <si>
    <t>Debaael</t>
  </si>
  <si>
    <t>Chouaya Hasbaiya</t>
  </si>
  <si>
    <t>Mazraat Daraya</t>
  </si>
  <si>
    <t>Aamra</t>
  </si>
  <si>
    <t>Mazraat Er-Remtaniye</t>
  </si>
  <si>
    <t>Bkechtine Ouel Mcheiaa</t>
  </si>
  <si>
    <t>Deir Kfifane</t>
  </si>
  <si>
    <t>Mazraat Aarab Soukkar</t>
  </si>
  <si>
    <t>Khiara El-Aatiqa</t>
  </si>
  <si>
    <t>Haouch Es-Siyade</t>
  </si>
  <si>
    <t>Haouch Qayssar</t>
  </si>
  <si>
    <t>Aain Es-Siyaa Chadoura</t>
  </si>
  <si>
    <t>Deir Mar Aabda el Mchammar</t>
  </si>
  <si>
    <t>Hamra En-Nabattiyeh</t>
  </si>
  <si>
    <t>Mzaraat Zahle</t>
  </si>
  <si>
    <t>Chaaibe</t>
  </si>
  <si>
    <t>Harbouna</t>
  </si>
  <si>
    <t>Ras Baalbek Ouadi Faara</t>
  </si>
  <si>
    <t>Mchaa Faraya</t>
  </si>
  <si>
    <t>Kfar Hamam</t>
  </si>
  <si>
    <t>Mazraat Er-Ras</t>
  </si>
  <si>
    <t>Aardat</t>
  </si>
  <si>
    <t>Beslouqit</t>
  </si>
  <si>
    <t>Aarme</t>
  </si>
  <si>
    <t>Barcha</t>
  </si>
  <si>
    <t>Bsatine Aakkar</t>
  </si>
  <si>
    <t>Conflict</t>
  </si>
  <si>
    <t>Kharnoubet Aakkar</t>
  </si>
  <si>
    <t>Khirbet Er Remmane</t>
  </si>
  <si>
    <t>Khreibet Aakkar</t>
  </si>
  <si>
    <t>Mzeihme</t>
  </si>
  <si>
    <t>Sadaqa</t>
  </si>
  <si>
    <t>Tallet Chattaha</t>
  </si>
  <si>
    <t>Homs Oua Hama</t>
  </si>
  <si>
    <t>Chmeisset Baabda</t>
  </si>
  <si>
    <t>Mzairaa Baabda</t>
  </si>
  <si>
    <t>0c10</t>
  </si>
  <si>
    <t>0c11</t>
  </si>
  <si>
    <t>0c2</t>
  </si>
  <si>
    <t>0c3</t>
  </si>
  <si>
    <t>0c4</t>
  </si>
  <si>
    <t>0c5</t>
  </si>
  <si>
    <t>0c6</t>
  </si>
  <si>
    <t>0c7</t>
  </si>
  <si>
    <t>0c8</t>
  </si>
  <si>
    <t>0c9</t>
  </si>
  <si>
    <t>Ouadi El-Aaoss</t>
  </si>
  <si>
    <t>Slouqi</t>
  </si>
  <si>
    <t>Mchaa Ej-Jibbe</t>
  </si>
  <si>
    <t>Qatmoun</t>
  </si>
  <si>
    <t>Bent Jbeil</t>
  </si>
  <si>
    <t>Salhani</t>
  </si>
  <si>
    <t>Chmaarine</t>
  </si>
  <si>
    <t>GHabet Jaafar</t>
  </si>
  <si>
    <t>Kfar Hamal</t>
  </si>
  <si>
    <t>Kfar hay</t>
  </si>
  <si>
    <t>Mazraat Ed-Douair</t>
  </si>
  <si>
    <t>Ouadi Abou Youssef</t>
  </si>
  <si>
    <t>Beit Kassab</t>
  </si>
  <si>
    <t>Deir Mar Youhanna EL-Batroun</t>
  </si>
  <si>
    <t>Deir Mar Youssef Jrabta</t>
  </si>
  <si>
    <t>Kfar Khollos</t>
  </si>
  <si>
    <t>0c1</t>
  </si>
  <si>
    <t>Aain El-Qach</t>
  </si>
  <si>
    <t>Bsifrine</t>
  </si>
  <si>
    <t>Majzoub</t>
  </si>
  <si>
    <t>Mzakke</t>
  </si>
  <si>
    <t>Aasaymout</t>
  </si>
  <si>
    <t>Mazraat El-Kreme</t>
  </si>
  <si>
    <t>Mazraat Ketrane</t>
  </si>
  <si>
    <t>Mrebbine</t>
  </si>
  <si>
    <t>Qarhaiya</t>
  </si>
  <si>
    <t>Qarne</t>
  </si>
  <si>
    <t>Qraine</t>
  </si>
  <si>
    <t>Aali Et-Taher</t>
  </si>
  <si>
    <t>Hmaile</t>
  </si>
  <si>
    <t>Kfar Djal En-Nabatiyeh</t>
  </si>
  <si>
    <t>Mazraat Bsaffour</t>
  </si>
  <si>
    <t>Mazraat Chalbaal</t>
  </si>
  <si>
    <t>Mazraat Dmoul</t>
  </si>
  <si>
    <t>Mazraat El-Bayad En-Nabatieh</t>
  </si>
  <si>
    <t>Mazraat Qalaat El-Meis</t>
  </si>
  <si>
    <t>Mzaraat El-Khreibe</t>
  </si>
  <si>
    <t>Chebaa Farms</t>
  </si>
  <si>
    <t>0c15</t>
  </si>
  <si>
    <t>Aalmat Ej-Jnoubiye</t>
  </si>
  <si>
    <t>Aarab El-Lahib</t>
  </si>
  <si>
    <t>Aarasta</t>
  </si>
  <si>
    <t>Birket Hjoula</t>
  </si>
  <si>
    <t>Bmehrayn</t>
  </si>
  <si>
    <t>Boulhos</t>
  </si>
  <si>
    <t>Hdeine</t>
  </si>
  <si>
    <t>Hema Er-Rehban</t>
  </si>
  <si>
    <t>Jouret El-Qattine</t>
  </si>
  <si>
    <t>Mar Sarkis</t>
  </si>
  <si>
    <t>Mazraat El-Maaden</t>
  </si>
  <si>
    <t>Sebrine</t>
  </si>
  <si>
    <t>Tadmor</t>
  </si>
  <si>
    <t>Bebé</t>
  </si>
  <si>
    <t>Chbail</t>
  </si>
  <si>
    <t>Dahr Ed-Deir</t>
  </si>
  <si>
    <t>Demachqiye</t>
  </si>
  <si>
    <t>Hidab</t>
  </si>
  <si>
    <t>Jabal Toura</t>
  </si>
  <si>
    <t>Mahmoudiye Jezzine</t>
  </si>
  <si>
    <t>Mazraat</t>
  </si>
  <si>
    <t>Mazraat El-Aarqoub</t>
  </si>
  <si>
    <t>Mazraat Er-Rouhbane</t>
  </si>
  <si>
    <t>Mazraat Louzid (Louayziye)</t>
  </si>
  <si>
    <t>Mazraat Qrouh</t>
  </si>
  <si>
    <t>Mazraat Tamra</t>
  </si>
  <si>
    <t>Mazraat Zighrine Jezzine</t>
  </si>
  <si>
    <t>Ouardiye</t>
  </si>
  <si>
    <t>Qabaa Jezzine</t>
  </si>
  <si>
    <t>Roummanet</t>
  </si>
  <si>
    <t>Deir Baqlouch</t>
  </si>
  <si>
    <t>Jouret Mhad</t>
  </si>
  <si>
    <t>Kfar Tay Kesrouane</t>
  </si>
  <si>
    <t>Mazraat Mrah El-Mir</t>
  </si>
  <si>
    <t>Mchaa El Ftouh</t>
  </si>
  <si>
    <t>Mghayer</t>
  </si>
  <si>
    <t>Ouata Sillam</t>
  </si>
  <si>
    <t>0c16</t>
  </si>
  <si>
    <t>Houra</t>
  </si>
  <si>
    <t>Mazraat Doumiat</t>
  </si>
  <si>
    <t>0c12</t>
  </si>
  <si>
    <t>0c13</t>
  </si>
  <si>
    <t>0c14</t>
  </si>
  <si>
    <t>Nabi Safa</t>
  </si>
  <si>
    <t>Hartiye</t>
  </si>
  <si>
    <t>Khirbet El-Bassal</t>
  </si>
  <si>
    <t>Mazraat El-Houssainiye</t>
  </si>
  <si>
    <t>Mazraat El-Mhaydale</t>
  </si>
  <si>
    <t>Mazraat Oussamiyat</t>
  </si>
  <si>
    <t>Mazraat Sari</t>
  </si>
  <si>
    <t>Mazraat 'Snaiber</t>
  </si>
  <si>
    <t>Mtayriye</t>
  </si>
  <si>
    <t>Sfenta</t>
  </si>
  <si>
    <t>Aaiye</t>
  </si>
  <si>
    <t>Abou Chech</t>
  </si>
  <si>
    <t>Btaychiye</t>
  </si>
  <si>
    <t>Hamoul</t>
  </si>
  <si>
    <t>Marnba</t>
  </si>
  <si>
    <t>Mazraat Tayr Semhat</t>
  </si>
  <si>
    <t>Niha Sour</t>
  </si>
  <si>
    <t>Touayri</t>
  </si>
  <si>
    <t>Deir Aain Ej-Jaouze</t>
  </si>
  <si>
    <t>Jazira BG</t>
  </si>
  <si>
    <t>Chebrqiyet Tabet</t>
  </si>
  <si>
    <t>0c17</t>
  </si>
  <si>
    <t>Tcheflik Edde Haouch</t>
  </si>
  <si>
    <t>Tcheflik Qiqano</t>
  </si>
  <si>
    <t>Zebdoul</t>
  </si>
  <si>
    <t>Bhairet Toula</t>
  </si>
  <si>
    <t>Mazraat Ajbeaa</t>
  </si>
  <si>
    <t>Mazraat Jnaid</t>
  </si>
  <si>
    <t>Inside CS</t>
  </si>
  <si>
    <t>FORECAST.LINEAR(F889,H2:$H$888,$F$2:$F$888)</t>
  </si>
  <si>
    <t>ACS_CODE</t>
  </si>
  <si>
    <t>Cadaster</t>
  </si>
  <si>
    <t>Syr</t>
  </si>
  <si>
    <t>PRL</t>
  </si>
  <si>
    <t>PRS</t>
  </si>
  <si>
    <t>Leb</t>
  </si>
  <si>
    <t>Migrant</t>
  </si>
  <si>
    <t>Total</t>
  </si>
  <si>
    <t>Column1</t>
  </si>
  <si>
    <t>Chiyah</t>
  </si>
  <si>
    <t>Hermel</t>
  </si>
  <si>
    <t>Aarsal</t>
  </si>
  <si>
    <t>Bourj El-Brajneh</t>
  </si>
  <si>
    <t>Barr Elias</t>
  </si>
  <si>
    <t>Choueifat El-Aamrousiye</t>
  </si>
  <si>
    <t>Beddaoui</t>
  </si>
  <si>
    <t>Qabb Elias</t>
  </si>
  <si>
    <t>Marj BG</t>
  </si>
  <si>
    <t>Aamayer</t>
  </si>
  <si>
    <t>Qaa Baalbek</t>
  </si>
  <si>
    <t>Trablous et Tabbaneh</t>
  </si>
  <si>
    <t>Mazraa foncière</t>
  </si>
  <si>
    <t>Aaramoun Aaley</t>
  </si>
  <si>
    <t>Ghazze</t>
  </si>
  <si>
    <t>Majdel Aanjar</t>
  </si>
  <si>
    <t>Saadnayel</t>
  </si>
  <si>
    <t>Mhammaret</t>
  </si>
  <si>
    <t>Halba</t>
  </si>
  <si>
    <t>Dalhamiyet Zahle</t>
  </si>
  <si>
    <t>Bebnine</t>
  </si>
  <si>
    <t>Zahle El-Midane</t>
  </si>
  <si>
    <t>Brital</t>
  </si>
  <si>
    <t>Choueifat El-Quoubbe</t>
  </si>
  <si>
    <t>Msaitbe foncière</t>
  </si>
  <si>
    <t>Saida El-Qadimeh</t>
  </si>
  <si>
    <t>Mazareaa Jabal Akroum</t>
  </si>
  <si>
    <t>Bissariye</t>
  </si>
  <si>
    <t>Joubb Jannine</t>
  </si>
  <si>
    <t>Bachoura foncière</t>
  </si>
  <si>
    <t>Zahle El-Maallaqa</t>
  </si>
  <si>
    <t>Bchamoun</t>
  </si>
  <si>
    <t>Haret Hreik</t>
  </si>
  <si>
    <t>Riyaq</t>
  </si>
  <si>
    <t>Kfarzabad</t>
  </si>
  <si>
    <t>Douris</t>
  </si>
  <si>
    <t>Taalbaya</t>
  </si>
  <si>
    <t>Nabi Chit</t>
  </si>
  <si>
    <t>berqayel</t>
  </si>
  <si>
    <t>Youmine</t>
  </si>
  <si>
    <t>Chmistar</t>
  </si>
  <si>
    <t>Aaley</t>
  </si>
  <si>
    <t>Sarafand</t>
  </si>
  <si>
    <t>Trablous El-Qobbe</t>
  </si>
  <si>
    <t>Haouch Er-Rafqa</t>
  </si>
  <si>
    <t>Ghaziye</t>
  </si>
  <si>
    <t>Laboue</t>
  </si>
  <si>
    <t>Deir Dalloum</t>
  </si>
  <si>
    <t>Hayssa</t>
  </si>
  <si>
    <t>Haouch El-Harime</t>
  </si>
  <si>
    <t>Aali En-Nahri</t>
  </si>
  <si>
    <t>Ras Beyrouth foncière</t>
  </si>
  <si>
    <t>Temnine Et-Tahta</t>
  </si>
  <si>
    <t>Rihaniyet Aakkar</t>
  </si>
  <si>
    <t>Iaat</t>
  </si>
  <si>
    <t>Massaaoudiye</t>
  </si>
  <si>
    <t>Serraaine Et-Tahta</t>
  </si>
  <si>
    <t>Achrafieh foncière</t>
  </si>
  <si>
    <t>Kamed El-Laouz</t>
  </si>
  <si>
    <t>Taanayel</t>
  </si>
  <si>
    <t>Mqaiteaa</t>
  </si>
  <si>
    <t>Borj Ech-Chemali</t>
  </si>
  <si>
    <t>Bouday</t>
  </si>
  <si>
    <t>Deir El-Ahmar</t>
  </si>
  <si>
    <t>Mina N 3</t>
  </si>
  <si>
    <t>Laylake</t>
  </si>
  <si>
    <t>Fourzol</t>
  </si>
  <si>
    <t>Machta Hammoud</t>
  </si>
  <si>
    <t>Chaat</t>
  </si>
  <si>
    <t>Aabbassiyet Sour</t>
  </si>
  <si>
    <t>Aarqa</t>
  </si>
  <si>
    <t>Terbol Zahle</t>
  </si>
  <si>
    <t>Aabboudiye</t>
  </si>
  <si>
    <t>Bednayel Baalbak</t>
  </si>
  <si>
    <t>Mejdlaiya Zgharta</t>
  </si>
  <si>
    <t>Qleiaat Aakkar</t>
  </si>
  <si>
    <t>Kouachra</t>
  </si>
  <si>
    <t>Hadath Beyrouth</t>
  </si>
  <si>
    <t>Ouadi El-Jamous</t>
  </si>
  <si>
    <t>Khreibet Ej-Jindi</t>
  </si>
  <si>
    <t>Qalamoun</t>
  </si>
  <si>
    <t>Chtaura</t>
  </si>
  <si>
    <t>Aain Baalbek</t>
  </si>
  <si>
    <t>Tall Bire</t>
  </si>
  <si>
    <t>Jounie Ghadir</t>
  </si>
  <si>
    <t>Jbayl</t>
  </si>
  <si>
    <t>Chir Hmairine</t>
  </si>
  <si>
    <t>Fekehe</t>
  </si>
  <si>
    <t>Saaide</t>
  </si>
  <si>
    <t>Mansoura BG</t>
  </si>
  <si>
    <t>Tall Hmayra</t>
  </si>
  <si>
    <t>Minyara</t>
  </si>
  <si>
    <t>Khiara</t>
  </si>
  <si>
    <t>Miriata</t>
  </si>
  <si>
    <t>Trablous Ez-Zahrieh</t>
  </si>
  <si>
    <t>Khirbet Daoud Aakkar</t>
  </si>
  <si>
    <t>Sammaqiye</t>
  </si>
  <si>
    <t>Jdita</t>
  </si>
  <si>
    <t>Aamchit</t>
  </si>
  <si>
    <t>Talia</t>
  </si>
  <si>
    <t>Khodr Baalbek</t>
  </si>
  <si>
    <t>Trablous El-Haddadine, El-Hadid, El-Mharta</t>
  </si>
  <si>
    <t>Sadiqine</t>
  </si>
  <si>
    <t>Tall Aabbas Ech-Charqi</t>
  </si>
  <si>
    <t>Hnaider</t>
  </si>
  <si>
    <t>Ablah</t>
  </si>
  <si>
    <t>Babliye</t>
  </si>
  <si>
    <t>Khayayeb Saida</t>
  </si>
  <si>
    <t>Zouk Mousbeh</t>
  </si>
  <si>
    <t>Majdaloun</t>
  </si>
  <si>
    <t>Mansouriyet El-Matn</t>
  </si>
  <si>
    <t>Souairi</t>
  </si>
  <si>
    <t>Trablous Et-Tell</t>
  </si>
  <si>
    <t>Temnine El-Faouqa</t>
  </si>
  <si>
    <t>Makse</t>
  </si>
  <si>
    <t>Kfar Melki Aakkar</t>
  </si>
  <si>
    <t>Haret Saida</t>
  </si>
  <si>
    <t>Qaraaoun</t>
  </si>
  <si>
    <t>Baghdadi</t>
  </si>
  <si>
    <t>Hammana</t>
  </si>
  <si>
    <t>Tleil</t>
  </si>
  <si>
    <t>Trablous jardins</t>
  </si>
  <si>
    <t>Ansar</t>
  </si>
  <si>
    <t>Aakkar El-Aatiqa</t>
  </si>
  <si>
    <t>Taraiya</t>
  </si>
  <si>
    <t>Qsarnaba</t>
  </si>
  <si>
    <t>Keyfoun</t>
  </si>
  <si>
    <t>Jounie Sarba</t>
  </si>
  <si>
    <t>Machha</t>
  </si>
  <si>
    <t>Nahr Ibrahim</t>
  </si>
  <si>
    <t>Aadloun</t>
  </si>
  <si>
    <t>Halate</t>
  </si>
  <si>
    <t>Sammouniye</t>
  </si>
  <si>
    <t>Bazouriye</t>
  </si>
  <si>
    <t>Khiyam Marjaayoun</t>
  </si>
  <si>
    <t>Ghazir</t>
  </si>
  <si>
    <t>Khirbet Qanafar</t>
  </si>
  <si>
    <t>Aachqout</t>
  </si>
  <si>
    <t>Bayssour Aaley</t>
  </si>
  <si>
    <t>Miye ou Miyé</t>
  </si>
  <si>
    <t>Insariye</t>
  </si>
  <si>
    <t>Faraya</t>
  </si>
  <si>
    <t>Ras Baalbek Es-Sahel</t>
  </si>
  <si>
    <t>Zouk Mkayel</t>
  </si>
  <si>
    <t>Mazraat En-Nahriye</t>
  </si>
  <si>
    <t>Saadine</t>
  </si>
  <si>
    <t>AAbra Saida</t>
  </si>
  <si>
    <t>Machghara</t>
  </si>
  <si>
    <t>Hrajel</t>
  </si>
  <si>
    <t>Zrariye</t>
  </si>
  <si>
    <t>Tahouitat El Ghadir</t>
  </si>
  <si>
    <t>Bent Jbayl</t>
  </si>
  <si>
    <t>Saoufar</t>
  </si>
  <si>
    <t>Saida Ed-Dekermane</t>
  </si>
  <si>
    <t>Qbaiyat Aakkar</t>
  </si>
  <si>
    <t>Sohmor</t>
  </si>
  <si>
    <t>Koueikhat</t>
  </si>
  <si>
    <t>Rahbe</t>
  </si>
  <si>
    <t>Taibet Baalbek</t>
  </si>
  <si>
    <t>Kfar Chima</t>
  </si>
  <si>
    <t>Blat Jbeil</t>
  </si>
  <si>
    <t>Bhamdoun El-Mhatta</t>
  </si>
  <si>
    <t>Aandqet</t>
  </si>
  <si>
    <t>Zqaq el-Blat foncière</t>
  </si>
  <si>
    <t>Michmich Aakkar</t>
  </si>
  <si>
    <t>Maarake</t>
  </si>
  <si>
    <t>Beit Chama</t>
  </si>
  <si>
    <t>Hlaliye Saida</t>
  </si>
  <si>
    <t>Aadoussiye</t>
  </si>
  <si>
    <t>Srifa</t>
  </si>
  <si>
    <t>Kfar Dibiane</t>
  </si>
  <si>
    <t>Raait</t>
  </si>
  <si>
    <t>Hokr Ed-Dahri</t>
  </si>
  <si>
    <t>Chlifa</t>
  </si>
  <si>
    <t>Aamaret El-Baykat</t>
  </si>
  <si>
    <t>Darine</t>
  </si>
  <si>
    <t>Bqosta</t>
  </si>
  <si>
    <t>Rimhala</t>
  </si>
  <si>
    <t>Zahle Haouch El-Oumara Aradi</t>
  </si>
  <si>
    <t>Aain Aanoub</t>
  </si>
  <si>
    <t>Fnaydeq</t>
  </si>
  <si>
    <t>Yammoune</t>
  </si>
  <si>
    <t>Chaqra</t>
  </si>
  <si>
    <t>Qornayel</t>
  </si>
  <si>
    <t>Maaroub</t>
  </si>
  <si>
    <t>Rachaaine</t>
  </si>
  <si>
    <t>Bouar</t>
  </si>
  <si>
    <t>Aalma</t>
  </si>
  <si>
    <t>Safra Kesrouane</t>
  </si>
  <si>
    <t>Ras El Matn</t>
  </si>
  <si>
    <t>Cheikh Mohammad</t>
  </si>
  <si>
    <t>Ghazayle</t>
  </si>
  <si>
    <t>Qana</t>
  </si>
  <si>
    <t>Lala</t>
  </si>
  <si>
    <t>Tayr Debbe</t>
  </si>
  <si>
    <t>Majdelyoun</t>
  </si>
  <si>
    <t>Chehabiye</t>
  </si>
  <si>
    <t>Aain El-Barnaya</t>
  </si>
  <si>
    <t>Nahle baalbek</t>
  </si>
  <si>
    <t>Raouda (Istabel)</t>
  </si>
  <si>
    <t>Arzai</t>
  </si>
  <si>
    <t>Rafid Rachaiya</t>
  </si>
  <si>
    <t>Kfar Matta</t>
  </si>
  <si>
    <t>Haouche Barada</t>
  </si>
  <si>
    <t>Tabarja</t>
  </si>
  <si>
    <t>Maqne</t>
  </si>
  <si>
    <t>Deir Qanoun El-Aain</t>
  </si>
  <si>
    <t>Mina N 1</t>
  </si>
  <si>
    <t>Dahr El-Ahmar</t>
  </si>
  <si>
    <t>Haour Taala</t>
  </si>
  <si>
    <t>Hrar</t>
  </si>
  <si>
    <t>Barsa</t>
  </si>
  <si>
    <t>Aanqoun</t>
  </si>
  <si>
    <t>Arde</t>
  </si>
  <si>
    <t>Saksakiye</t>
  </si>
  <si>
    <t>Qmatiye</t>
  </si>
  <si>
    <t>Touline</t>
  </si>
  <si>
    <t>Merouaniye</t>
  </si>
  <si>
    <t>Baaloul BG</t>
  </si>
  <si>
    <t>Bqerzla</t>
  </si>
  <si>
    <t>Aain Ez-Zeit</t>
  </si>
  <si>
    <t>Haouch Snaid</t>
  </si>
  <si>
    <t>Aajaltoun</t>
  </si>
  <si>
    <t>Balloune</t>
  </si>
  <si>
    <t>Souq El-Gharb</t>
  </si>
  <si>
    <t>Haouch En-Nabi</t>
  </si>
  <si>
    <t>Rayfoun</t>
  </si>
  <si>
    <t>Baalchmay</t>
  </si>
  <si>
    <t>Nabi Osmane</t>
  </si>
  <si>
    <t>Aain Er-Roummane Aaley</t>
  </si>
  <si>
    <t>Jouaiya</t>
  </si>
  <si>
    <t>Chebaa</t>
  </si>
  <si>
    <t>Faytroun</t>
  </si>
  <si>
    <t>Khreibet Baalbek</t>
  </si>
  <si>
    <t>Kfar Hatta Saida</t>
  </si>
  <si>
    <t>Qaaqaiyet Es-Snaoubar</t>
  </si>
  <si>
    <t>Haouch Tall Safiye</t>
  </si>
  <si>
    <t>Tibnine</t>
  </si>
  <si>
    <t>Cheikh Zennad</t>
  </si>
  <si>
    <t>Massa</t>
  </si>
  <si>
    <t>Kfar Dane</t>
  </si>
  <si>
    <t>Darb Es-Sim</t>
  </si>
  <si>
    <t>Saghbine</t>
  </si>
  <si>
    <t>Ghassaniye</t>
  </si>
  <si>
    <t>Aabadiye</t>
  </si>
  <si>
    <t>Mdoukha</t>
  </si>
  <si>
    <t>Aain Abou Abdallah</t>
  </si>
  <si>
    <t>Tikrit</t>
  </si>
  <si>
    <t>Ouadi Chahrour Es-Soufla</t>
  </si>
  <si>
    <t>Daghle</t>
  </si>
  <si>
    <t>Najjariye</t>
  </si>
  <si>
    <t>Haytla</t>
  </si>
  <si>
    <t>Mounjez</t>
  </si>
  <si>
    <t>Safad Al-Battikh</t>
  </si>
  <si>
    <t>Daouret Aakkar</t>
  </si>
  <si>
    <t>Teffahta</t>
  </si>
  <si>
    <t>Majdel Akkar</t>
  </si>
  <si>
    <t>Beino</t>
  </si>
  <si>
    <t>Yater</t>
  </si>
  <si>
    <t>Hanaouay</t>
  </si>
  <si>
    <t>Qardaf</t>
  </si>
  <si>
    <t>Majdel Selm</t>
  </si>
  <si>
    <t>Aain el-Mraisse foncière</t>
  </si>
  <si>
    <t>Ouadi Chahrour El Aaoulia</t>
  </si>
  <si>
    <t>Jounie Haret Sakhr</t>
  </si>
  <si>
    <t>Baaouerta</t>
  </si>
  <si>
    <t>Falougha</t>
  </si>
  <si>
    <t>Aayta Ech-Chaab</t>
  </si>
  <si>
    <t>Dakoue</t>
  </si>
  <si>
    <t>Qlaile Sour</t>
  </si>
  <si>
    <t>Haouch El-Ghanam</t>
  </si>
  <si>
    <t>Aadchit Ech-Chqif</t>
  </si>
  <si>
    <t>Aain Ed-Delb</t>
  </si>
  <si>
    <t>Hebbariye</t>
  </si>
  <si>
    <t>Aain Yaaqoub</t>
  </si>
  <si>
    <t>Deir Qanoun En-Nahr</t>
  </si>
  <si>
    <t>Deir Qoubel</t>
  </si>
  <si>
    <t>Haris</t>
  </si>
  <si>
    <t>Kroum El-Aarab</t>
  </si>
  <si>
    <t>Aaytit</t>
  </si>
  <si>
    <t>Kfar Dounine</t>
  </si>
  <si>
    <t>Kaoutariyet Es-Siyad</t>
  </si>
  <si>
    <t>Trablous El Hadid</t>
  </si>
  <si>
    <t>Hizzine</t>
  </si>
  <si>
    <t>Chbaniye</t>
  </si>
  <si>
    <t>Aaintaroun</t>
  </si>
  <si>
    <t>Cheikh Taba</t>
  </si>
  <si>
    <t>Charbine El-Hermel</t>
  </si>
  <si>
    <t>Mayrouba</t>
  </si>
  <si>
    <t>Bezbina</t>
  </si>
  <si>
    <t>Qartaba</t>
  </si>
  <si>
    <t>Aaytat</t>
  </si>
  <si>
    <t>Qobbayaa</t>
  </si>
  <si>
    <t>Kfarzaina</t>
  </si>
  <si>
    <t>Niha El-Chouf</t>
  </si>
  <si>
    <t>Aain Aarab Marjaayoun</t>
  </si>
  <si>
    <t>Zabboud</t>
  </si>
  <si>
    <t>Khirbet Rouha</t>
  </si>
  <si>
    <t>Qabaait</t>
  </si>
  <si>
    <t>Kfar Hata El-Koura</t>
  </si>
  <si>
    <t>Hazerta</t>
  </si>
  <si>
    <t>Meiss Ej-Jabal</t>
  </si>
  <si>
    <t>Jdeidet El-Qaitaa</t>
  </si>
  <si>
    <t>Nabay</t>
  </si>
  <si>
    <t>Majdala</t>
  </si>
  <si>
    <t>Rmah</t>
  </si>
  <si>
    <t>Mdaouar foncière</t>
  </si>
  <si>
    <t>Haddatha</t>
  </si>
  <si>
    <t>Aaouaainat Aakkar</t>
  </si>
  <si>
    <t>Dahr Laissine</t>
  </si>
  <si>
    <t>Rmaich</t>
  </si>
  <si>
    <t>Kafraiya BG</t>
  </si>
  <si>
    <t>Karm Sadde</t>
  </si>
  <si>
    <t>Khirbet Selm</t>
  </si>
  <si>
    <t>Jaaita</t>
  </si>
  <si>
    <t>Mansouri Sour</t>
  </si>
  <si>
    <t>Ibl Es-Saqi</t>
  </si>
  <si>
    <t>Salima Baabda</t>
  </si>
  <si>
    <t>Taybet Matjaayoun</t>
  </si>
  <si>
    <t>Debaal Sour</t>
  </si>
  <si>
    <t>Borj Rahhal</t>
  </si>
  <si>
    <t>Qraiyet Saida</t>
  </si>
  <si>
    <t>Aaqabet Rachaya</t>
  </si>
  <si>
    <t>Kfar Kila</t>
  </si>
  <si>
    <t>Toura</t>
  </si>
  <si>
    <t>Loussa</t>
  </si>
  <si>
    <t>Shayle Kesrouane</t>
  </si>
  <si>
    <t>Aaley Bsatine</t>
  </si>
  <si>
    <t>Bsaba Ech-Chouf</t>
  </si>
  <si>
    <t>Majdel</t>
  </si>
  <si>
    <t>Aarjis</t>
  </si>
  <si>
    <t>Meri</t>
  </si>
  <si>
    <t>Aaraiya</t>
  </si>
  <si>
    <t>Aaiyat</t>
  </si>
  <si>
    <t>Soultan Yaacoub Faouqa</t>
  </si>
  <si>
    <t>Kfar Lichki</t>
  </si>
  <si>
    <t>Aaynab</t>
  </si>
  <si>
    <t>Kahhale</t>
  </si>
  <si>
    <t>Bnaafoul</t>
  </si>
  <si>
    <t>Lebaa</t>
  </si>
  <si>
    <t>Daraiya Zgharta</t>
  </si>
  <si>
    <t>Qoussaya</t>
  </si>
  <si>
    <t>Daraaoun</t>
  </si>
  <si>
    <t>Mazraat Sarada</t>
  </si>
  <si>
    <t>Jebrayel</t>
  </si>
  <si>
    <t>Nabha Ed-Damdoum</t>
  </si>
  <si>
    <t>Zouk El-Kharab</t>
  </si>
  <si>
    <t>Loubie</t>
  </si>
  <si>
    <t>Rmadiye</t>
  </si>
  <si>
    <t>Sahel Aalma</t>
  </si>
  <si>
    <t>Bzebdine</t>
  </si>
  <si>
    <t>Aaynata Bent Jbayl</t>
  </si>
  <si>
    <t>Aabey</t>
  </si>
  <si>
    <t>Aain Kfar Zabad</t>
  </si>
  <si>
    <t>Qennarit</t>
  </si>
  <si>
    <t>Hasrayel</t>
  </si>
  <si>
    <t>Chanay</t>
  </si>
  <si>
    <t>Ghosta</t>
  </si>
  <si>
    <t>Henniye</t>
  </si>
  <si>
    <t>Ras Kifa</t>
  </si>
  <si>
    <t>Sfire</t>
  </si>
  <si>
    <t>Aain Et-Tine BG</t>
  </si>
  <si>
    <t>Biret Rachaiya</t>
  </si>
  <si>
    <t>Batoulay</t>
  </si>
  <si>
    <t>Saida El-Oustani</t>
  </si>
  <si>
    <t>Btedaai</t>
  </si>
  <si>
    <t>Tayr Falsay</t>
  </si>
  <si>
    <t>Sfaynet El-Qaitaa</t>
  </si>
  <si>
    <t>Halbata</t>
  </si>
  <si>
    <t>Raachine</t>
  </si>
  <si>
    <t>Bouarej</t>
  </si>
  <si>
    <t>Hayzouq</t>
  </si>
  <si>
    <t>Ghbale Kesrouane</t>
  </si>
  <si>
    <t>Saifi foncière</t>
  </si>
  <si>
    <t>Qaa Er-Rim</t>
  </si>
  <si>
    <t>Mrayjat Zahle</t>
  </si>
  <si>
    <t>Iaal</t>
  </si>
  <si>
    <t>Jmaijme</t>
  </si>
  <si>
    <t>Harabta</t>
  </si>
  <si>
    <t>Louayze Baabda</t>
  </si>
  <si>
    <t>Kounine</t>
  </si>
  <si>
    <t>Ghaboune</t>
  </si>
  <si>
    <t>Nabi Ayla</t>
  </si>
  <si>
    <t>Kneisset Aakkar</t>
  </si>
  <si>
    <t>Aaqtanit</t>
  </si>
  <si>
    <t>Majdelzoun</t>
  </si>
  <si>
    <t>Anane</t>
  </si>
  <si>
    <t>Sebaal Zgharta</t>
  </si>
  <si>
    <t>Kfar Houne</t>
  </si>
  <si>
    <t>Bkhichtay</t>
  </si>
  <si>
    <t>Zighrine</t>
  </si>
  <si>
    <t>Kfar Chouba</t>
  </si>
  <si>
    <t>Adonis Jbayl</t>
  </si>
  <si>
    <t>Kfar Jarra</t>
  </si>
  <si>
    <t>Maghdouche</t>
  </si>
  <si>
    <t>Aain Ksour</t>
  </si>
  <si>
    <t>Ouadi Jilo</t>
  </si>
  <si>
    <t>Deir Ntar</t>
  </si>
  <si>
    <t>Harissa Kesrouane</t>
  </si>
  <si>
    <t>Bzal</t>
  </si>
  <si>
    <t>Tarchich</t>
  </si>
  <si>
    <t>Jbal El-Botm</t>
  </si>
  <si>
    <t>Houmal</t>
  </si>
  <si>
    <t>Ilat</t>
  </si>
  <si>
    <t>Berbara Aakkar</t>
  </si>
  <si>
    <t>Yohmor En-Nabatiyeh</t>
  </si>
  <si>
    <t>Tiri</t>
  </si>
  <si>
    <t>Nasriyet Zahle</t>
  </si>
  <si>
    <t>Mejdlaiya</t>
  </si>
  <si>
    <t>Hailan</t>
  </si>
  <si>
    <t>Kafra Bant Jbayl</t>
  </si>
  <si>
    <t>Cheikhlar</t>
  </si>
  <si>
    <t>Kfarsghab</t>
  </si>
  <si>
    <t>Chimlane</t>
  </si>
  <si>
    <t>Maamriye</t>
  </si>
  <si>
    <t>Merouahine</t>
  </si>
  <si>
    <t>Kfarhoura</t>
  </si>
  <si>
    <t>Kfar Dabach</t>
  </si>
  <si>
    <t>Aain Ej-Jdide Aaley</t>
  </si>
  <si>
    <t>Blaybel</t>
  </si>
  <si>
    <t>Sirhmoul</t>
  </si>
  <si>
    <t>Baraachit</t>
  </si>
  <si>
    <t>Aain Dara</t>
  </si>
  <si>
    <t>Kaoukaba Bou Arab</t>
  </si>
  <si>
    <t>Majdel Balhis</t>
  </si>
  <si>
    <t>Aain Zebde</t>
  </si>
  <si>
    <t>Deir El-Ghazal</t>
  </si>
  <si>
    <t>Miziara</t>
  </si>
  <si>
    <t>Mhaiydse Rachaiya</t>
  </si>
  <si>
    <t>Maasrati</t>
  </si>
  <si>
    <t>Marfa' foncière</t>
  </si>
  <si>
    <t>Blida</t>
  </si>
  <si>
    <t>Zebqine</t>
  </si>
  <si>
    <t>Kfar Mashoun</t>
  </si>
  <si>
    <t>Chaaitiye</t>
  </si>
  <si>
    <t>Chehour</t>
  </si>
  <si>
    <t>Beit Yahoun</t>
  </si>
  <si>
    <t>Aalmat Ech-Chamliye</t>
  </si>
  <si>
    <t>Zahle Er-Rassiyé</t>
  </si>
  <si>
    <t>Kfarchakhna</t>
  </si>
  <si>
    <t>Aaynata Baalbek</t>
  </si>
  <si>
    <t>Adma Oua Dafine</t>
  </si>
  <si>
    <t>Deir Aames</t>
  </si>
  <si>
    <t>Edde Jbayl</t>
  </si>
  <si>
    <t>Borj Aakkar</t>
  </si>
  <si>
    <t>Boutchay</t>
  </si>
  <si>
    <t>Bourj El-Ftouh</t>
  </si>
  <si>
    <t>Daraiya Kesrouane</t>
  </si>
  <si>
    <t>Michmich Jbayl</t>
  </si>
  <si>
    <t>Kfar Yassine</t>
  </si>
  <si>
    <t>Aammiq BG</t>
  </si>
  <si>
    <t>Zouq El Hosniye</t>
  </si>
  <si>
    <t>Qabrikha</t>
  </si>
  <si>
    <t>Kfarfou</t>
  </si>
  <si>
    <t>Bqaatouta</t>
  </si>
  <si>
    <t>Mazraat Mechref</t>
  </si>
  <si>
    <t>Selaa Sour</t>
  </si>
  <si>
    <t>Majdel Baana</t>
  </si>
  <si>
    <t>Qlaiaa</t>
  </si>
  <si>
    <t>Yaroun</t>
  </si>
  <si>
    <t>Aaychiye</t>
  </si>
  <si>
    <t>Bramiye</t>
  </si>
  <si>
    <t>Lassa</t>
  </si>
  <si>
    <t>Salhiyet Saida</t>
  </si>
  <si>
    <t>Toula El-Batroun</t>
  </si>
  <si>
    <t>Yarine</t>
  </si>
  <si>
    <t>Beqaata Aachqout</t>
  </si>
  <si>
    <t>Aamaret Aakkar</t>
  </si>
  <si>
    <t>Rouayssrt El-Ballout</t>
  </si>
  <si>
    <t>Aintoura Kesrouane</t>
  </si>
  <si>
    <t>Douair Aadouiye</t>
  </si>
  <si>
    <t>Kaoukaba Hasbaiya</t>
  </si>
  <si>
    <t>Aaqoura</t>
  </si>
  <si>
    <t>Idbil</t>
  </si>
  <si>
    <t>Jebaa</t>
  </si>
  <si>
    <t>Derdaghaiya</t>
  </si>
  <si>
    <t>Barqa</t>
  </si>
  <si>
    <t>Bedias</t>
  </si>
  <si>
    <t>Chaqdouf</t>
  </si>
  <si>
    <t>Arsoun</t>
  </si>
  <si>
    <t>Roum</t>
  </si>
  <si>
    <t>Jdaidet Ghazir</t>
  </si>
  <si>
    <t>Dibbine</t>
  </si>
  <si>
    <t>Zeita</t>
  </si>
  <si>
    <t>Ouadi El-Haour</t>
  </si>
  <si>
    <t>Aain Qinia</t>
  </si>
  <si>
    <t>Bhannine</t>
  </si>
  <si>
    <t>Qatrani</t>
  </si>
  <si>
    <t>Soultaniyet Bent Jbayl</t>
  </si>
  <si>
    <t>Bafliye</t>
  </si>
  <si>
    <t>Blat Marjaayoun</t>
  </si>
  <si>
    <t>Deir Kifa</t>
  </si>
  <si>
    <t>Ram Baalbek</t>
  </si>
  <si>
    <t>Borj En-Naqoura</t>
  </si>
  <si>
    <t>Khreibet Baabda</t>
  </si>
  <si>
    <t>Bisri</t>
  </si>
  <si>
    <t>Zahle Haouch Ez-Zaraane</t>
  </si>
  <si>
    <t>Deir Jannine</t>
  </si>
  <si>
    <t>Froun</t>
  </si>
  <si>
    <t>Laqlouq</t>
  </si>
  <si>
    <t>Zaghdraiya</t>
  </si>
  <si>
    <t>Bzoummar</t>
  </si>
  <si>
    <t>Btekhnay</t>
  </si>
  <si>
    <t>Bchannine</t>
  </si>
  <si>
    <t>Aayoun Aakkar</t>
  </si>
  <si>
    <t>Ghandouriyet Bent Jbayl</t>
  </si>
  <si>
    <t>Majidiye Hasbaiya</t>
  </si>
  <si>
    <t>Meimes</t>
  </si>
  <si>
    <t>Jennata</t>
  </si>
  <si>
    <t xml:space="preserve"> Aazouniye</t>
  </si>
  <si>
    <t>Lehfed</t>
  </si>
  <si>
    <t>Ouata El-Jaouz</t>
  </si>
  <si>
    <t>Khirbet Char</t>
  </si>
  <si>
    <t>Dibbabiye</t>
  </si>
  <si>
    <t>Rachaiya El-Foukhar</t>
  </si>
  <si>
    <t>Bourghos</t>
  </si>
  <si>
    <t>Aaita Ej-Jabal</t>
  </si>
  <si>
    <t>Ferhet</t>
  </si>
  <si>
    <t>Btater</t>
  </si>
  <si>
    <t>Charbila</t>
  </si>
  <si>
    <t>Halloussiye</t>
  </si>
  <si>
    <t>Qrayet Baabda</t>
  </si>
  <si>
    <t>Bejje</t>
  </si>
  <si>
    <t>yahchouch</t>
  </si>
  <si>
    <t>Aadaysse Marjaayoun</t>
  </si>
  <si>
    <t>Bechouat</t>
  </si>
  <si>
    <t>Houla</t>
  </si>
  <si>
    <t>Barich</t>
  </si>
  <si>
    <t>Richmaiya</t>
  </si>
  <si>
    <t>Aain Ibl</t>
  </si>
  <si>
    <t>Rabb Et-Tlatine</t>
  </si>
  <si>
    <t>Aaqaibe Kesrouane</t>
  </si>
  <si>
    <t>Ighmid</t>
  </si>
  <si>
    <t>Bchille Jbayl</t>
  </si>
  <si>
    <t>Markaba</t>
  </si>
  <si>
    <t>Qantara</t>
  </si>
  <si>
    <t>Arzoun</t>
  </si>
  <si>
    <t>Beit Lahia</t>
  </si>
  <si>
    <t>Erkay</t>
  </si>
  <si>
    <t>Maaraboun</t>
  </si>
  <si>
    <t>Mghayre Jbeil</t>
  </si>
  <si>
    <t>Zibdine Jbayl</t>
  </si>
  <si>
    <t>Souaisset Aakkar</t>
  </si>
  <si>
    <t>Zane</t>
  </si>
  <si>
    <t>Bkassine</t>
  </si>
  <si>
    <t>Jensnaya</t>
  </si>
  <si>
    <t>Maydoun</t>
  </si>
  <si>
    <t>Tfail</t>
  </si>
  <si>
    <t>Biret Ech-Chouf</t>
  </si>
  <si>
    <t>Hjoula</t>
  </si>
  <si>
    <t>Aain Er-Rihane</t>
  </si>
  <si>
    <t>Kfar Denis</t>
  </si>
  <si>
    <t>Saouanet Marjayoun</t>
  </si>
  <si>
    <t>Houaich</t>
  </si>
  <si>
    <t>Bdadoun</t>
  </si>
  <si>
    <t>Dlebta</t>
  </si>
  <si>
    <t>Bakka</t>
  </si>
  <si>
    <t>Bsous</t>
  </si>
  <si>
    <t>Hayata</t>
  </si>
  <si>
    <t>Bedghan Oua Ouadi Bedghan</t>
  </si>
  <si>
    <t>Ghabat</t>
  </si>
  <si>
    <t>Tartij</t>
  </si>
  <si>
    <t>Karkha</t>
  </si>
  <si>
    <t>Choualiq Jezzine</t>
  </si>
  <si>
    <t>Bab Mareaa</t>
  </si>
  <si>
    <t>Chane</t>
  </si>
  <si>
    <t>Mrah El-Hbasse</t>
  </si>
  <si>
    <t>Chahtoul</t>
  </si>
  <si>
    <t>Sfinet Ed-Draib</t>
  </si>
  <si>
    <t>Choueifat El-Oumara</t>
  </si>
  <si>
    <t>Kneisset Baalbek</t>
  </si>
  <si>
    <t>Aazour</t>
  </si>
  <si>
    <t>Mrayjat Aaley</t>
  </si>
  <si>
    <t>Sfaray</t>
  </si>
  <si>
    <t>Aayha</t>
  </si>
  <si>
    <t>Asnoun</t>
  </si>
  <si>
    <t>Chartoun</t>
  </si>
  <si>
    <t>Ras El-Href</t>
  </si>
  <si>
    <t>Bkifa Ech-Chouf</t>
  </si>
  <si>
    <t>Dahr Abi Yaghi</t>
  </si>
  <si>
    <t>Zaitoun</t>
  </si>
  <si>
    <t>Borj El-Moulouk</t>
  </si>
  <si>
    <t>Deir Mimas</t>
  </si>
  <si>
    <t>Srar</t>
  </si>
  <si>
    <t>Zandouqa</t>
  </si>
  <si>
    <t>Rachaf</t>
  </si>
  <si>
    <t>Aaramoun Kesrouane</t>
  </si>
  <si>
    <t>Maaysra Kesrouane</t>
  </si>
  <si>
    <t>Aana</t>
  </si>
  <si>
    <t>Karm Aasfour</t>
  </si>
  <si>
    <t>Qsaibe Baabda</t>
  </si>
  <si>
    <t>Fardis Hasbaiya</t>
  </si>
  <si>
    <t>Aayoun El-Ghizlane</t>
  </si>
  <si>
    <t>Charoun</t>
  </si>
  <si>
    <t>Ghalboun</t>
  </si>
  <si>
    <t>Sanaya</t>
  </si>
  <si>
    <t>Maroun Er-Ras</t>
  </si>
  <si>
    <t>Ghine</t>
  </si>
  <si>
    <t>Chamaa</t>
  </si>
  <si>
    <t>Mazraat Et-Teffah</t>
  </si>
  <si>
    <t>Cheikh Taba Es-Sahl</t>
  </si>
  <si>
    <t>Ehmej</t>
  </si>
  <si>
    <t>Biyad</t>
  </si>
  <si>
    <t>Trablous En-Nouri</t>
  </si>
  <si>
    <t>Kahlouniet Ech-Chouf</t>
  </si>
  <si>
    <t>Aabaydat</t>
  </si>
  <si>
    <t>Aain El-Ghouaybe</t>
  </si>
  <si>
    <t>Ghofrine</t>
  </si>
  <si>
    <t>Maad</t>
  </si>
  <si>
    <t>Mounsef</t>
  </si>
  <si>
    <t>Bayssour Jezzine</t>
  </si>
  <si>
    <t>Dlaybe</t>
  </si>
  <si>
    <t>Yanouh Jbayl</t>
  </si>
  <si>
    <t>Talloussa</t>
  </si>
  <si>
    <t>Tayr Harfa</t>
  </si>
  <si>
    <t>Jeoddayel Jbayl</t>
  </si>
  <si>
    <t>Zaaitre</t>
  </si>
  <si>
    <t>Recheknanay</t>
  </si>
  <si>
    <t>Aarbet Qozhaiya</t>
  </si>
  <si>
    <t>Qachlaq</t>
  </si>
  <si>
    <t>Btalloun</t>
  </si>
  <si>
    <t>Habramoun</t>
  </si>
  <si>
    <t>Berti</t>
  </si>
  <si>
    <t>Zahle Mar Antonios</t>
  </si>
  <si>
    <t>Beit Habbaq</t>
  </si>
  <si>
    <t>Bichtlida</t>
  </si>
  <si>
    <t>Hbaline</t>
  </si>
  <si>
    <t>Hsoun</t>
  </si>
  <si>
    <t>Kfar Qouq</t>
  </si>
  <si>
    <t>Zahle Mar Elias</t>
  </si>
  <si>
    <t>Chouaya El-Matn</t>
  </si>
  <si>
    <t>Chnanaair</t>
  </si>
  <si>
    <t>Ghidras</t>
  </si>
  <si>
    <t>Fraudis Ech-Chouf</t>
  </si>
  <si>
    <t>Kfar Beit</t>
  </si>
  <si>
    <t>Aaytanit</t>
  </si>
  <si>
    <t>Qantarat Aakkar</t>
  </si>
  <si>
    <t>Ramlie</t>
  </si>
  <si>
    <t>Rijme</t>
  </si>
  <si>
    <t>Beit Lif</t>
  </si>
  <si>
    <t>Ouadi Baanqoudaine</t>
  </si>
  <si>
    <t>Qaytoule</t>
  </si>
  <si>
    <t>Ayto</t>
  </si>
  <si>
    <t>Deir El-harf</t>
  </si>
  <si>
    <t>Aaramta</t>
  </si>
  <si>
    <t>Zahle El-Berbara</t>
  </si>
  <si>
    <t>Hasbaiya El-Matn</t>
  </si>
  <si>
    <t>Qalaat Baabda</t>
  </si>
  <si>
    <t>Fghal</t>
  </si>
  <si>
    <t>Saida Kefraya</t>
  </si>
  <si>
    <t>Mina N 2</t>
  </si>
  <si>
    <t>Trablous El Mhatra</t>
  </si>
  <si>
    <t>Mar Touma</t>
  </si>
  <si>
    <t>Saidnaya</t>
  </si>
  <si>
    <t>Jisr El Qadi</t>
  </si>
  <si>
    <t>Mazraat Bani Saab</t>
  </si>
  <si>
    <t>Hanine</t>
  </si>
  <si>
    <t>Fatre</t>
  </si>
  <si>
    <t>Btedine El-Leqch</t>
  </si>
  <si>
    <t>AAridet Cheikh Zennad</t>
  </si>
  <si>
    <t>Zouq El-Hadara</t>
  </si>
  <si>
    <t>Aain El Halazoun</t>
  </si>
  <si>
    <t>Yahfoufa</t>
  </si>
  <si>
    <t>Bayzoun</t>
  </si>
  <si>
    <t>Kfoun</t>
  </si>
  <si>
    <t>Sejoud</t>
  </si>
  <si>
    <t>Kneisset Sour</t>
  </si>
  <si>
    <t>Ouadi Ed-Delm</t>
  </si>
  <si>
    <t>Beit Younes</t>
  </si>
  <si>
    <t>Kfar Tay El-Matn</t>
  </si>
  <si>
    <t>Chamate</t>
  </si>
  <si>
    <t>Yanta</t>
  </si>
  <si>
    <t>Hajje</t>
  </si>
  <si>
    <t>Khzaiz</t>
  </si>
  <si>
    <t>Hmairi Sour</t>
  </si>
  <si>
    <t>Kafr</t>
  </si>
  <si>
    <t>Hlaliye Baabda</t>
  </si>
  <si>
    <t>Dar El-Ouassaa</t>
  </si>
  <si>
    <t>Rmeil foncière</t>
  </si>
  <si>
    <t>Srobbine</t>
  </si>
  <si>
    <t>Jarmaq</t>
  </si>
  <si>
    <t>Hsayn</t>
  </si>
  <si>
    <t>Qraiyat</t>
  </si>
  <si>
    <t>Jouret Arsoun</t>
  </si>
  <si>
    <t>Hsarat</t>
  </si>
  <si>
    <t>Khartoum</t>
  </si>
  <si>
    <t>Beit Ayoub</t>
  </si>
  <si>
    <t>Bmakine</t>
  </si>
  <si>
    <t>Aain Jarfa</t>
  </si>
  <si>
    <t>Mchane</t>
  </si>
  <si>
    <t>Dhayra</t>
  </si>
  <si>
    <t>Zouarib</t>
  </si>
  <si>
    <t>Taazaniye</t>
  </si>
  <si>
    <t>Chikhane</t>
  </si>
  <si>
    <t>Jouret E-Tourmos</t>
  </si>
  <si>
    <t>Bany haiyane</t>
  </si>
  <si>
    <t>Yanouh Sour</t>
  </si>
  <si>
    <t>Zahle Saydet En-Najat</t>
  </si>
  <si>
    <t>Qarah Bach</t>
  </si>
  <si>
    <t>Seraal</t>
  </si>
  <si>
    <t>Beit Mellat</t>
  </si>
  <si>
    <t>Aain Drafil</t>
  </si>
  <si>
    <t>Bserrine</t>
  </si>
  <si>
    <t>Btibyat</t>
  </si>
  <si>
    <t>Ghabbatiye</t>
  </si>
  <si>
    <t>Aain Aata</t>
  </si>
  <si>
    <t>Aalma Ech-Chaab</t>
  </si>
  <si>
    <t>Bmaryam</t>
  </si>
  <si>
    <t>Merdache</t>
  </si>
  <si>
    <t>Khalouet Hasbaiya</t>
  </si>
  <si>
    <t>Midane Jezzine</t>
  </si>
  <si>
    <t>Chihine</t>
  </si>
  <si>
    <t>Aain Tinta</t>
  </si>
  <si>
    <t>Beit El-Haouch</t>
  </si>
  <si>
    <t>Kfar Noun</t>
  </si>
  <si>
    <t>Bmahray</t>
  </si>
  <si>
    <t>Aarbaniye</t>
  </si>
  <si>
    <t>Chouit</t>
  </si>
  <si>
    <t>Haret Hamze</t>
  </si>
  <si>
    <t>Qordata</t>
  </si>
  <si>
    <t>Kharayeb El-Hermel</t>
  </si>
  <si>
    <t>Aain Kfaa</t>
  </si>
  <si>
    <t>Bintaael</t>
  </si>
  <si>
    <t>Jaj</t>
  </si>
  <si>
    <t>Ras Osta</t>
  </si>
  <si>
    <t>Homsiye</t>
  </si>
  <si>
    <t>Mharbiye</t>
  </si>
  <si>
    <t>Tanbourit</t>
  </si>
  <si>
    <t>Neftakhiye</t>
  </si>
  <si>
    <t>Kfaryachit</t>
  </si>
  <si>
    <t>Mazraat En-Nahr Aaley</t>
  </si>
  <si>
    <t>Mina el-Hosn foncière</t>
  </si>
  <si>
    <t>Mjaydel Jezzine</t>
  </si>
  <si>
    <t>Bizhel</t>
  </si>
  <si>
    <t>Aalmane Marjaayoun</t>
  </si>
  <si>
    <t>Menneaa</t>
  </si>
  <si>
    <t>Jouar El-Haouz</t>
  </si>
  <si>
    <t>Dellafe</t>
  </si>
  <si>
    <t>Wadi Jezzine</t>
  </si>
  <si>
    <t>Zhilta</t>
  </si>
  <si>
    <t>Zouq El-Hbalsa</t>
  </si>
  <si>
    <t>Kfayr Ez-Zait</t>
  </si>
  <si>
    <t>Aain Ed-Delbe Jbayl</t>
  </si>
  <si>
    <t>Aain Ed-Delbe Kesrouane</t>
  </si>
  <si>
    <t>Beqaata Kanaan</t>
  </si>
  <si>
    <t>Maarab</t>
  </si>
  <si>
    <t>Mradiye</t>
  </si>
  <si>
    <t>Habchit</t>
  </si>
  <si>
    <t>Qsair Aakkar</t>
  </si>
  <si>
    <t>Aain Mouaffaq</t>
  </si>
  <si>
    <t>Khalouat Baabda</t>
  </si>
  <si>
    <t>Borj qalaouiye</t>
  </si>
  <si>
    <t>Qalaouiye</t>
  </si>
  <si>
    <t>Kfar Kidde</t>
  </si>
  <si>
    <t>Mazraat Es Siyad</t>
  </si>
  <si>
    <t>Tourzaiya</t>
  </si>
  <si>
    <t>Aayta El-Foukhar</t>
  </si>
  <si>
    <t>Mcherfe</t>
  </si>
  <si>
    <t>Haqel</t>
  </si>
  <si>
    <t>Mlikh</t>
  </si>
  <si>
    <t>Harharaya</t>
  </si>
  <si>
    <t>Bnechaai</t>
  </si>
  <si>
    <t>Ijbaa</t>
  </si>
  <si>
    <t>Aain Traz</t>
  </si>
  <si>
    <t>Douair Er-Remmane</t>
  </si>
  <si>
    <t>Kfar Selouane</t>
  </si>
  <si>
    <t>Majdel El-Aqoura</t>
  </si>
  <si>
    <t>Mayfouq</t>
  </si>
  <si>
    <t>Haytoule</t>
  </si>
  <si>
    <t>Jibbayn</t>
  </si>
  <si>
    <t>Zilaya</t>
  </si>
  <si>
    <t>Aachach</t>
  </si>
  <si>
    <t>Aintourine</t>
  </si>
  <si>
    <t>Benouati Ech-Chouf</t>
  </si>
  <si>
    <t>Bqaiaa El-Koura</t>
  </si>
  <si>
    <t>Aain Jrain</t>
  </si>
  <si>
    <t>Rihanet Jbayl</t>
  </si>
  <si>
    <t>Batha</t>
  </si>
  <si>
    <t>Kfar Chellal</t>
  </si>
  <si>
    <t>Haouch Hala</t>
  </si>
  <si>
    <t>Hakour</t>
  </si>
  <si>
    <t>Hedd</t>
  </si>
  <si>
    <t>Qloud El-Baqie</t>
  </si>
  <si>
    <t>Deir Khouna</t>
  </si>
  <si>
    <t>Ham</t>
  </si>
  <si>
    <t>Ramyet Bent Jbayl</t>
  </si>
  <si>
    <t>Abou Qamha</t>
  </si>
  <si>
    <t>Afqa Jbayl</t>
  </si>
  <si>
    <t>Qottara Jbayl</t>
  </si>
  <si>
    <t>Kfar Falous</t>
  </si>
  <si>
    <t>Jouret Bedrane</t>
  </si>
  <si>
    <t>Kfour Kesrouane</t>
  </si>
  <si>
    <t>Tell El-Akhdar</t>
  </si>
  <si>
    <t>Sayssouq</t>
  </si>
  <si>
    <t>Zouq El-Moqachrine</t>
  </si>
  <si>
    <t>Bou Zride</t>
  </si>
  <si>
    <t>Haret Es-Sit</t>
  </si>
  <si>
    <t>Mazraat beit Mchaik</t>
  </si>
  <si>
    <t>Chmout</t>
  </si>
  <si>
    <t>Jernaya</t>
  </si>
  <si>
    <t>Maknounet Jezzine</t>
  </si>
  <si>
    <t>Aain Aarab Rachaiya</t>
  </si>
  <si>
    <t>Touaite Zahle</t>
  </si>
  <si>
    <t>Fraydes Aakkar</t>
  </si>
  <si>
    <t>Hmaire Aakkar</t>
  </si>
  <si>
    <t>Tshea</t>
  </si>
  <si>
    <t>Dfoun</t>
  </si>
  <si>
    <t>Selfaya</t>
  </si>
  <si>
    <t>Habil</t>
  </si>
  <si>
    <t>Seraaiita</t>
  </si>
  <si>
    <t>Harf Jezzine</t>
  </si>
  <si>
    <t>Rimat</t>
  </si>
  <si>
    <t>Sabbah</t>
  </si>
  <si>
    <t>Rouayssat En-Naamane</t>
  </si>
  <si>
    <t>Racha</t>
  </si>
  <si>
    <t>Qahmez</t>
  </si>
  <si>
    <t>Deir Siriane</t>
  </si>
  <si>
    <t>Deir El-Aachayer</t>
  </si>
  <si>
    <t>Boustane</t>
  </si>
  <si>
    <t>Mazraat Ez-Zalloutiyeh</t>
  </si>
  <si>
    <t>Behouara</t>
  </si>
  <si>
    <t>Debl</t>
  </si>
  <si>
    <t>Hazmiyet-Miniye</t>
  </si>
  <si>
    <t>Gharzouz</t>
  </si>
  <si>
    <t>Boueyda Marjaayoun</t>
  </si>
  <si>
    <t>Tannoura</t>
  </si>
  <si>
    <t>Trablous Er-Remmaneh</t>
  </si>
  <si>
    <t>Hmaiss Aakkar</t>
  </si>
  <si>
    <t>Hokr Jouret Srar</t>
  </si>
  <si>
    <t>Mazraat Beit Ghattas</t>
  </si>
  <si>
    <t>Nfisse</t>
  </si>
  <si>
    <t>Qboula</t>
  </si>
  <si>
    <t>Qornet Aakkar</t>
  </si>
  <si>
    <t>Daqqoun</t>
  </si>
  <si>
    <t>Kneisset Baabda</t>
  </si>
  <si>
    <t>Qtale Baabda</t>
  </si>
  <si>
    <t>Jenta</t>
  </si>
  <si>
    <t>Moqraq</t>
  </si>
  <si>
    <t>Nabi Chbay</t>
  </si>
  <si>
    <t>Qarha Baalbek</t>
  </si>
  <si>
    <t>Riha</t>
  </si>
  <si>
    <t>Sbouba</t>
  </si>
  <si>
    <t>Qaouzah</t>
  </si>
  <si>
    <t>Behdaydat</t>
  </si>
  <si>
    <t>Bekhaaz</t>
  </si>
  <si>
    <t>Frat</t>
  </si>
  <si>
    <t>Hema Mar Maroun Aannaya</t>
  </si>
  <si>
    <t>Janne</t>
  </si>
  <si>
    <t>Jlisse</t>
  </si>
  <si>
    <t>kafr</t>
  </si>
  <si>
    <t>Kharbet Jbayl</t>
  </si>
  <si>
    <t>Qorqraiya</t>
  </si>
  <si>
    <t>Ramout</t>
  </si>
  <si>
    <t>Saqi Richmaya</t>
  </si>
  <si>
    <t>Saqiet El-Khayt</t>
  </si>
  <si>
    <t>Souanet Jbayl</t>
  </si>
  <si>
    <t>Bouslaya</t>
  </si>
  <si>
    <t>Deir El Qattine</t>
  </si>
  <si>
    <t>Hassaniye</t>
  </si>
  <si>
    <t>Haytoura</t>
  </si>
  <si>
    <t>Machmouche</t>
  </si>
  <si>
    <t>Mazraat El-Mathane</t>
  </si>
  <si>
    <t>Qtale Jezzine</t>
  </si>
  <si>
    <t>Saydoun</t>
  </si>
  <si>
    <t>Srayri</t>
  </si>
  <si>
    <t>Taaid</t>
  </si>
  <si>
    <t>Chouane</t>
  </si>
  <si>
    <t>Ighbe</t>
  </si>
  <si>
    <t>Nammoura Kesrouane</t>
  </si>
  <si>
    <t>Mhaibib</t>
  </si>
  <si>
    <t>Helouet Rachaiya</t>
  </si>
  <si>
    <t>Selsata (Mazraat Deir El-Aachaiyer)</t>
  </si>
  <si>
    <t>Chebrqiyet Aammiq</t>
  </si>
  <si>
    <t>Libbaya BG</t>
  </si>
  <si>
    <t>Ouaqf BG</t>
  </si>
  <si>
    <t>Ouadi El-Aarayech</t>
  </si>
  <si>
    <t>Boussit</t>
  </si>
  <si>
    <t>Deir Jdeide</t>
  </si>
  <si>
    <t>Houakir</t>
  </si>
  <si>
    <t>Hraiqis</t>
  </si>
  <si>
    <t>Mzraat Kefraya</t>
  </si>
  <si>
    <t>Tallet Zgharta</t>
  </si>
  <si>
    <t>District_Cleaned</t>
  </si>
  <si>
    <t>Row Labels</t>
  </si>
  <si>
    <t>(blank)</t>
  </si>
  <si>
    <t>Grand Total</t>
  </si>
  <si>
    <t>Average of Demographic_Factor (DF = S*H)</t>
  </si>
  <si>
    <t>Average of Displacement_Ratio (S = D/R)</t>
  </si>
  <si>
    <t>Average of Heterogeneity (H)</t>
  </si>
  <si>
    <t>Average of Displaced_Population (D)</t>
  </si>
  <si>
    <t>Average of Resident_Population (R)</t>
  </si>
  <si>
    <t>ADM2_Name</t>
  </si>
  <si>
    <t>Bekaa Ouest</t>
  </si>
  <si>
    <t>Bent Jbail</t>
  </si>
  <si>
    <t>Beyrouth</t>
  </si>
  <si>
    <t>Koura</t>
  </si>
  <si>
    <t>El Metn</t>
  </si>
  <si>
    <t>Minie-Danniye</t>
  </si>
  <si>
    <t>Nabatiye</t>
  </si>
  <si>
    <t>Jbail</t>
  </si>
  <si>
    <t>Kesrouane</t>
  </si>
  <si>
    <t>Marjayoun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</si>
</sst>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2" xfId="0" applyBorder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" refreshedDate="46182.562421064817" createdVersion="8" refreshedVersion="8" minRefreshableVersion="3" recordCount="1628" xr:uid="{B6237FD5-2AC7-4DFB-B2DD-3EBDB957F794}">
  <cacheSource type="worksheet">
    <worksheetSource ref="C1:K1048576" sheet="Master Sheet"/>
  </cacheSource>
  <cacheFields count="9">
    <cacheField name="District" numFmtId="0">
      <sharedItems containsBlank="1"/>
    </cacheField>
    <cacheField name="District_Cleaned" numFmtId="0">
      <sharedItems containsBlank="1" count="27">
        <s v="Beirut"/>
        <s v="Baabda"/>
        <s v="Aley"/>
        <s v="Baalbek"/>
        <s v="Akkar"/>
        <s v="Hasbaya"/>
        <s v="Kesrwane"/>
        <s v="Jezzine"/>
        <s v="Rachaya"/>
        <s v="Zahle"/>
        <s v="Jbeil"/>
        <s v="Marjaayoun"/>
        <s v="Sour"/>
        <s v="Tripoli"/>
        <s v="Zgharta"/>
        <s v="El Hermel"/>
        <s v="Saida"/>
        <s v="West Bekaa"/>
        <s v="Bent Jbeil"/>
        <s v="El Meten"/>
        <s v="El Minieh-Dennie"/>
        <s v="Chouf"/>
        <s v="El Batroun"/>
        <s v="El Koura"/>
        <s v="El Nabatieh"/>
        <s v="Bcharre"/>
        <m/>
      </sharedItems>
    </cacheField>
    <cacheField name="Governorate" numFmtId="0">
      <sharedItems containsBlank="1"/>
    </cacheField>
    <cacheField name="ACS Code" numFmtId="0">
      <sharedItems containsBlank="1" containsMixedTypes="1" containsNumber="1" containsInteger="1" minValue="10110" maxValue="74181"/>
    </cacheField>
    <cacheField name="Resident_Population (R)" numFmtId="0">
      <sharedItems containsString="0" containsBlank="1" containsNumber="1" containsInteger="1" minValue="0" maxValue="239203"/>
    </cacheField>
    <cacheField name="Displaced_Population (D)" numFmtId="0">
      <sharedItems containsString="0" containsBlank="1" containsNumber="1" containsInteger="1" minValue="0" maxValue="64913"/>
    </cacheField>
    <cacheField name="Heterogeneity (H)" numFmtId="0">
      <sharedItems containsString="0" containsBlank="1" containsNumber="1" minValue="0" maxValue="0.85764883508661161"/>
    </cacheField>
    <cacheField name="Displacement_Ratio (S = D/R)" numFmtId="0">
      <sharedItems containsString="0" containsBlank="1" containsNumber="1" minValue="0" maxValue="34.239130434782609"/>
    </cacheField>
    <cacheField name="Demographic_Factor (DF = S*H)" numFmtId="0">
      <sharedItems containsString="0" containsBlank="1" containsNumber="1" minValue="0" maxValue="6.8159168170894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8">
  <r>
    <s v="بيروت"/>
    <x v="0"/>
    <s v="بيروت"/>
    <n v="10110"/>
    <n v="4550"/>
    <n v="28800"/>
    <n v="0.65991016694512528"/>
    <n v="6.3296703296703294"/>
    <n v="4.177013803960353"/>
  </r>
  <r>
    <s v="بيروت"/>
    <x v="0"/>
    <s v="بيروت"/>
    <n v="10150"/>
    <n v="37706"/>
    <n v="39690"/>
    <n v="0.53190598645560305"/>
    <n v="1.0526176205378455"/>
    <n v="0.55989361381273239"/>
  </r>
  <r>
    <s v="بيروت"/>
    <x v="0"/>
    <s v="بيروت"/>
    <n v="10210"/>
    <n v="66330"/>
    <n v="64913"/>
    <n v="0.5986279779716368"/>
    <n v="0.97863711744308757"/>
    <n v="0.5858395587829468"/>
  </r>
  <r>
    <s v="بيروت"/>
    <x v="0"/>
    <s v="بيروت"/>
    <n v="10250"/>
    <n v="1524"/>
    <n v="0"/>
    <n v="0.83693546478094127"/>
    <n v="0"/>
    <n v="0"/>
  </r>
  <r>
    <s v="بيروت"/>
    <x v="0"/>
    <s v="بيروت"/>
    <n v="10310"/>
    <n v="88885"/>
    <n v="16650"/>
    <n v="0.27341793917354673"/>
    <n v="0.18732069528041853"/>
    <n v="5.1216838468127954E-2"/>
  </r>
  <r>
    <s v="بيروت"/>
    <x v="0"/>
    <s v="بيروت"/>
    <n v="10350"/>
    <n v="16218"/>
    <n v="1851"/>
    <n v="0.58627379449899486"/>
    <n v="0.11413244543100259"/>
    <n v="6.6912861858283365E-2"/>
  </r>
  <r>
    <s v="بيروت"/>
    <x v="0"/>
    <s v="بيروت"/>
    <n v="10410"/>
    <n v="10658"/>
    <n v="1350"/>
    <n v="0.56572694749915153"/>
    <n v="0.1266654156502158"/>
    <n v="7.1658038949507841E-2"/>
  </r>
  <r>
    <s v="بيروت"/>
    <x v="0"/>
    <s v="بيروت"/>
    <n v="10450"/>
    <n v="151"/>
    <n v="450"/>
    <n v="0.54555406877191359"/>
    <n v="2.9801324503311259"/>
    <n v="1.6258233837573584"/>
  </r>
  <r>
    <s v="بيروت"/>
    <x v="0"/>
    <s v="بيروت"/>
    <n v="10510"/>
    <n v="2152"/>
    <n v="203"/>
    <n v="0.80288474874255289"/>
    <n v="9.4330855018587359E-2"/>
    <n v="7.5736804830268692E-2"/>
  </r>
  <r>
    <s v="بيروت"/>
    <x v="0"/>
    <s v="بيروت"/>
    <n v="10550"/>
    <n v="21978"/>
    <n v="1238"/>
    <n v="0.80288474874255289"/>
    <n v="5.6329056329056326E-2"/>
    <n v="4.5225740237659497E-2"/>
  </r>
  <r>
    <s v="بيروت"/>
    <x v="0"/>
    <s v="بيروت"/>
    <n v="10610"/>
    <n v="4151"/>
    <n v="1890"/>
    <n v="0.67796400467908402"/>
    <n v="0.45531197301854975"/>
    <n v="0.30868512860599107"/>
  </r>
  <r>
    <s v="بيروت"/>
    <x v="0"/>
    <s v="بيروت"/>
    <n v="10650"/>
    <n v="48435"/>
    <n v="7057"/>
    <n v="0.85764883508661161"/>
    <n v="0.14570042324765148"/>
    <n v="0.12495979826997455"/>
  </r>
  <r>
    <s v="بعبدا"/>
    <x v="1"/>
    <s v="جبل لبنان"/>
    <n v="21111"/>
    <n v="239203"/>
    <n v="10240"/>
    <n v="0.61645563809847903"/>
    <n v="4.2808827648482671E-2"/>
    <n v="2.6389743164293197E-2"/>
  </r>
  <r>
    <s v="بعبدا"/>
    <x v="1"/>
    <s v="جبل لبنان"/>
    <n v="21144"/>
    <n v="62844"/>
    <n v="0"/>
    <n v="0.633992629105671"/>
    <n v="0"/>
    <n v="0"/>
  </r>
  <r>
    <s v="بعبدا"/>
    <x v="1"/>
    <s v="جبل لبنان"/>
    <n v="21166"/>
    <n v="11078"/>
    <n v="0"/>
    <n v="0.35640495932398064"/>
    <n v="0"/>
    <n v="0"/>
  </r>
  <r>
    <s v="بعبدا"/>
    <x v="1"/>
    <s v="جبل لبنان"/>
    <n v="21177"/>
    <n v="130641"/>
    <n v="0"/>
    <n v="0.21915432416645619"/>
    <n v="0"/>
    <n v="0"/>
  </r>
  <r>
    <s v="بعبدا"/>
    <x v="1"/>
    <s v="جبل لبنان"/>
    <n v="21188"/>
    <n v="7707"/>
    <n v="0"/>
    <n v="0.73484024431315609"/>
    <n v="0"/>
    <n v="0"/>
  </r>
  <r>
    <s v="بعبدا"/>
    <x v="1"/>
    <s v="جبل لبنان"/>
    <n v="21211"/>
    <n v="29382"/>
    <n v="8627"/>
    <n v="0.63778092842461565"/>
    <n v="0.29361513852018245"/>
    <n v="0.18726213564492408"/>
  </r>
  <r>
    <s v="بعبدا"/>
    <x v="1"/>
    <s v="جبل لبنان"/>
    <n v="21219"/>
    <n v="21705"/>
    <n v="1885"/>
    <n v="0.62159552002960439"/>
    <n v="8.6846348767565071E-2"/>
    <n v="5.3983301324847001E-2"/>
  </r>
  <r>
    <s v="بعبدا"/>
    <x v="1"/>
    <s v="جبل لبنان"/>
    <n v="21227"/>
    <n v="1133"/>
    <n v="95"/>
    <n v="0.64698117539026634"/>
    <n v="8.3848190644307152E-2"/>
    <n v="5.4248200937400973E-2"/>
  </r>
  <r>
    <s v="بعبدا"/>
    <x v="1"/>
    <s v="جبل لبنان"/>
    <n v="21235"/>
    <n v="281"/>
    <n v="0"/>
    <n v="0.32870681092109866"/>
    <n v="0"/>
    <n v="0"/>
  </r>
  <r>
    <s v="بعبدا"/>
    <x v="1"/>
    <s v="جبل لبنان"/>
    <n v="21243"/>
    <n v="2007"/>
    <n v="1080"/>
    <n v="0.47666523572637043"/>
    <n v="0.53811659192825112"/>
    <n v="0.25650147213975089"/>
  </r>
  <r>
    <s v="بعبدا"/>
    <x v="1"/>
    <s v="جبل لبنان"/>
    <n v="21251"/>
    <n v="6236"/>
    <n v="400"/>
    <n v="0.67078125162137026"/>
    <n v="6.4143681847338041E-2"/>
    <n v="4.302637919316038E-2"/>
  </r>
  <r>
    <s v="بعبدا"/>
    <x v="1"/>
    <s v="جبل لبنان"/>
    <n v="21259"/>
    <n v="2214"/>
    <n v="280"/>
    <n v="0.27955917035861477"/>
    <n v="0.12646793134598014"/>
    <n v="3.5355269964052458E-2"/>
  </r>
  <r>
    <s v="بعبدا"/>
    <x v="1"/>
    <s v="جبل لبنان"/>
    <n v="21267"/>
    <n v="2258"/>
    <n v="90"/>
    <n v="0.55219313845954865"/>
    <n v="3.9858281665190433E-2"/>
    <n v="2.2009469646306189E-2"/>
  </r>
  <r>
    <s v="بعبدا"/>
    <x v="1"/>
    <s v="جبل لبنان"/>
    <n v="21275"/>
    <n v="1035"/>
    <n v="360"/>
    <n v="0.18016181620577199"/>
    <n v="0.34782608695652173"/>
    <n v="6.266497954983373E-2"/>
  </r>
  <r>
    <s v="بعبدا"/>
    <x v="1"/>
    <s v="جبل لبنان"/>
    <n v="21311"/>
    <n v="2358"/>
    <n v="539"/>
    <n v="8.2446025419319668E-2"/>
    <n v="0.2285835453774385"/>
    <n v="1.8845804792626507E-2"/>
  </r>
  <r>
    <s v="بعبدا"/>
    <x v="1"/>
    <s v="جبل لبنان"/>
    <n v="21314"/>
    <n v="15"/>
    <n v="76"/>
    <n v="0.25378667091836737"/>
    <n v="5.0666666666666664"/>
    <n v="1.2858524659863946"/>
  </r>
  <r>
    <s v="بعبدا"/>
    <x v="1"/>
    <s v="جبل لبنان"/>
    <n v="21317"/>
    <n v="822"/>
    <n v="820"/>
    <n v="3.7565512477522933E-2"/>
    <n v="0.9975669099756691"/>
    <n v="3.7474112203854992E-2"/>
  </r>
  <r>
    <s v="بعبدا"/>
    <x v="1"/>
    <s v="جبل لبنان"/>
    <n v="21324"/>
    <n v="375"/>
    <n v="282"/>
    <n v="2.888996096662455E-2"/>
    <n v="0.752"/>
    <n v="2.1725250646901662E-2"/>
  </r>
  <r>
    <s v="بعبدا"/>
    <x v="1"/>
    <s v="جبل لبنان"/>
    <n v="21327"/>
    <n v="27"/>
    <n v="0"/>
    <n v="0.18825530160529758"/>
    <n v="0"/>
    <n v="0"/>
  </r>
  <r>
    <s v="بعبدا"/>
    <x v="1"/>
    <s v="جبل لبنان"/>
    <n v="21331"/>
    <n v="0"/>
    <n v="0"/>
    <n v="0.5621065215301807"/>
    <n v="0"/>
    <n v="0"/>
  </r>
  <r>
    <s v="بعبدا"/>
    <x v="1"/>
    <s v="جبل لبنان"/>
    <n v="21334"/>
    <n v="68"/>
    <n v="160"/>
    <n v="0.22172566117277015"/>
    <n v="2.3529411764705883"/>
    <n v="0.52170743805357689"/>
  </r>
  <r>
    <s v="بعبدا"/>
    <x v="1"/>
    <s v="جبل لبنان"/>
    <n v="21337"/>
    <n v="17"/>
    <n v="0"/>
    <n v="0"/>
    <n v="0"/>
    <n v="0"/>
  </r>
  <r>
    <s v="بعبدا"/>
    <x v="1"/>
    <s v="جبل لبنان"/>
    <n v="21341"/>
    <n v="3591"/>
    <n v="1410"/>
    <n v="0.60684415720590623"/>
    <n v="0.39264828738512947"/>
    <n v="0.23827631903657134"/>
  </r>
  <r>
    <s v="بعبدا"/>
    <x v="1"/>
    <s v="جبل لبنان"/>
    <n v="21344"/>
    <n v="687"/>
    <n v="400"/>
    <n v="6.7828095425498058E-2"/>
    <n v="0.58224163027656473"/>
    <n v="3.9492340859096392E-2"/>
  </r>
  <r>
    <s v="بعبدا"/>
    <x v="1"/>
    <s v="جبل لبنان"/>
    <n v="21351"/>
    <n v="4221"/>
    <n v="374"/>
    <n v="0.20356158247173117"/>
    <n v="8.8604596067282632E-2"/>
    <n v="1.8036491789724583E-2"/>
  </r>
  <r>
    <s v="بعبدا"/>
    <x v="1"/>
    <s v="جبل لبنان"/>
    <n v="21354"/>
    <n v="869"/>
    <n v="450"/>
    <n v="0.57199842488846864"/>
    <n v="0.51783659378596092"/>
    <n v="0.29620171599517942"/>
  </r>
  <r>
    <s v="بعبدا"/>
    <x v="1"/>
    <s v="جبل لبنان"/>
    <n v="21357"/>
    <n v="2365"/>
    <n v="1513"/>
    <n v="0.27235633591832953"/>
    <n v="0.63974630021141654"/>
    <n v="0.17423895824288904"/>
  </r>
  <r>
    <s v="بعبدا"/>
    <x v="1"/>
    <s v="جبل لبنان"/>
    <n v="21361"/>
    <n v="123"/>
    <n v="0"/>
    <n v="0.22625346434870242"/>
    <n v="0"/>
    <n v="0"/>
  </r>
  <r>
    <s v="بعبدا"/>
    <x v="1"/>
    <s v="جبل لبنان"/>
    <n v="21364"/>
    <n v="502"/>
    <n v="0"/>
    <n v="0.5382836241544946"/>
    <n v="0"/>
    <n v="0"/>
  </r>
  <r>
    <s v="بعبدا"/>
    <x v="1"/>
    <s v="جبل لبنان"/>
    <n v="21367"/>
    <n v="400"/>
    <n v="190"/>
    <n v="0.34386723160412302"/>
    <n v="0.47499999999999998"/>
    <n v="0.16333693501195842"/>
  </r>
  <r>
    <s v="بعبدا"/>
    <x v="1"/>
    <s v="جبل لبنان"/>
    <n v="21371"/>
    <n v="2267"/>
    <n v="213"/>
    <n v="0.28210272654116542"/>
    <n v="9.3956771063078953E-2"/>
    <n v="2.6505461293898646E-2"/>
  </r>
  <r>
    <s v="بعبدا"/>
    <x v="1"/>
    <s v="جبل لبنان"/>
    <n v="21374"/>
    <n v="59"/>
    <n v="54"/>
    <n v="0.16415035401915867"/>
    <n v="0.9152542372881356"/>
    <n v="0.15023930706838251"/>
  </r>
  <r>
    <s v="بعبدا"/>
    <x v="1"/>
    <s v="جبل لبنان"/>
    <n v="21377"/>
    <n v="33"/>
    <n v="0"/>
    <n v="0.2112870655755128"/>
    <n v="0"/>
    <n v="0"/>
  </r>
  <r>
    <s v="بعبدا"/>
    <x v="1"/>
    <s v="جبل لبنان"/>
    <n v="21381"/>
    <n v="355"/>
    <n v="0"/>
    <n v="0.2077126761510264"/>
    <n v="0"/>
    <n v="0"/>
  </r>
  <r>
    <s v="بعبدا"/>
    <x v="1"/>
    <s v="جبل لبنان"/>
    <n v="21391"/>
    <n v="317"/>
    <n v="5"/>
    <n v="0.25581095041322299"/>
    <n v="1.5772870662460567E-2"/>
    <n v="4.0348730349088801E-3"/>
  </r>
  <r>
    <s v="بعبدا"/>
    <x v="1"/>
    <s v="جبل لبنان"/>
    <n v="21394"/>
    <n v="1430"/>
    <n v="112"/>
    <n v="0.43083756370056747"/>
    <n v="7.8321678321678329E-2"/>
    <n v="3.3743921073051443E-2"/>
  </r>
  <r>
    <s v="بعبدا"/>
    <x v="1"/>
    <s v="جبل لبنان"/>
    <n v="21397"/>
    <n v="281"/>
    <n v="14"/>
    <n v="0.16285580578156189"/>
    <n v="4.9822064056939501E-2"/>
    <n v="8.1138123876934743E-3"/>
  </r>
  <r>
    <s v="بعبدا"/>
    <x v="1"/>
    <s v="جبل لبنان"/>
    <n v="21411"/>
    <n v="3580"/>
    <n v="150"/>
    <n v="0.57779234975060489"/>
    <n v="4.189944134078212E-2"/>
    <n v="2.4209176665528135E-2"/>
  </r>
  <r>
    <s v="بعبدا"/>
    <x v="1"/>
    <s v="جبل لبنان"/>
    <n v="21416"/>
    <n v="946"/>
    <n v="80"/>
    <n v="7.721891713238449E-3"/>
    <n v="8.4566596194503171E-2"/>
    <n v="6.530140983711162E-4"/>
  </r>
  <r>
    <s v="بعبدا"/>
    <x v="1"/>
    <s v="جبل لبنان"/>
    <n v="21421"/>
    <n v="396"/>
    <n v="23"/>
    <n v="2.5998894712572551E-2"/>
    <n v="5.808080808080808E-2"/>
    <n v="1.5100368141140624E-3"/>
  </r>
  <r>
    <s v="بعبدا"/>
    <x v="1"/>
    <s v="جبل لبنان"/>
    <n v="21426"/>
    <n v="1360"/>
    <n v="45"/>
    <n v="0.58856475547009901"/>
    <n v="3.3088235294117647E-2"/>
    <n v="1.9474569114819453E-2"/>
  </r>
  <r>
    <s v="بعبدا"/>
    <x v="1"/>
    <s v="جبل لبنان"/>
    <n v="21431"/>
    <n v="619"/>
    <n v="680"/>
    <n v="3.2460379702431541E-2"/>
    <n v="1.0985460420032309"/>
    <n v="3.5659221644028183E-2"/>
  </r>
  <r>
    <s v="بعبدا"/>
    <x v="1"/>
    <s v="جبل لبنان"/>
    <n v="21436"/>
    <n v="405"/>
    <n v="207"/>
    <n v="0.52933556129669634"/>
    <n v="0.51111111111111107"/>
    <n v="0.27054928688497809"/>
  </r>
  <r>
    <s v="بعبدا"/>
    <x v="1"/>
    <s v="جبل لبنان"/>
    <n v="21441"/>
    <n v="701"/>
    <n v="325"/>
    <n v="2.7821975992613379E-2"/>
    <n v="0.46362339514978601"/>
    <n v="1.2898918969471252E-2"/>
  </r>
  <r>
    <s v="بعبدا"/>
    <x v="1"/>
    <s v="جبل لبنان"/>
    <n v="21446"/>
    <n v="1985"/>
    <n v="710"/>
    <n v="0.5857086198124315"/>
    <n v="0.35768261964735515"/>
    <n v="0.20949779348454728"/>
  </r>
  <r>
    <s v="بعبدا"/>
    <x v="1"/>
    <s v="جبل لبنان"/>
    <n v="21451"/>
    <n v="156"/>
    <n v="108"/>
    <n v="4.3749428440786442E-2"/>
    <n v="0.69230769230769229"/>
    <n v="3.0288065843621381E-2"/>
  </r>
  <r>
    <s v="بعبدا"/>
    <x v="1"/>
    <s v="جبل لبنان"/>
    <n v="21456"/>
    <n v="2909"/>
    <n v="450"/>
    <n v="0.23775131541274952"/>
    <n v="0.15469233413544173"/>
    <n v="3.6778305924969848E-2"/>
  </r>
  <r>
    <s v="بعبدا"/>
    <x v="1"/>
    <s v="جبل لبنان"/>
    <n v="21461"/>
    <n v="186"/>
    <n v="27"/>
    <n v="0.15374979625593876"/>
    <n v="0.14516129032258066"/>
    <n v="2.2318518811345951E-2"/>
  </r>
  <r>
    <s v="بعبدا"/>
    <x v="1"/>
    <s v="جبل لبنان"/>
    <n v="21466"/>
    <n v="979"/>
    <n v="160"/>
    <n v="0.56556253443526172"/>
    <n v="0.16343207354443309"/>
    <n v="9.2431057721799673E-2"/>
  </r>
  <r>
    <s v="بعبدا"/>
    <x v="1"/>
    <s v="جبل لبنان"/>
    <n v="21471"/>
    <n v="271"/>
    <n v="0"/>
    <n v="0.68269502631435364"/>
    <n v="0"/>
    <n v="0"/>
  </r>
  <r>
    <s v="بعبدا"/>
    <x v="1"/>
    <s v="جبل لبنان"/>
    <n v="21476"/>
    <n v="1467"/>
    <n v="562"/>
    <n v="0.28657866220923667"/>
    <n v="0.3830947511929107"/>
    <n v="0.10978678129624472"/>
  </r>
  <r>
    <s v="بعبدا"/>
    <x v="1"/>
    <s v="جبل لبنان"/>
    <n v="21481"/>
    <n v="172"/>
    <n v="0"/>
    <n v="0.53149284541025921"/>
    <n v="0"/>
    <n v="0"/>
  </r>
  <r>
    <s v="بعبدا"/>
    <x v="1"/>
    <s v="جبل لبنان"/>
    <n v="21487"/>
    <n v="64"/>
    <n v="0"/>
    <n v="0.29861111111111105"/>
    <n v="0"/>
    <n v="0"/>
  </r>
  <r>
    <s v="عاليه"/>
    <x v="2"/>
    <s v="جبل لبنان"/>
    <n v="22411"/>
    <n v="12796"/>
    <n v="1280"/>
    <n v="0.52981576810078113"/>
    <n v="0.10003125976867772"/>
    <n v="5.2998138728430746E-2"/>
  </r>
  <r>
    <s v="بعلبك"/>
    <x v="3"/>
    <s v="بعلبك والهرمل"/>
    <n v="22443"/>
    <n v="2449"/>
    <n v="165"/>
    <n v="7.1065046221390205E-2"/>
    <n v="6.737443854634545E-2"/>
    <n v="4.787967589436253E-3"/>
  </r>
  <r>
    <s v="عكار"/>
    <x v="4"/>
    <s v="عكار"/>
    <n v="22467"/>
    <n v="8178"/>
    <n v="652"/>
    <n v="0"/>
    <n v="7.9726094399608705E-2"/>
    <n v="0"/>
  </r>
  <r>
    <s v="حاصبيا"/>
    <x v="5"/>
    <s v="النبطية"/>
    <n v="22764"/>
    <n v="651"/>
    <n v="0"/>
    <n v="5.7864049089605518E-2"/>
    <n v="0"/>
    <n v="0"/>
  </r>
  <r>
    <s v="كسروان"/>
    <x v="6"/>
    <s v="جبل لبنان"/>
    <n v="22799"/>
    <n v="26"/>
    <n v="0"/>
    <n v="0.24881589716754549"/>
    <n v="0"/>
    <n v="0"/>
  </r>
  <r>
    <s v="جزين"/>
    <x v="7"/>
    <s v="الجنوب"/>
    <n v="23263"/>
    <n v="126"/>
    <n v="6"/>
    <n v="0.15919657147547328"/>
    <n v="4.7619047619047616E-2"/>
    <n v="7.5807891178796792E-3"/>
  </r>
  <r>
    <s v="راشيا"/>
    <x v="8"/>
    <s v="البقاع"/>
    <n v="23356"/>
    <n v="101"/>
    <n v="6"/>
    <n v="3.7005792432027285E-2"/>
    <n v="5.9405940594059403E-2"/>
    <n v="2.1983639068531061E-3"/>
  </r>
  <r>
    <s v="بعبدا"/>
    <x v="1"/>
    <s v="جبل لبنان"/>
    <n v="23386"/>
    <n v="1826"/>
    <n v="675"/>
    <n v="0.49316568047337273"/>
    <n v="0.36966046002190578"/>
    <n v="0.18230385231080315"/>
  </r>
  <r>
    <s v="عكار"/>
    <x v="4"/>
    <s v="عكار"/>
    <n v="23451"/>
    <n v="1687"/>
    <n v="4"/>
    <n v="7.336643153374045E-2"/>
    <n v="2.3710729104919974E-3"/>
    <n v="1.7395715834911784E-4"/>
  </r>
  <r>
    <s v="زحلة"/>
    <x v="9"/>
    <s v="البقاع"/>
    <n v="23625"/>
    <n v="4064"/>
    <n v="67"/>
    <n v="0.67451124732087409"/>
    <n v="1.6486220472440943E-2"/>
    <n v="1.112014113447307E-2"/>
  </r>
  <r>
    <s v="بعبدا"/>
    <x v="1"/>
    <s v="جبل لبنان"/>
    <n v="23643"/>
    <n v="1742"/>
    <n v="176"/>
    <n v="0.15188233500990711"/>
    <n v="0.1010332950631458"/>
    <n v="1.5345172767935506E-2"/>
  </r>
  <r>
    <s v="عاليه"/>
    <x v="2"/>
    <s v="جبل لبنان"/>
    <n v="24111"/>
    <n v="98172"/>
    <n v="2023"/>
    <n v="0.58764193681026389"/>
    <n v="2.0606690298659497E-2"/>
    <n v="1.2109355398353542E-2"/>
  </r>
  <r>
    <s v="عاليه"/>
    <x v="2"/>
    <s v="جبل لبنان"/>
    <n v="24133"/>
    <n v="39237"/>
    <n v="20750"/>
    <n v="0.60393276186983125"/>
    <n v="0.5288375767770217"/>
    <n v="0.31938233832349566"/>
  </r>
  <r>
    <s v="عاليه"/>
    <x v="2"/>
    <s v="جبل لبنان"/>
    <n v="24155"/>
    <n v="7357"/>
    <n v="4500"/>
    <n v="0.22964958586052397"/>
    <n v="0.61166236237596849"/>
    <n v="0.14046800820611091"/>
  </r>
  <r>
    <s v="عاليه"/>
    <x v="2"/>
    <s v="جبل لبنان"/>
    <n v="24177"/>
    <n v="3233"/>
    <n v="0"/>
    <n v="0.39984978920891368"/>
    <n v="0"/>
    <n v="0"/>
  </r>
  <r>
    <s v="عاليه"/>
    <x v="2"/>
    <s v="جبل لبنان"/>
    <n v="24211"/>
    <n v="20774"/>
    <n v="2475"/>
    <n v="0.16942060143932092"/>
    <n v="0.11913930875132377"/>
    <n v="2.0184653343714224E-2"/>
  </r>
  <r>
    <s v="كسروان"/>
    <x v="6"/>
    <s v="جبل لبنان"/>
    <n v="25327"/>
    <n v="1034"/>
    <n v="0"/>
    <n v="0.18909695027886564"/>
    <n v="0"/>
    <n v="0"/>
  </r>
  <r>
    <s v="عاليه"/>
    <x v="2"/>
    <s v="جبل لبنان"/>
    <n v="24219"/>
    <n v="15"/>
    <n v="0"/>
    <n v="0.21350368402208542"/>
    <n v="0"/>
    <n v="0"/>
  </r>
  <r>
    <s v="عاليه"/>
    <x v="2"/>
    <s v="جبل لبنان"/>
    <n v="24227"/>
    <n v="1218"/>
    <n v="504"/>
    <n v="3.3306051232502076E-2"/>
    <n v="0.41379310344827586"/>
    <n v="1.3781814303104307E-2"/>
  </r>
  <r>
    <s v="عاليه"/>
    <x v="2"/>
    <s v="جبل لبنان"/>
    <n v="24235"/>
    <n v="978"/>
    <n v="203"/>
    <n v="6.6119839383785628E-2"/>
    <n v="0.20756646216768918"/>
    <n v="1.3724261139988224E-2"/>
  </r>
  <r>
    <s v="عاليه"/>
    <x v="2"/>
    <s v="جبل لبنان"/>
    <n v="24243"/>
    <n v="13210"/>
    <n v="49500"/>
    <n v="0.334129983413195"/>
    <n v="3.7471612414837243"/>
    <n v="1.2520389234635241"/>
  </r>
  <r>
    <s v="عاليه"/>
    <x v="2"/>
    <s v="جبل لبنان"/>
    <n v="24251"/>
    <n v="242"/>
    <n v="0"/>
    <n v="0.14815659487362065"/>
    <n v="0"/>
    <n v="0"/>
  </r>
  <r>
    <s v="عاليه"/>
    <x v="2"/>
    <s v="جبل لبنان"/>
    <n v="24259"/>
    <n v="3884"/>
    <n v="450"/>
    <n v="0.43880948159738098"/>
    <n v="0.11585993820803296"/>
    <n v="5.0840439422971534E-2"/>
  </r>
  <r>
    <s v="عاليه"/>
    <x v="2"/>
    <s v="جبل لبنان"/>
    <n v="24267"/>
    <n v="926"/>
    <n v="608"/>
    <n v="0.18499134948096863"/>
    <n v="0.6565874730021598"/>
    <n v="0.1214630026829686"/>
  </r>
  <r>
    <s v="عاليه"/>
    <x v="2"/>
    <s v="جبل لبنان"/>
    <n v="24275"/>
    <n v="1695"/>
    <n v="40"/>
    <n v="0.21187358210282781"/>
    <n v="2.359882005899705E-2"/>
    <n v="4.9999665392997713E-3"/>
  </r>
  <r>
    <s v="عاليه"/>
    <x v="2"/>
    <s v="جبل لبنان"/>
    <n v="24283"/>
    <n v="1942"/>
    <n v="9"/>
    <n v="0.23626658987082549"/>
    <n v="4.6343975283213183E-3"/>
    <n v="1.0949533001222602E-3"/>
  </r>
  <r>
    <s v="عاليه"/>
    <x v="2"/>
    <s v="جبل لبنان"/>
    <n v="24291"/>
    <n v="1586"/>
    <n v="0"/>
    <n v="0.23425056308875458"/>
    <n v="0"/>
    <n v="0"/>
  </r>
  <r>
    <s v="عاليه"/>
    <x v="2"/>
    <s v="جبل لبنان"/>
    <n v="24311"/>
    <n v="30853"/>
    <n v="2773"/>
    <n v="0.50303292683352252"/>
    <n v="8.9877807668622176E-2"/>
    <n v="4.5211496648927429E-2"/>
  </r>
  <r>
    <s v="عاليه"/>
    <x v="2"/>
    <s v="جبل لبنان"/>
    <n v="24313"/>
    <n v="3238"/>
    <n v="0"/>
    <n v="0.2276838741811954"/>
    <n v="0"/>
    <n v="0"/>
  </r>
  <r>
    <s v="عاليه"/>
    <x v="2"/>
    <s v="جبل لبنان"/>
    <n v="24315"/>
    <n v="5358"/>
    <n v="10300"/>
    <n v="0.23471431114984231"/>
    <n v="1.9223590892123927"/>
    <n v="0.45120518940712501"/>
  </r>
  <r>
    <s v="بعبدا"/>
    <x v="1"/>
    <s v="جبل لبنان"/>
    <n v="24317"/>
    <n v="622"/>
    <n v="450"/>
    <n v="0.77935209808027484"/>
    <n v="0.72347266881028938"/>
    <n v="0.56383994234103485"/>
  </r>
  <r>
    <s v="عاليه"/>
    <x v="2"/>
    <s v="جبل لبنان"/>
    <n v="24319"/>
    <n v="586"/>
    <n v="800"/>
    <n v="0.63447622816439597"/>
    <n v="1.3651877133105803"/>
    <n v="0.86617915107767374"/>
  </r>
  <r>
    <s v="عاليه"/>
    <x v="2"/>
    <s v="جبل لبنان"/>
    <n v="24321"/>
    <n v="836"/>
    <n v="70"/>
    <n v="0.38863207716303905"/>
    <n v="8.3732057416267949E-2"/>
    <n v="3.254096339881906E-2"/>
  </r>
  <r>
    <s v="عاليه"/>
    <x v="2"/>
    <s v="جبل لبنان"/>
    <n v="24323"/>
    <n v="1408"/>
    <n v="369"/>
    <n v="0.33267707859782447"/>
    <n v="0.26207386363636365"/>
    <n v="8.7185967331390085E-2"/>
  </r>
  <r>
    <s v="عاليه"/>
    <x v="2"/>
    <s v="جبل لبنان"/>
    <n v="24325"/>
    <n v="528"/>
    <n v="835"/>
    <n v="0.45520934362406928"/>
    <n v="1.581439393939394"/>
    <n v="0.71988598849639751"/>
  </r>
  <r>
    <s v="عاليه"/>
    <x v="2"/>
    <s v="جبل لبنان"/>
    <n v="24327"/>
    <n v="18"/>
    <n v="45"/>
    <n v="0.17458335943395942"/>
    <n v="2.5"/>
    <n v="0.43645839858489854"/>
  </r>
  <r>
    <s v="عاليه"/>
    <x v="2"/>
    <s v="جبل لبنان"/>
    <n v="24329"/>
    <n v="1776"/>
    <n v="855"/>
    <n v="0.10927977347236495"/>
    <n v="0.48141891891891891"/>
    <n v="5.2609350404770286E-2"/>
  </r>
  <r>
    <s v="عاليه"/>
    <x v="2"/>
    <s v="جبل لبنان"/>
    <n v="24331"/>
    <n v="1290"/>
    <n v="2385"/>
    <n v="0.71806033990888452"/>
    <n v="1.8488372093023255"/>
    <n v="1.3275766749478213"/>
  </r>
  <r>
    <s v="عاليه"/>
    <x v="2"/>
    <s v="جبل لبنان"/>
    <n v="24333"/>
    <n v="94"/>
    <n v="18"/>
    <n v="0.35413194444444474"/>
    <n v="0.19148936170212766"/>
    <n v="6.7812500000000053E-2"/>
  </r>
  <r>
    <s v="عاليه"/>
    <x v="2"/>
    <s v="جبل لبنان"/>
    <n v="24335"/>
    <n v="59"/>
    <n v="25"/>
    <n v="0.42939936841919613"/>
    <n v="0.42372881355932202"/>
    <n v="0.18194888492338818"/>
  </r>
  <r>
    <s v="عاليه"/>
    <x v="2"/>
    <s v="جبل لبنان"/>
    <n v="24337"/>
    <n v="3356"/>
    <n v="13225"/>
    <n v="0.13329759250505158"/>
    <n v="3.9407032181168056"/>
    <n v="0.52528625175187937"/>
  </r>
  <r>
    <s v="عاليه"/>
    <x v="2"/>
    <s v="جبل لبنان"/>
    <n v="24339"/>
    <n v="516"/>
    <n v="156"/>
    <n v="0.68790137910848648"/>
    <n v="0.30232558139534882"/>
    <n v="0.20797018438163545"/>
  </r>
  <r>
    <s v="جزين"/>
    <x v="7"/>
    <s v="الجنوب"/>
    <n v="63221"/>
    <n v="364"/>
    <n v="261"/>
    <n v="0.31286658986103966"/>
    <n v="0.71703296703296704"/>
    <n v="0.22433565921354767"/>
  </r>
  <r>
    <s v="عاليه"/>
    <x v="2"/>
    <s v="جبل لبنان"/>
    <n v="24343"/>
    <n v="9516"/>
    <n v="3870"/>
    <n v="2.0934415859368172E-2"/>
    <n v="0.40668348045397223"/>
    <n v="8.5136811029586819E-3"/>
  </r>
  <r>
    <s v="عاليه"/>
    <x v="2"/>
    <s v="جبل لبنان"/>
    <n v="24345"/>
    <n v="12"/>
    <n v="0"/>
    <n v="0.18769701320183518"/>
    <n v="0"/>
    <n v="0"/>
  </r>
  <r>
    <s v="عاليه"/>
    <x v="2"/>
    <s v="جبل لبنان"/>
    <n v="24347"/>
    <n v="132"/>
    <n v="0"/>
    <n v="0.18471743609168456"/>
    <n v="0"/>
    <n v="0"/>
  </r>
  <r>
    <s v="عاليه"/>
    <x v="2"/>
    <s v="جبل لبنان"/>
    <n v="24349"/>
    <n v="2323"/>
    <n v="742"/>
    <n v="0.1668092202200836"/>
    <n v="0.31941455015066722"/>
    <n v="5.3281292037581585E-2"/>
  </r>
  <r>
    <s v="عاليه"/>
    <x v="2"/>
    <s v="جبل لبنان"/>
    <n v="24351"/>
    <n v="1310"/>
    <n v="2115"/>
    <n v="0.46609039643127714"/>
    <n v="1.6145038167938932"/>
    <n v="0.75250472400927571"/>
  </r>
  <r>
    <s v="عاليه"/>
    <x v="2"/>
    <s v="جبل لبنان"/>
    <n v="24353"/>
    <n v="71"/>
    <n v="117"/>
    <n v="0.27332029156020909"/>
    <n v="1.647887323943662"/>
    <n v="0.45040104383865442"/>
  </r>
  <r>
    <s v="عاليه"/>
    <x v="2"/>
    <s v="جبل لبنان"/>
    <n v="24355"/>
    <n v="10"/>
    <n v="0"/>
    <n v="0.2172550154320988"/>
    <n v="0"/>
    <n v="0"/>
  </r>
  <r>
    <s v="عاليه"/>
    <x v="2"/>
    <s v="جبل لبنان"/>
    <n v="24357"/>
    <n v="184"/>
    <n v="18"/>
    <n v="0.25692203753101384"/>
    <n v="9.7826086956521743E-2"/>
    <n v="2.5133677584555703E-2"/>
  </r>
  <r>
    <s v="عاليه"/>
    <x v="2"/>
    <s v="جبل لبنان"/>
    <n v="24359"/>
    <n v="471"/>
    <n v="45"/>
    <n v="0.30921265129790165"/>
    <n v="9.5541401273885357E-2"/>
    <n v="2.9542609996614809E-2"/>
  </r>
  <r>
    <s v="عاليه"/>
    <x v="2"/>
    <s v="جبل لبنان"/>
    <n v="24361"/>
    <n v="89"/>
    <n v="0"/>
    <n v="0.22383996779418935"/>
    <n v="0"/>
    <n v="0"/>
  </r>
  <r>
    <s v="عاليه"/>
    <x v="2"/>
    <s v="جبل لبنان"/>
    <n v="24363"/>
    <n v="31"/>
    <n v="0"/>
    <n v="0.21460094324911938"/>
    <n v="0"/>
    <n v="0"/>
  </r>
  <r>
    <s v="عاليه"/>
    <x v="2"/>
    <s v="جبل لبنان"/>
    <n v="24365"/>
    <n v="1762"/>
    <n v="180"/>
    <n v="0.52303709287541778"/>
    <n v="0.1021566401816118"/>
    <n v="5.3431712098510324E-2"/>
  </r>
  <r>
    <s v="عاليه"/>
    <x v="2"/>
    <s v="جبل لبنان"/>
    <n v="24367"/>
    <n v="2533"/>
    <n v="1623"/>
    <n v="0.23995466967242496"/>
    <n v="0.64074220292143702"/>
    <n v="0.15374908364719531"/>
  </r>
  <r>
    <s v="عاليه"/>
    <x v="2"/>
    <s v="جبل لبنان"/>
    <n v="24371"/>
    <n v="679"/>
    <n v="150"/>
    <n v="0.75604649483791786"/>
    <n v="0.22091310751104565"/>
    <n v="0.16702058059747818"/>
  </r>
  <r>
    <s v="عاليه"/>
    <x v="2"/>
    <s v="جبل لبنان"/>
    <n v="24373"/>
    <n v="40"/>
    <n v="27"/>
    <n v="0.46895544192841498"/>
    <n v="0.67500000000000004"/>
    <n v="0.31654492330168016"/>
  </r>
  <r>
    <s v="عاليه"/>
    <x v="2"/>
    <s v="جبل لبنان"/>
    <n v="24375"/>
    <n v="2423"/>
    <n v="297"/>
    <n v="0.52280708369714435"/>
    <n v="0.12257531985142385"/>
    <n v="6.4083245504767586E-2"/>
  </r>
  <r>
    <s v="عاليه"/>
    <x v="2"/>
    <s v="جبل لبنان"/>
    <n v="24377"/>
    <n v="3206"/>
    <n v="1000"/>
    <n v="0.4870364992224242"/>
    <n v="0.31191515907673112"/>
    <n v="0.15191406713113667"/>
  </r>
  <r>
    <s v="عاليه"/>
    <x v="2"/>
    <s v="جبل لبنان"/>
    <n v="24411"/>
    <n v="1583"/>
    <n v="1170"/>
    <n v="0.55400769853111043"/>
    <n v="0.73910296904611494"/>
    <n v="0.40946873485874868"/>
  </r>
  <r>
    <s v="عاليه"/>
    <x v="2"/>
    <s v="جبل لبنان"/>
    <n v="24417"/>
    <n v="1849"/>
    <n v="765"/>
    <n v="1.3000350749694412E-2"/>
    <n v="0.41373715521903731"/>
    <n v="5.3787281360282452E-3"/>
  </r>
  <r>
    <s v="عاليه"/>
    <x v="2"/>
    <s v="جبل لبنان"/>
    <n v="24421"/>
    <n v="149"/>
    <n v="247"/>
    <n v="0.40421502313990743"/>
    <n v="1.6577181208053691"/>
    <n v="0.67007456856078607"/>
  </r>
  <r>
    <s v="عاليه"/>
    <x v="2"/>
    <s v="جبل لبنان"/>
    <n v="24424"/>
    <n v="3440"/>
    <n v="980"/>
    <n v="3.4167400277388071E-2"/>
    <n v="0.28488372093023256"/>
    <n v="9.7337361255349746E-3"/>
  </r>
  <r>
    <s v="عاليه"/>
    <x v="2"/>
    <s v="جبل لبنان"/>
    <n v="24427"/>
    <n v="2795"/>
    <n v="360"/>
    <n v="0.15988236962418501"/>
    <n v="0.12880143112701253"/>
    <n v="2.0593078019573025E-2"/>
  </r>
  <r>
    <s v="عاليه"/>
    <x v="2"/>
    <s v="جبل لبنان"/>
    <n v="24431"/>
    <n v="46"/>
    <n v="0"/>
    <n v="0.28773397052966965"/>
    <n v="0"/>
    <n v="0"/>
  </r>
  <r>
    <s v="عاليه"/>
    <x v="2"/>
    <s v="جبل لبنان"/>
    <n v="24434"/>
    <n v="1147"/>
    <n v="909"/>
    <n v="1.607418557352347E-2"/>
    <n v="0.79250217959895375"/>
    <n v="1.2738827102295408E-2"/>
  </r>
  <r>
    <s v="عاليه"/>
    <x v="2"/>
    <s v="جبل لبنان"/>
    <n v="24444"/>
    <n v="3688"/>
    <n v="3000"/>
    <n v="2.8343973072495476E-2"/>
    <n v="0.81344902386117135"/>
    <n v="2.3056377228168771E-2"/>
  </r>
  <r>
    <s v="عاليه"/>
    <x v="2"/>
    <s v="جبل لبنان"/>
    <n v="24447"/>
    <n v="2570"/>
    <n v="2295"/>
    <n v="0.22560611055986646"/>
    <n v="0.89299610894941639"/>
    <n v="0.20146537888517257"/>
  </r>
  <r>
    <s v="عاليه"/>
    <x v="2"/>
    <s v="جبل لبنان"/>
    <n v="24451"/>
    <n v="1695"/>
    <n v="9"/>
    <n v="0.34492873119600032"/>
    <n v="5.3097345132743362E-3"/>
    <n v="1.831479988651329E-3"/>
  </r>
  <r>
    <s v="عاليه"/>
    <x v="2"/>
    <s v="جبل لبنان"/>
    <n v="24454"/>
    <n v="1230"/>
    <n v="400"/>
    <n v="2.8832225011376833E-2"/>
    <n v="0.32520325203252032"/>
    <n v="9.3763333370331155E-3"/>
  </r>
  <r>
    <s v="عاليه"/>
    <x v="2"/>
    <s v="جبل لبنان"/>
    <n v="24457"/>
    <n v="1516"/>
    <n v="404"/>
    <n v="2.2321555365381385E-2"/>
    <n v="0.26649076517150394"/>
    <n v="5.9484883691385748E-3"/>
  </r>
  <r>
    <s v="عاليه"/>
    <x v="2"/>
    <s v="جبل لبنان"/>
    <n v="24461"/>
    <n v="29"/>
    <n v="0"/>
    <n v="0.62918293057322039"/>
    <n v="0"/>
    <n v="0"/>
  </r>
  <r>
    <s v="عاليه"/>
    <x v="2"/>
    <s v="جبل لبنان"/>
    <n v="24464"/>
    <n v="182"/>
    <n v="5"/>
    <n v="0.52968768868494132"/>
    <n v="2.7472527472527472E-2"/>
    <n v="1.4551859579256629E-2"/>
  </r>
  <r>
    <s v="عاليه"/>
    <x v="2"/>
    <s v="جبل لبنان"/>
    <n v="24467"/>
    <n v="1114"/>
    <n v="63"/>
    <n v="0.27773848781229493"/>
    <n v="5.6552962298025138E-2"/>
    <n v="1.5706934229959231E-2"/>
  </r>
  <r>
    <s v="عاليه"/>
    <x v="2"/>
    <s v="جبل لبنان"/>
    <n v="24471"/>
    <n v="609"/>
    <n v="198"/>
    <n v="0"/>
    <n v="0.3251231527093596"/>
    <n v="0"/>
  </r>
  <r>
    <s v="عاليه"/>
    <x v="2"/>
    <s v="جبل لبنان"/>
    <n v="24474"/>
    <n v="24"/>
    <n v="8"/>
    <n v="0.22221111111111114"/>
    <n v="0.33333333333333331"/>
    <n v="7.407037037037037E-2"/>
  </r>
  <r>
    <s v="عاليه"/>
    <x v="2"/>
    <s v="جبل لبنان"/>
    <n v="24477"/>
    <n v="2699"/>
    <n v="248"/>
    <n v="0.69619390996507735"/>
    <n v="9.1885883660615036E-2"/>
    <n v="6.3970392616279792E-2"/>
  </r>
  <r>
    <s v="عاليه"/>
    <x v="2"/>
    <s v="جبل لبنان"/>
    <n v="24484"/>
    <n v="74"/>
    <n v="120"/>
    <n v="0.56214830239927571"/>
    <n v="1.6216216216216217"/>
    <n v="0.91159184172855523"/>
  </r>
  <r>
    <s v="كسروان"/>
    <x v="6"/>
    <s v="جبل لبنان"/>
    <n v="25111"/>
    <n v="23933"/>
    <n v="1161"/>
    <n v="0.54581359869532231"/>
    <n v="4.8510424936280452E-2"/>
    <n v="2.6477649608710536E-2"/>
  </r>
  <r>
    <s v="كسروان"/>
    <x v="6"/>
    <s v="جبل لبنان"/>
    <n v="25116"/>
    <n v="29012"/>
    <n v="797"/>
    <n v="0.47755399836734691"/>
    <n v="2.747139114849028E-2"/>
    <n v="1.3119072683674876E-2"/>
  </r>
  <r>
    <s v="كسروان"/>
    <x v="6"/>
    <s v="جبل لبنان"/>
    <n v="25121"/>
    <n v="15171"/>
    <n v="45"/>
    <n v="0.52405993896194469"/>
    <n v="2.9661854854656912E-3"/>
    <n v="1.5544589844629563E-3"/>
  </r>
  <r>
    <s v="كسروان"/>
    <x v="6"/>
    <s v="جبل لبنان"/>
    <n v="25126"/>
    <n v="27722"/>
    <n v="930"/>
    <n v="0.43724833389207973"/>
    <n v="3.3547363105115073E-2"/>
    <n v="1.4668528624184192E-2"/>
  </r>
  <r>
    <s v="كسروان"/>
    <x v="6"/>
    <s v="جبل لبنان"/>
    <n v="25131"/>
    <n v="16068"/>
    <n v="1065"/>
    <n v="0.4161517585322867"/>
    <n v="6.628080657206871E-2"/>
    <n v="2.7582874211904737E-2"/>
  </r>
  <r>
    <s v="كسروان"/>
    <x v="6"/>
    <s v="جبل لبنان"/>
    <n v="25136"/>
    <n v="7900"/>
    <n v="585"/>
    <n v="0.20406611570247934"/>
    <n v="7.4050632911392411E-2"/>
    <n v="1.5111225023538028E-2"/>
  </r>
  <r>
    <s v="كسروان"/>
    <x v="6"/>
    <s v="جبل لبنان"/>
    <n v="25146"/>
    <n v="2822"/>
    <n v="223"/>
    <n v="0.17493001167584765"/>
    <n v="7.9021970233876679E-2"/>
    <n v="1.3823314175660533E-2"/>
  </r>
  <r>
    <s v="كسروان"/>
    <x v="6"/>
    <s v="جبل لبنان"/>
    <n v="25151"/>
    <n v="1370"/>
    <n v="180"/>
    <n v="0.25955758818902919"/>
    <n v="0.13138686131386862"/>
    <n v="3.4102456842354203E-2"/>
  </r>
  <r>
    <s v="كسروان"/>
    <x v="6"/>
    <s v="جبل لبنان"/>
    <n v="25156"/>
    <n v="2866"/>
    <n v="45"/>
    <n v="0.15569200157399621"/>
    <n v="1.57013258897418E-2"/>
    <n v="2.4445708551395079E-3"/>
  </r>
  <r>
    <s v="كسروان"/>
    <x v="6"/>
    <s v="جبل لبنان"/>
    <n v="25161"/>
    <n v="4985"/>
    <n v="450"/>
    <n v="0.14703115159591473"/>
    <n v="9.0270812437311942E-2"/>
    <n v="1.3272621508156798E-2"/>
  </r>
  <r>
    <s v="كسروان"/>
    <x v="6"/>
    <s v="جبل لبنان"/>
    <n v="25166"/>
    <n v="4475"/>
    <n v="400"/>
    <n v="0.18469539296860149"/>
    <n v="8.9385474860335198E-2"/>
    <n v="1.650908540501466E-2"/>
  </r>
  <r>
    <s v="كسروان"/>
    <x v="6"/>
    <s v="جبل لبنان"/>
    <n v="25171"/>
    <n v="1277"/>
    <n v="70"/>
    <n v="0.15492720660350301"/>
    <n v="5.4815974941268601E-2"/>
    <n v="8.4924858748983648E-3"/>
  </r>
  <r>
    <s v="كسروان"/>
    <x v="6"/>
    <s v="جبل لبنان"/>
    <n v="25211"/>
    <n v="6870"/>
    <n v="425"/>
    <n v="0.31305403764420159"/>
    <n v="6.186317321688501E-2"/>
    <n v="1.9366516157028484E-2"/>
  </r>
  <r>
    <s v="كسروان"/>
    <x v="6"/>
    <s v="جبل لبنان"/>
    <n v="25221"/>
    <n v="6519"/>
    <n v="27"/>
    <n v="0.4164643612101997"/>
    <n v="4.1417395306028535E-3"/>
    <n v="1.7248869079115497E-3"/>
  </r>
  <r>
    <s v="كسروان"/>
    <x v="6"/>
    <s v="جبل لبنان"/>
    <n v="25231"/>
    <n v="5287"/>
    <n v="32"/>
    <n v="0.25185328566190646"/>
    <n v="6.0525818044259508E-3"/>
    <n v="1.5243626141821461E-3"/>
  </r>
  <r>
    <s v="جزين"/>
    <x v="7"/>
    <s v="الجنوب"/>
    <n v="25251"/>
    <n v="1917"/>
    <n v="22"/>
    <n v="9.449362755259072E-2"/>
    <n v="1.1476264997391758E-2"/>
    <n v="1.0844339103583702E-3"/>
  </r>
  <r>
    <s v="كسروان"/>
    <x v="6"/>
    <s v="جبل لبنان"/>
    <n v="25261"/>
    <n v="3211"/>
    <n v="36"/>
    <n v="0.24591883597804531"/>
    <n v="1.1211460604173155E-2"/>
    <n v="2.7571093413919752E-3"/>
  </r>
  <r>
    <s v="كسروان"/>
    <x v="6"/>
    <s v="جبل لبنان"/>
    <n v="25271"/>
    <n v="2665"/>
    <n v="0"/>
    <n v="0.27750297265160551"/>
    <n v="0"/>
    <n v="0"/>
  </r>
  <r>
    <s v="كسروان"/>
    <x v="6"/>
    <s v="جبل لبنان"/>
    <n v="25311"/>
    <n v="11170"/>
    <n v="2115"/>
    <n v="0.41208068802778597"/>
    <n v="0.18934646374216652"/>
    <n v="7.8026021054500211E-2"/>
  </r>
  <r>
    <s v="كسروان"/>
    <x v="6"/>
    <s v="جبل لبنان"/>
    <n v="25313"/>
    <n v="1976"/>
    <n v="184"/>
    <n v="0.16651235915800544"/>
    <n v="9.3117408906882596E-2"/>
    <n v="1.550519943576569E-2"/>
  </r>
  <r>
    <s v="كسروان"/>
    <x v="6"/>
    <s v="جبل لبنان"/>
    <n v="25315"/>
    <n v="787"/>
    <n v="0"/>
    <n v="0.19622345208394021"/>
    <n v="0"/>
    <n v="0"/>
  </r>
  <r>
    <s v="كسروان"/>
    <x v="6"/>
    <s v="جبل لبنان"/>
    <n v="25317"/>
    <n v="1508"/>
    <n v="0"/>
    <n v="0.20545771798858825"/>
    <n v="0"/>
    <n v="0"/>
  </r>
  <r>
    <s v="كسروان"/>
    <x v="6"/>
    <s v="جبل لبنان"/>
    <n v="25319"/>
    <n v="3249"/>
    <n v="55"/>
    <n v="0.19853266853357032"/>
    <n v="1.692828562634657E-2"/>
    <n v="3.3608177190970665E-3"/>
  </r>
  <r>
    <s v="كسروان"/>
    <x v="6"/>
    <s v="جبل لبنان"/>
    <n v="25321"/>
    <n v="241"/>
    <n v="0"/>
    <n v="0.14441702553184632"/>
    <n v="0"/>
    <n v="0"/>
  </r>
  <r>
    <s v="كسروان"/>
    <x v="6"/>
    <s v="جبل لبنان"/>
    <n v="25323"/>
    <n v="1319"/>
    <n v="0"/>
    <n v="0.29707327696809349"/>
    <n v="0"/>
    <n v="0"/>
  </r>
  <r>
    <s v="كسروان"/>
    <x v="6"/>
    <s v="جبل لبنان"/>
    <n v="25325"/>
    <n v="967"/>
    <n v="4"/>
    <n v="0.23821209432216595"/>
    <n v="4.1365046535677356E-3"/>
    <n v="9.8536543669975577E-4"/>
  </r>
  <r>
    <s v="كسروان"/>
    <x v="6"/>
    <s v="جبل لبنان"/>
    <n v="25329"/>
    <n v="2241"/>
    <n v="110"/>
    <n v="0.21612214268891117"/>
    <n v="4.9085229808121376E-2"/>
    <n v="1.0608405040508804E-2"/>
  </r>
  <r>
    <s v="كسروان"/>
    <x v="6"/>
    <s v="جبل لبنان"/>
    <n v="25331"/>
    <n v="737"/>
    <n v="0"/>
    <n v="0.16415978155968292"/>
    <n v="0"/>
    <n v="0"/>
  </r>
  <r>
    <s v="كسروان"/>
    <x v="6"/>
    <s v="جبل لبنان"/>
    <n v="25333"/>
    <n v="635"/>
    <n v="0"/>
    <n v="0.2428684807256235"/>
    <n v="0"/>
    <n v="0"/>
  </r>
  <r>
    <s v="كسروان"/>
    <x v="6"/>
    <s v="جبل لبنان"/>
    <n v="25337"/>
    <n v="736"/>
    <n v="12"/>
    <n v="0.65099165287493732"/>
    <n v="1.6304347826086956E-2"/>
    <n v="1.0613994340352239E-2"/>
  </r>
  <r>
    <s v="كسروان"/>
    <x v="6"/>
    <s v="جبل لبنان"/>
    <n v="25339"/>
    <n v="826"/>
    <n v="0"/>
    <n v="0.68632963988919671"/>
    <n v="0"/>
    <n v="0"/>
  </r>
  <r>
    <s v="كسروان"/>
    <x v="6"/>
    <s v="جبل لبنان"/>
    <n v="25341"/>
    <n v="743"/>
    <n v="12"/>
    <n v="9.7502972651605346E-2"/>
    <n v="1.6150740242261104E-2"/>
    <n v="1.5747451841443662E-3"/>
  </r>
  <r>
    <s v="كسروان"/>
    <x v="6"/>
    <s v="جبل لبنان"/>
    <n v="25343"/>
    <n v="2612"/>
    <n v="50"/>
    <n v="0.23586763787721132"/>
    <n v="1.9142419601837671E-2"/>
    <n v="4.5150772947398794E-3"/>
  </r>
  <r>
    <s v="كسروان"/>
    <x v="6"/>
    <s v="جبل لبنان"/>
    <n v="25345"/>
    <n v="319"/>
    <n v="158"/>
    <n v="0.1256476032392736"/>
    <n v="0.4952978056426332"/>
    <n v="6.2232982168668426E-2"/>
  </r>
  <r>
    <s v="كسروان"/>
    <x v="6"/>
    <s v="جبل لبنان"/>
    <n v="25347"/>
    <n v="2998"/>
    <n v="45"/>
    <n v="0.22050273152965627"/>
    <n v="1.5010006671114077E-2"/>
    <n v="3.3097474712590171E-3"/>
  </r>
  <r>
    <s v="كسروان"/>
    <x v="6"/>
    <s v="جبل لبنان"/>
    <n v="25349"/>
    <n v="618"/>
    <n v="0"/>
    <n v="0.17746032857548566"/>
    <n v="0"/>
    <n v="0"/>
  </r>
  <r>
    <s v="كسروان"/>
    <x v="6"/>
    <s v="جبل لبنان"/>
    <n v="25351"/>
    <n v="890"/>
    <n v="0"/>
    <n v="0.14964399999999989"/>
    <n v="0"/>
    <n v="0"/>
  </r>
  <r>
    <s v="كسروان"/>
    <x v="6"/>
    <s v="جبل لبنان"/>
    <n v="25353"/>
    <n v="984"/>
    <n v="60"/>
    <n v="0.27408736540587997"/>
    <n v="6.097560975609756E-2"/>
    <n v="1.6712644232065851E-2"/>
  </r>
  <r>
    <s v="كسروان"/>
    <x v="6"/>
    <s v="جبل لبنان"/>
    <n v="25355"/>
    <n v="734"/>
    <n v="0"/>
    <n v="0.19378495528425477"/>
    <n v="0"/>
    <n v="0"/>
  </r>
  <r>
    <s v="كسروان"/>
    <x v="6"/>
    <s v="جبل لبنان"/>
    <n v="25357"/>
    <n v="580"/>
    <n v="1714"/>
    <n v="0.12366353696833154"/>
    <n v="2.9551724137931035"/>
    <n v="0.36544707304089702"/>
  </r>
  <r>
    <s v="كسروان"/>
    <x v="6"/>
    <s v="جبل لبنان"/>
    <n v="25363"/>
    <n v="1632"/>
    <n v="18"/>
    <n v="0.24632884027309454"/>
    <n v="1.1029411764705883E-2"/>
    <n v="2.7168622088944252E-3"/>
  </r>
  <r>
    <s v="كسروان"/>
    <x v="6"/>
    <s v="جبل لبنان"/>
    <n v="25365"/>
    <n v="892"/>
    <n v="23"/>
    <n v="0.15858843537414979"/>
    <n v="2.5784753363228701E-2"/>
    <n v="4.0891636923827863E-3"/>
  </r>
  <r>
    <s v="كسروان"/>
    <x v="6"/>
    <s v="جبل لبنان"/>
    <n v="25367"/>
    <n v="309"/>
    <n v="0"/>
    <n v="0.16543895664774788"/>
    <n v="0"/>
    <n v="0"/>
  </r>
  <r>
    <s v="كسروان"/>
    <x v="6"/>
    <s v="جبل لبنان"/>
    <n v="25369"/>
    <n v="470"/>
    <n v="9"/>
    <n v="0.13599840626867654"/>
    <n v="1.9148936170212766E-2"/>
    <n v="2.6042248008895509E-3"/>
  </r>
  <r>
    <s v="كسروان"/>
    <x v="6"/>
    <s v="جبل لبنان"/>
    <n v="25373"/>
    <n v="1895"/>
    <n v="18"/>
    <n v="0.27685016473589141"/>
    <n v="9.4986807387862793E-3"/>
    <n v="2.62971132730662E-3"/>
  </r>
  <r>
    <s v="كسروان"/>
    <x v="6"/>
    <s v="جبل لبنان"/>
    <n v="25375"/>
    <n v="549"/>
    <n v="343"/>
    <n v="0.36736606553045315"/>
    <n v="0.62477231329690341"/>
    <n v="0.22952014658824302"/>
  </r>
  <r>
    <s v="كسروان"/>
    <x v="6"/>
    <s v="جبل لبنان"/>
    <n v="25391"/>
    <n v="71"/>
    <n v="0"/>
    <n v="0.12575841147269728"/>
    <n v="0"/>
    <n v="0"/>
  </r>
  <r>
    <s v="كسروان"/>
    <x v="6"/>
    <s v="جبل لبنان"/>
    <n v="25411"/>
    <n v="1973"/>
    <n v="0"/>
    <n v="0.23319739693560326"/>
    <n v="0"/>
    <n v="0"/>
  </r>
  <r>
    <s v="كسروان"/>
    <x v="6"/>
    <s v="جبل لبنان"/>
    <n v="25423"/>
    <n v="6715"/>
    <n v="460"/>
    <n v="0.21743872827321153"/>
    <n v="6.8503350707371555E-2"/>
    <n v="1.4895281460264677E-2"/>
  </r>
  <r>
    <s v="كسروان"/>
    <x v="6"/>
    <s v="جبل لبنان"/>
    <n v="25427"/>
    <n v="2170"/>
    <n v="400"/>
    <n v="0.21129189753412991"/>
    <n v="0.18433179723502305"/>
    <n v="3.89478152136645E-2"/>
  </r>
  <r>
    <s v="كسروان"/>
    <x v="6"/>
    <s v="جبل لبنان"/>
    <n v="25431"/>
    <n v="980"/>
    <n v="11"/>
    <n v="0.10620937499999983"/>
    <n v="1.1224489795918367E-2"/>
    <n v="1.1921460459183653E-3"/>
  </r>
  <r>
    <s v="كسروان"/>
    <x v="6"/>
    <s v="جبل لبنان"/>
    <n v="25435"/>
    <n v="1747"/>
    <n v="25"/>
    <n v="0.11123852003700729"/>
    <n v="1.4310246136233544E-2"/>
    <n v="1.5918506015599214E-3"/>
  </r>
  <r>
    <s v="كسروان"/>
    <x v="6"/>
    <s v="جبل لبنان"/>
    <n v="25439"/>
    <n v="12009"/>
    <n v="250"/>
    <n v="0.18132679173833066"/>
    <n v="2.0817720043300857E-2"/>
    <n v="3.7748103867584863E-3"/>
  </r>
  <r>
    <s v="كسروان"/>
    <x v="6"/>
    <s v="جبل لبنان"/>
    <n v="25443"/>
    <n v="567"/>
    <n v="0"/>
    <n v="0.20730027548209373"/>
    <n v="0"/>
    <n v="0"/>
  </r>
  <r>
    <s v="كسروان"/>
    <x v="6"/>
    <s v="جبل لبنان"/>
    <n v="25451"/>
    <n v="975"/>
    <n v="27"/>
    <n v="0.17946336008573205"/>
    <n v="2.7692307692307693E-2"/>
    <n v="4.9697545869895028E-3"/>
  </r>
  <r>
    <s v="كسروان"/>
    <x v="6"/>
    <s v="جبل لبنان"/>
    <n v="25455"/>
    <n v="933"/>
    <n v="0"/>
    <n v="0.18519591836734672"/>
    <n v="0"/>
    <n v="0"/>
  </r>
  <r>
    <s v="كسروان"/>
    <x v="6"/>
    <s v="جبل لبنان"/>
    <n v="25459"/>
    <n v="1825"/>
    <n v="171"/>
    <n v="0.15969612778246578"/>
    <n v="9.3698630136986302E-2"/>
    <n v="1.4963308411398164E-2"/>
  </r>
  <r>
    <s v="جبيل"/>
    <x v="10"/>
    <s v="جبل لبنان"/>
    <n v="26221"/>
    <n v="328"/>
    <n v="185"/>
    <n v="0.61048446745562124"/>
    <n v="0.56402439024390238"/>
    <n v="0.34432812951003022"/>
  </r>
  <r>
    <s v="كسروان"/>
    <x v="6"/>
    <s v="جبل لبنان"/>
    <n v="25463"/>
    <n v="542"/>
    <n v="0"/>
    <n v="0.14067119054017729"/>
    <n v="0"/>
    <n v="0"/>
  </r>
  <r>
    <s v="كسروان"/>
    <x v="6"/>
    <s v="جبل لبنان"/>
    <n v="25471"/>
    <n v="5427"/>
    <n v="585"/>
    <n v="0.12627236281179133"/>
    <n v="0.1077943615257048"/>
    <n v="1.3611448727639197E-2"/>
  </r>
  <r>
    <s v="كسروان"/>
    <x v="6"/>
    <s v="جبل لبنان"/>
    <n v="25475"/>
    <n v="4577"/>
    <n v="2200"/>
    <n v="0.14474669421487585"/>
    <n v="0.4806641905178064"/>
    <n v="6.9574552604921749E-2"/>
  </r>
  <r>
    <s v="كسروان"/>
    <x v="6"/>
    <s v="جبل لبنان"/>
    <n v="25479"/>
    <n v="242"/>
    <n v="68"/>
    <n v="0.12124520590129062"/>
    <n v="0.28099173553719009"/>
    <n v="3.4068900831767612E-2"/>
  </r>
  <r>
    <s v="جبيل"/>
    <x v="10"/>
    <s v="جبل لبنان"/>
    <n v="26111"/>
    <n v="22391"/>
    <n v="1560"/>
    <n v="0.55023315036195175"/>
    <n v="6.9670849895047113E-2"/>
    <n v="3.8335211226146429E-2"/>
  </r>
  <r>
    <s v="جبيل"/>
    <x v="10"/>
    <s v="جبل لبنان"/>
    <n v="26129"/>
    <n v="13732"/>
    <n v="125"/>
    <n v="0.19271192416450089"/>
    <n v="9.1028255170404887E-3"/>
    <n v="1.7542230207225904E-3"/>
  </r>
  <r>
    <s v="مرجعيون"/>
    <x v="11"/>
    <s v="النبطية"/>
    <n v="73135"/>
    <n v="455"/>
    <n v="0"/>
    <n v="0.25647038922390153"/>
    <n v="0"/>
    <n v="0"/>
  </r>
  <r>
    <s v="جبيل"/>
    <x v="10"/>
    <s v="جبل لبنان"/>
    <n v="26135"/>
    <n v="1756"/>
    <n v="95"/>
    <n v="0.24356234933158016"/>
    <n v="5.4100227790432803E-2"/>
    <n v="1.3176778580011456E-2"/>
  </r>
  <r>
    <s v="جبيل"/>
    <x v="10"/>
    <s v="جبل لبنان"/>
    <n v="26141"/>
    <n v="21613"/>
    <n v="462"/>
    <n v="0.28751343430901721"/>
    <n v="2.1376023689446168E-2"/>
    <n v="6.1458939828235764E-3"/>
  </r>
  <r>
    <s v="جبيل"/>
    <x v="10"/>
    <s v="جبل لبنان"/>
    <n v="26147"/>
    <n v="9722"/>
    <n v="500"/>
    <n v="0.18938685121107257"/>
    <n v="5.142974696564493E-2"/>
    <n v="9.7401178364057081E-3"/>
  </r>
  <r>
    <s v="جبيل"/>
    <x v="10"/>
    <s v="جبل لبنان"/>
    <n v="26153"/>
    <n v="1408"/>
    <n v="0"/>
    <n v="0.21164712743067415"/>
    <n v="0"/>
    <n v="0"/>
  </r>
  <r>
    <s v="جبيل"/>
    <x v="10"/>
    <s v="جبل لبنان"/>
    <n v="26159"/>
    <n v="304"/>
    <n v="111"/>
    <n v="0.55141660285572724"/>
    <n v="0.36513157894736842"/>
    <n v="0.20133961485850568"/>
  </r>
  <r>
    <s v="جبيل"/>
    <x v="10"/>
    <s v="جبل لبنان"/>
    <n v="26165"/>
    <n v="1154"/>
    <n v="58"/>
    <n v="0.58158464011851574"/>
    <n v="5.0259965337954939E-2"/>
    <n v="2.9230423853443599E-2"/>
  </r>
  <r>
    <s v="جبيل"/>
    <x v="10"/>
    <s v="جبل لبنان"/>
    <n v="26171"/>
    <n v="5068"/>
    <n v="175"/>
    <n v="0.16838726050614916"/>
    <n v="3.4530386740331494E-2"/>
    <n v="5.8144772274222782E-3"/>
  </r>
  <r>
    <s v="جبيل"/>
    <x v="10"/>
    <s v="جبل لبنان"/>
    <n v="26177"/>
    <n v="2084"/>
    <n v="258"/>
    <n v="0.36212996603203118"/>
    <n v="0.1238003838771593"/>
    <n v="4.4831828808188118E-2"/>
  </r>
  <r>
    <s v="جبيل"/>
    <x v="10"/>
    <s v="جبل لبنان"/>
    <n v="26189"/>
    <n v="181"/>
    <n v="0"/>
    <n v="0.13360066506919643"/>
    <n v="0"/>
    <n v="0"/>
  </r>
  <r>
    <s v="جبيل"/>
    <x v="10"/>
    <s v="جبل لبنان"/>
    <n v="26211"/>
    <n v="1974"/>
    <n v="34"/>
    <n v="0.10437709277326979"/>
    <n v="1.7223910840932118E-2"/>
    <n v="1.7977817397624989E-3"/>
  </r>
  <r>
    <s v="جبيل"/>
    <x v="10"/>
    <s v="جبل لبنان"/>
    <n v="26212"/>
    <n v="887"/>
    <n v="2250"/>
    <n v="8.3916373788847087E-2"/>
    <n v="2.5366403607666292"/>
    <n v="0.21286566068196838"/>
  </r>
  <r>
    <s v="جبيل"/>
    <x v="10"/>
    <s v="جبل لبنان"/>
    <n v="26215"/>
    <n v="968"/>
    <n v="68"/>
    <n v="0.38488567113661032"/>
    <n v="7.0247933884297523E-2"/>
    <n v="2.703742317901808E-2"/>
  </r>
  <r>
    <s v="جبيل"/>
    <x v="10"/>
    <s v="جبل لبنان"/>
    <n v="26217"/>
    <n v="481"/>
    <n v="180"/>
    <n v="0.55072592592592595"/>
    <n v="0.37422037422037424"/>
    <n v="0.20609286209286212"/>
  </r>
  <r>
    <s v="جبيل"/>
    <x v="10"/>
    <s v="جبل لبنان"/>
    <n v="26220"/>
    <n v="66"/>
    <n v="1485"/>
    <n v="0.10683331942751439"/>
    <n v="22.5"/>
    <n v="2.403749687119074"/>
  </r>
  <r>
    <s v="مرجعيون"/>
    <x v="11"/>
    <s v="النبطية"/>
    <n v="73280"/>
    <n v="885"/>
    <n v="0"/>
    <n v="3.216630520033803E-2"/>
    <n v="0"/>
    <n v="0"/>
  </r>
  <r>
    <s v="جبيل"/>
    <x v="10"/>
    <s v="جبل لبنان"/>
    <n v="26223"/>
    <n v="16"/>
    <n v="12"/>
    <n v="0.15284571128726965"/>
    <n v="0.75"/>
    <n v="0.11463428346545224"/>
  </r>
  <r>
    <s v="جبيل"/>
    <x v="10"/>
    <s v="جبل لبنان"/>
    <n v="26226"/>
    <n v="310"/>
    <n v="900"/>
    <n v="0.11153641335847886"/>
    <n v="2.903225806451613"/>
    <n v="0.32381539362139022"/>
  </r>
  <r>
    <s v="جبيل"/>
    <x v="10"/>
    <s v="جبل لبنان"/>
    <n v="26227"/>
    <n v="237"/>
    <n v="50"/>
    <n v="0.52426666666666666"/>
    <n v="0.2109704641350211"/>
    <n v="0.11060478199718705"/>
  </r>
  <r>
    <s v="جبيل"/>
    <x v="10"/>
    <s v="جبل لبنان"/>
    <n v="26229"/>
    <n v="990"/>
    <n v="250"/>
    <n v="0.49476454293628813"/>
    <n v="0.25252525252525254"/>
    <n v="0.12494054114552731"/>
  </r>
  <r>
    <s v="جبيل"/>
    <x v="10"/>
    <s v="جبل لبنان"/>
    <n v="26231"/>
    <n v="979"/>
    <n v="570"/>
    <n v="0.30934299738926507"/>
    <n v="0.58222676200204293"/>
    <n v="0.18010777171795822"/>
  </r>
  <r>
    <s v="جبيل"/>
    <x v="10"/>
    <s v="جبل لبنان"/>
    <n v="26233"/>
    <n v="1844"/>
    <n v="23"/>
    <n v="0.12701694411414977"/>
    <n v="1.2472885032537961E-2"/>
    <n v="1.5842677411200892E-3"/>
  </r>
  <r>
    <s v="جبيل"/>
    <x v="10"/>
    <s v="جبل لبنان"/>
    <n v="26234"/>
    <n v="246"/>
    <n v="0"/>
    <n v="0.24218904979170797"/>
    <n v="0"/>
    <n v="0"/>
  </r>
  <r>
    <s v="جبيل"/>
    <x v="10"/>
    <s v="جبل لبنان"/>
    <n v="26239"/>
    <n v="928"/>
    <n v="59"/>
    <n v="0.44919586181640625"/>
    <n v="6.3577586206896547E-2"/>
    <n v="2.8558788628413757E-2"/>
  </r>
  <r>
    <s v="جبيل"/>
    <x v="10"/>
    <s v="جبل لبنان"/>
    <n v="26241"/>
    <n v="719"/>
    <n v="1560"/>
    <n v="0.10214766267057462"/>
    <n v="2.1696801112656465"/>
    <n v="0.22162775210861807"/>
  </r>
  <r>
    <s v="جبيل"/>
    <x v="10"/>
    <s v="جبل لبنان"/>
    <n v="26243"/>
    <n v="551"/>
    <n v="600"/>
    <n v="0.56749857298646744"/>
    <n v="1.0889292196007259"/>
    <n v="0.61796577820667953"/>
  </r>
  <r>
    <s v="جبيل"/>
    <x v="10"/>
    <s v="جبل لبنان"/>
    <n v="26244"/>
    <n v="629"/>
    <n v="35"/>
    <n v="0.12243596418159086"/>
    <n v="5.5643879173290937E-2"/>
    <n v="6.8128119973858191E-3"/>
  </r>
  <r>
    <s v="جبيل"/>
    <x v="10"/>
    <s v="جبل لبنان"/>
    <n v="26246"/>
    <n v="843"/>
    <n v="9"/>
    <n v="0.12628864944317497"/>
    <n v="1.0676156583629894E-2"/>
    <n v="1.3482773961904801E-3"/>
  </r>
  <r>
    <s v="جبيل"/>
    <x v="10"/>
    <s v="جبل لبنان"/>
    <n v="26247"/>
    <n v="362"/>
    <n v="0"/>
    <n v="7.9053827720374281E-2"/>
    <n v="0"/>
    <n v="0"/>
  </r>
  <r>
    <s v="جبيل"/>
    <x v="10"/>
    <s v="جبل لبنان"/>
    <n v="26249"/>
    <n v="276"/>
    <n v="8"/>
    <n v="0.10099496862456903"/>
    <n v="2.8985507246376812E-2"/>
    <n v="2.9273903949150444E-3"/>
  </r>
  <r>
    <s v="جبيل"/>
    <x v="10"/>
    <s v="جبل لبنان"/>
    <n v="26251"/>
    <n v="560"/>
    <n v="0"/>
    <n v="0.1400450298796394"/>
    <n v="0"/>
    <n v="0"/>
  </r>
  <r>
    <s v="جبيل"/>
    <x v="10"/>
    <s v="جبل لبنان"/>
    <n v="26256"/>
    <n v="986"/>
    <n v="35"/>
    <n v="8.9518698060941926E-2"/>
    <n v="3.5496957403651115E-2"/>
    <n v="3.177641411899561E-3"/>
  </r>
  <r>
    <s v="جبيل"/>
    <x v="10"/>
    <s v="جبل لبنان"/>
    <n v="26257"/>
    <n v="594"/>
    <n v="0"/>
    <n v="0.15307469014564079"/>
    <n v="0"/>
    <n v="0"/>
  </r>
  <r>
    <s v="جبيل"/>
    <x v="10"/>
    <s v="جبل لبنان"/>
    <n v="26259"/>
    <n v="253"/>
    <n v="0"/>
    <n v="6.307205504470248E-2"/>
    <n v="0"/>
    <n v="0"/>
  </r>
  <r>
    <s v="جبيل"/>
    <x v="10"/>
    <s v="جبل لبنان"/>
    <n v="26261"/>
    <n v="111"/>
    <n v="0"/>
    <n v="7.7223481985386755E-2"/>
    <n v="0"/>
    <n v="0"/>
  </r>
  <r>
    <s v="جبيل"/>
    <x v="10"/>
    <s v="جبل لبنان"/>
    <n v="26263"/>
    <n v="133"/>
    <n v="0"/>
    <n v="0.12553375735316064"/>
    <n v="0"/>
    <n v="0"/>
  </r>
  <r>
    <s v="جبيل"/>
    <x v="10"/>
    <s v="جبل لبنان"/>
    <n v="26266"/>
    <n v="844"/>
    <n v="230"/>
    <n v="0.13367494164643523"/>
    <n v="0.27251184834123221"/>
    <n v="3.6428005424976422E-2"/>
  </r>
  <r>
    <s v="جبيل"/>
    <x v="10"/>
    <s v="جبل لبنان"/>
    <n v="26267"/>
    <n v="888"/>
    <n v="0"/>
    <n v="0.10314735724020341"/>
    <n v="0"/>
    <n v="0"/>
  </r>
  <r>
    <s v="جبيل"/>
    <x v="10"/>
    <s v="جبل لبنان"/>
    <n v="26269"/>
    <n v="657"/>
    <n v="23"/>
    <n v="0.11087211088872095"/>
    <n v="3.5007610350076102E-2"/>
    <n v="3.881367656682773E-3"/>
  </r>
  <r>
    <s v="جبيل"/>
    <x v="10"/>
    <s v="جبل لبنان"/>
    <n v="26271"/>
    <n v="177"/>
    <n v="6"/>
    <n v="0.15499273151655402"/>
    <n v="3.3898305084745763E-2"/>
    <n v="5.2539908988662376E-3"/>
  </r>
  <r>
    <s v="جبيل"/>
    <x v="10"/>
    <s v="جبل لبنان"/>
    <n v="26273"/>
    <n v="413"/>
    <n v="0"/>
    <n v="0.15008218277449048"/>
    <n v="0"/>
    <n v="0"/>
  </r>
  <r>
    <s v="جزين"/>
    <x v="7"/>
    <s v="الجنوب"/>
    <n v="63267"/>
    <n v="447"/>
    <n v="729"/>
    <n v="0.15008218277449048"/>
    <n v="1.6308724832214765"/>
    <n v="0.24476490210873281"/>
  </r>
  <r>
    <s v="جبيل"/>
    <x v="10"/>
    <s v="جبل لبنان"/>
    <n v="26274"/>
    <n v="81"/>
    <n v="10"/>
    <n v="0.18510935589667954"/>
    <n v="0.12345679012345678"/>
    <n v="2.2853006900824632E-2"/>
  </r>
  <r>
    <s v="جبيل"/>
    <x v="10"/>
    <s v="جبل لبنان"/>
    <n v="26276"/>
    <n v="882"/>
    <n v="29"/>
    <n v="0.18362321844267715"/>
    <n v="3.2879818594104306E-2"/>
    <n v="6.0374981120608125E-3"/>
  </r>
  <r>
    <s v="جبيل"/>
    <x v="10"/>
    <s v="جبل لبنان"/>
    <n v="26277"/>
    <n v="639"/>
    <n v="33"/>
    <n v="0.17958862852241075"/>
    <n v="5.1643192488262914E-2"/>
    <n v="9.2745301114860023E-3"/>
  </r>
  <r>
    <s v="جبيل"/>
    <x v="10"/>
    <s v="جبل لبنان"/>
    <n v="26279"/>
    <n v="778"/>
    <n v="68"/>
    <n v="0.15885725946332008"/>
    <n v="8.7403598971722368E-2"/>
    <n v="1.3884696199878876E-2"/>
  </r>
  <r>
    <s v="جبيل"/>
    <x v="10"/>
    <s v="جبل لبنان"/>
    <n v="26281"/>
    <n v="540"/>
    <n v="52"/>
    <n v="0.22642929730136618"/>
    <n v="9.6296296296296297E-2"/>
    <n v="2.1804302703094521E-2"/>
  </r>
  <r>
    <s v="جبيل"/>
    <x v="10"/>
    <s v="جبل لبنان"/>
    <n v="26286"/>
    <n v="1475"/>
    <n v="67"/>
    <n v="7.4242179702965427E-2"/>
    <n v="4.5423728813559321E-2"/>
    <n v="3.3723566373550398E-3"/>
  </r>
  <r>
    <s v="جبيل"/>
    <x v="10"/>
    <s v="جبل لبنان"/>
    <n v="26287"/>
    <n v="768"/>
    <n v="0"/>
    <n v="8.7374086889657754E-2"/>
    <n v="0"/>
    <n v="0"/>
  </r>
  <r>
    <s v="جبيل"/>
    <x v="10"/>
    <s v="جبل لبنان"/>
    <n v="26289"/>
    <n v="188"/>
    <n v="0"/>
    <n v="0.17065147739409048"/>
    <n v="0"/>
    <n v="0"/>
  </r>
  <r>
    <s v="جبيل"/>
    <x v="10"/>
    <s v="جبل لبنان"/>
    <n v="26291"/>
    <n v="711"/>
    <n v="4"/>
    <n v="0.27315689981096403"/>
    <n v="5.6258790436005627E-3"/>
    <n v="1.536747678261401E-3"/>
  </r>
  <r>
    <s v="جبيل"/>
    <x v="10"/>
    <s v="جبل لبنان"/>
    <n v="26293"/>
    <n v="592"/>
    <n v="0"/>
    <n v="0.11479501417769389"/>
    <n v="0"/>
    <n v="0"/>
  </r>
  <r>
    <s v="جبيل"/>
    <x v="10"/>
    <s v="جبل لبنان"/>
    <n v="26294"/>
    <n v="448"/>
    <n v="5"/>
    <n v="0.40103660511823791"/>
    <n v="1.1160714285714286E-2"/>
    <n v="4.4758549678374764E-3"/>
  </r>
  <r>
    <s v="جبيل"/>
    <x v="10"/>
    <s v="جبل لبنان"/>
    <n v="26295"/>
    <n v="724"/>
    <n v="35"/>
    <n v="0.49203453186187263"/>
    <n v="4.834254143646409E-2"/>
    <n v="2.3786199744703789E-2"/>
  </r>
  <r>
    <s v="جبيل"/>
    <x v="10"/>
    <s v="جبل لبنان"/>
    <n v="26296"/>
    <n v="267"/>
    <n v="0"/>
    <n v="0.13388734995383178"/>
    <n v="0"/>
    <n v="0"/>
  </r>
  <r>
    <s v="جبيل"/>
    <x v="10"/>
    <s v="جبل لبنان"/>
    <n v="26297"/>
    <n v="121"/>
    <n v="0"/>
    <n v="0.34129593103952094"/>
    <n v="0"/>
    <n v="0"/>
  </r>
  <r>
    <s v="جبيل"/>
    <x v="10"/>
    <s v="جبل لبنان"/>
    <n v="26298"/>
    <n v="679"/>
    <n v="36"/>
    <n v="0.13464649685289498"/>
    <n v="5.3019145802650956E-2"/>
    <n v="7.1388422484598224E-3"/>
  </r>
  <r>
    <s v="جبيل"/>
    <x v="10"/>
    <s v="جبل لبنان"/>
    <n v="26299"/>
    <n v="234"/>
    <n v="225"/>
    <n v="0.10822356710573178"/>
    <n v="0.96153846153846156"/>
    <n v="0.10406112221704979"/>
  </r>
  <r>
    <s v="جبيل"/>
    <x v="10"/>
    <s v="جبل لبنان"/>
    <n v="26311"/>
    <n v="3602"/>
    <n v="155"/>
    <n v="0.21171438249415908"/>
    <n v="4.3031649083842313E-2"/>
    <n v="9.1104190134910223E-3"/>
  </r>
  <r>
    <s v="جبيل"/>
    <x v="10"/>
    <s v="جبل لبنان"/>
    <n v="26317"/>
    <n v="46"/>
    <n v="1575"/>
    <n v="0.15271449096357648"/>
    <n v="34.239130434782609"/>
    <n v="5.2288113753833247"/>
  </r>
  <r>
    <s v="جبيل"/>
    <x v="10"/>
    <s v="جبل لبنان"/>
    <n v="26321"/>
    <n v="1874"/>
    <n v="170"/>
    <n v="0.56833670825440374"/>
    <n v="9.0715048025613657E-2"/>
    <n v="5.1556691784017415E-2"/>
  </r>
  <r>
    <s v="جبيل"/>
    <x v="10"/>
    <s v="جبل لبنان"/>
    <n v="26327"/>
    <n v="93"/>
    <n v="264"/>
    <n v="0.27754014557535944"/>
    <n v="2.838709677419355"/>
    <n v="0.78785589711714943"/>
  </r>
  <r>
    <s v="جبيل"/>
    <x v="10"/>
    <s v="جبل لبنان"/>
    <n v="26331"/>
    <n v="334"/>
    <n v="4500"/>
    <n v="0.18309751673198593"/>
    <n v="13.473053892215569"/>
    <n v="2.4668827104608884"/>
  </r>
  <r>
    <s v="جبيل"/>
    <x v="10"/>
    <s v="جبل لبنان"/>
    <n v="26334"/>
    <n v="3"/>
    <n v="25"/>
    <n v="0.12053078221175428"/>
    <n v="8.3333333333333339"/>
    <n v="1.0044231850979524"/>
  </r>
  <r>
    <s v="جبيل"/>
    <x v="10"/>
    <s v="جبل لبنان"/>
    <n v="26337"/>
    <n v="212"/>
    <n v="0"/>
    <n v="0.12810264948287353"/>
    <n v="0"/>
    <n v="0"/>
  </r>
  <r>
    <s v="جبيل"/>
    <x v="10"/>
    <s v="جبل لبنان"/>
    <n v="26341"/>
    <n v="998"/>
    <n v="125"/>
    <n v="0.55548415634503057"/>
    <n v="0.12525050100200399"/>
    <n v="6.9574668880890589E-2"/>
  </r>
  <r>
    <s v="جبيل"/>
    <x v="10"/>
    <s v="جبل لبنان"/>
    <n v="26347"/>
    <n v="75"/>
    <n v="0"/>
    <n v="0.19438934802571151"/>
    <n v="0"/>
    <n v="0"/>
  </r>
  <r>
    <s v="صور"/>
    <x v="12"/>
    <s v="الجنوب"/>
    <n v="62219"/>
    <n v="1129"/>
    <n v="0"/>
    <n v="3.5344668352284003E-2"/>
    <n v="0"/>
    <n v="0"/>
  </r>
  <r>
    <s v="جبيل"/>
    <x v="10"/>
    <s v="جبل لبنان"/>
    <n v="26351"/>
    <n v="161"/>
    <n v="50"/>
    <n v="4.9971187900213043E-2"/>
    <n v="0.3105590062111801"/>
    <n v="1.5519002453482309E-2"/>
  </r>
  <r>
    <s v="جبيل"/>
    <x v="10"/>
    <s v="جبل لبنان"/>
    <n v="26357"/>
    <n v="566"/>
    <n v="30"/>
    <n v="0.29045049392305933"/>
    <n v="5.3003533568904596E-2"/>
    <n v="1.5394902504755795E-2"/>
  </r>
  <r>
    <s v="عكار"/>
    <x v="4"/>
    <s v="عكار"/>
    <n v="35128"/>
    <n v="1129"/>
    <n v="0"/>
    <n v="8.8177421881118212E-3"/>
    <n v="0"/>
    <n v="0"/>
  </r>
  <r>
    <s v="جبيل"/>
    <x v="10"/>
    <s v="جبل لبنان"/>
    <n v="26361"/>
    <n v="277"/>
    <n v="50"/>
    <n v="0.11067593141338927"/>
    <n v="0.18050541516245489"/>
    <n v="1.9977604948265212E-2"/>
  </r>
  <r>
    <s v="جبيل"/>
    <x v="10"/>
    <s v="جبل لبنان"/>
    <n v="26364"/>
    <n v="51"/>
    <n v="1125"/>
    <n v="5.6554030650939668E-2"/>
    <n v="22.058823529411764"/>
    <n v="1.2475153820060221"/>
  </r>
  <r>
    <s v="جبيل"/>
    <x v="10"/>
    <s v="جبل لبنان"/>
    <n v="26367"/>
    <n v="1339"/>
    <n v="0"/>
    <n v="7.7842130313302782E-2"/>
    <n v="0"/>
    <n v="0"/>
  </r>
  <r>
    <s v="جبيل"/>
    <x v="10"/>
    <s v="جبل لبنان"/>
    <n v="26371"/>
    <n v="845"/>
    <n v="0"/>
    <n v="0.14556943332476036"/>
    <n v="0"/>
    <n v="0"/>
  </r>
  <r>
    <s v="جبيل"/>
    <x v="10"/>
    <s v="جبل لبنان"/>
    <n v="26377"/>
    <n v="118"/>
    <n v="0"/>
    <n v="0.15841716201798539"/>
    <n v="0"/>
    <n v="0"/>
  </r>
  <r>
    <s v="جبيل"/>
    <x v="10"/>
    <s v="جبل لبنان"/>
    <n v="26381"/>
    <n v="498"/>
    <n v="0"/>
    <n v="0.12804910037155348"/>
    <n v="0"/>
    <n v="0"/>
  </r>
  <r>
    <s v="جبيل"/>
    <x v="10"/>
    <s v="جبل لبنان"/>
    <n v="26384"/>
    <n v="1471"/>
    <n v="18"/>
    <n v="0.1127134644314719"/>
    <n v="1.2236573759347382E-2"/>
    <n v="1.3792266211872836E-3"/>
  </r>
  <r>
    <s v="جبيل"/>
    <x v="10"/>
    <s v="جبل لبنان"/>
    <n v="26388"/>
    <n v="23"/>
    <n v="0"/>
    <n v="9.4514251981784647E-2"/>
    <n v="0"/>
    <n v="0"/>
  </r>
  <r>
    <s v="طرابلس"/>
    <x v="13"/>
    <s v="الشمال"/>
    <n v="31116"/>
    <n v="41739"/>
    <n v="0"/>
    <n v="6.9221165279322983E-2"/>
    <n v="0"/>
    <n v="0"/>
  </r>
  <r>
    <s v="طرابلس"/>
    <x v="13"/>
    <s v="الشمال"/>
    <n v="31121"/>
    <n v="45602"/>
    <n v="49"/>
    <n v="0.47931719718008137"/>
    <n v="1.0745142756896627E-3"/>
    <n v="5.150331709535544E-4"/>
  </r>
  <r>
    <s v="طرابلس"/>
    <x v="13"/>
    <s v="الشمال"/>
    <n v="31126"/>
    <n v="2209"/>
    <n v="0"/>
    <n v="0.10186335840044991"/>
    <n v="0"/>
    <n v="0"/>
  </r>
  <r>
    <s v="طرابلس"/>
    <x v="13"/>
    <s v="الشمال"/>
    <n v="31131"/>
    <n v="233"/>
    <n v="0"/>
    <n v="4.7980954151586541E-2"/>
    <n v="0"/>
    <n v="0"/>
  </r>
  <r>
    <s v="طرابلس"/>
    <x v="13"/>
    <s v="الشمال"/>
    <n v="31136"/>
    <n v="1533"/>
    <n v="0"/>
    <n v="0.17556178582749671"/>
    <n v="0"/>
    <n v="0"/>
  </r>
  <r>
    <s v="طرابلس"/>
    <x v="13"/>
    <s v="الشمال"/>
    <n v="31146"/>
    <n v="822"/>
    <n v="0"/>
    <n v="3.3486612037385122E-2"/>
    <n v="0"/>
    <n v="0"/>
  </r>
  <r>
    <s v="طرابلس"/>
    <x v="13"/>
    <s v="الشمال"/>
    <n v="31151"/>
    <n v="46753"/>
    <n v="61"/>
    <n v="0.47608311326387986"/>
    <n v="1.3047291082925159E-3"/>
    <n v="6.2115949584190685E-4"/>
  </r>
  <r>
    <s v="طرابلس"/>
    <x v="13"/>
    <s v="الشمال"/>
    <n v="31156"/>
    <n v="5178"/>
    <n v="0"/>
    <n v="0.70123084813693293"/>
    <n v="0"/>
    <n v="0"/>
  </r>
  <r>
    <s v="طرابلس"/>
    <x v="13"/>
    <s v="الشمال"/>
    <n v="31161"/>
    <n v="28043"/>
    <n v="0"/>
    <n v="0.40532326127223661"/>
    <n v="0"/>
    <n v="0"/>
  </r>
  <r>
    <s v="طرابلس"/>
    <x v="13"/>
    <s v="الشمال"/>
    <n v="31166"/>
    <n v="4758"/>
    <n v="100"/>
    <n v="3.6399427509649473E-2"/>
    <n v="2.1017234131988232E-2"/>
    <n v="7.6501529024063629E-4"/>
  </r>
  <r>
    <s v="صور"/>
    <x v="12"/>
    <s v="الجنوب"/>
    <n v="31171"/>
    <n v="8519"/>
    <n v="68"/>
    <n v="0.58959183673469384"/>
    <n v="7.982157530226552E-3"/>
    <n v="4.7062149193519403E-3"/>
  </r>
  <r>
    <s v="صور"/>
    <x v="12"/>
    <s v="الجنوب"/>
    <n v="31176"/>
    <n v="10694"/>
    <n v="99"/>
    <n v="4.7023540063377056E-2"/>
    <n v="9.257527585561998E-3"/>
    <n v="4.3532171930749287E-4"/>
  </r>
  <r>
    <s v="طرابلس"/>
    <x v="13"/>
    <s v="الشمال"/>
    <n v="31181"/>
    <n v="10460"/>
    <n v="0"/>
    <n v="0.39069669590450495"/>
    <n v="0"/>
    <n v="0"/>
  </r>
  <r>
    <s v="طرابلس"/>
    <x v="13"/>
    <s v="الشمال"/>
    <n v="31221"/>
    <n v="6014"/>
    <n v="135"/>
    <n v="5.0191462006081045E-2"/>
    <n v="2.2447622214832059E-2"/>
    <n v="1.1266789775226042E-3"/>
  </r>
  <r>
    <s v="زغرتا"/>
    <x v="14"/>
    <s v="الشمال"/>
    <n v="32155"/>
    <n v="1674"/>
    <n v="0"/>
    <n v="0.550547225426118"/>
    <n v="0"/>
    <n v="0"/>
  </r>
  <r>
    <s v="الهرمل"/>
    <x v="15"/>
    <s v="بعلبك والهرمل"/>
    <n v="32187"/>
    <n v="3194"/>
    <n v="75"/>
    <n v="3.0361604207758019E-2"/>
    <n v="2.3481527864746398E-2"/>
    <n v="7.1293685522287142E-4"/>
  </r>
  <r>
    <s v="عكار"/>
    <x v="4"/>
    <s v="عكار"/>
    <n v="32193"/>
    <n v="12"/>
    <n v="0"/>
    <n v="0"/>
    <n v="0"/>
    <n v="0"/>
  </r>
  <r>
    <s v="زغرتا"/>
    <x v="14"/>
    <s v="الشمال"/>
    <n v="33111"/>
    <n v="19905"/>
    <n v="500"/>
    <n v="0.17306054831803008"/>
    <n v="2.5119316754584276E-2"/>
    <n v="4.3471627309226348E-3"/>
  </r>
  <r>
    <s v="زغرتا"/>
    <x v="14"/>
    <s v="الشمال"/>
    <n v="33117"/>
    <n v="5495"/>
    <n v="145"/>
    <n v="0.35442055189425004"/>
    <n v="2.6387625113739762E-2"/>
    <n v="9.3523166559902181E-3"/>
  </r>
  <r>
    <s v="زغرتا"/>
    <x v="14"/>
    <s v="الشمال"/>
    <n v="33119"/>
    <n v="496"/>
    <n v="0"/>
    <n v="0.25383279966050698"/>
    <n v="0"/>
    <n v="0"/>
  </r>
  <r>
    <s v="زغرتا"/>
    <x v="14"/>
    <s v="الشمال"/>
    <n v="33123"/>
    <n v="5969"/>
    <n v="180"/>
    <n v="0.2650888057787133"/>
    <n v="3.0155804992461049E-2"/>
    <n v="7.9939663327472602E-3"/>
  </r>
  <r>
    <s v="زغرتا"/>
    <x v="14"/>
    <s v="الشمال"/>
    <n v="33125"/>
    <n v="403"/>
    <n v="0"/>
    <n v="0.15091516019147133"/>
    <n v="0"/>
    <n v="0"/>
  </r>
  <r>
    <s v="زغرتا"/>
    <x v="14"/>
    <s v="الشمال"/>
    <n v="33129"/>
    <n v="12023"/>
    <n v="250"/>
    <n v="0.32287537277874678"/>
    <n v="2.0793479164933876E-2"/>
    <n v="6.7137023367451294E-3"/>
  </r>
  <r>
    <s v="زغرتا"/>
    <x v="14"/>
    <s v="الشمال"/>
    <n v="33133"/>
    <n v="2557"/>
    <n v="270"/>
    <n v="0.51267806012587869"/>
    <n v="0.10559249120062573"/>
    <n v="5.4134953552595719E-2"/>
  </r>
  <r>
    <s v="عكار"/>
    <x v="4"/>
    <s v="عكار"/>
    <n v="33137"/>
    <n v="532"/>
    <n v="0"/>
    <n v="0.25528819312937456"/>
    <n v="0"/>
    <n v="0"/>
  </r>
  <r>
    <s v="زغرتا"/>
    <x v="14"/>
    <s v="الشمال"/>
    <n v="33141"/>
    <n v="1054"/>
    <n v="0"/>
    <n v="2.107521865889217E-2"/>
    <n v="0"/>
    <n v="0"/>
  </r>
  <r>
    <s v="زغرتا"/>
    <x v="14"/>
    <s v="الشمال"/>
    <n v="33143"/>
    <n v="995"/>
    <n v="0"/>
    <n v="0.16098586727957331"/>
    <n v="0"/>
    <n v="0"/>
  </r>
  <r>
    <s v="زغرتا"/>
    <x v="14"/>
    <s v="الشمال"/>
    <n v="33145"/>
    <n v="1169"/>
    <n v="15"/>
    <n v="0.13125574443243726"/>
    <n v="1.2831479897348161E-2"/>
    <n v="1.6842054460962865E-3"/>
  </r>
  <r>
    <s v="زغرتا"/>
    <x v="14"/>
    <s v="الشمال"/>
    <n v="33147"/>
    <n v="263"/>
    <n v="0"/>
    <n v="0.16388564140716333"/>
    <n v="0"/>
    <n v="0"/>
  </r>
  <r>
    <s v="عكار"/>
    <x v="4"/>
    <s v="عكار"/>
    <n v="33152"/>
    <n v="0"/>
    <n v="0"/>
    <n v="0.17733595398919144"/>
    <n v="0"/>
    <n v="0"/>
  </r>
  <r>
    <s v="زغرتا"/>
    <x v="14"/>
    <s v="الشمال"/>
    <n v="33153"/>
    <n v="575"/>
    <n v="45"/>
    <n v="9.984908936803627E-2"/>
    <n v="7.8260869565217397E-2"/>
    <n v="7.8142765592376217E-3"/>
  </r>
  <r>
    <s v="زغرتا"/>
    <x v="14"/>
    <s v="الشمال"/>
    <n v="33157"/>
    <n v="251"/>
    <n v="0"/>
    <n v="0.14495576657738818"/>
    <n v="0"/>
    <n v="0"/>
  </r>
  <r>
    <s v="زغرتا"/>
    <x v="14"/>
    <s v="الشمال"/>
    <n v="33159"/>
    <n v="318"/>
    <n v="0"/>
    <n v="0.12115892167027986"/>
    <n v="0"/>
    <n v="0"/>
  </r>
  <r>
    <s v="زغرتا"/>
    <x v="14"/>
    <s v="الشمال"/>
    <n v="33161"/>
    <n v="950"/>
    <n v="45"/>
    <n v="7.1513580246913455E-2"/>
    <n v="4.736842105263158E-2"/>
    <n v="3.3874853801169531E-3"/>
  </r>
  <r>
    <s v="زغرتا"/>
    <x v="14"/>
    <s v="الشمال"/>
    <n v="33163"/>
    <n v="950"/>
    <n v="0"/>
    <n v="0.23779661016949127"/>
    <n v="0"/>
    <n v="0"/>
  </r>
  <r>
    <s v="كسروان"/>
    <x v="6"/>
    <s v="جبل لبنان"/>
    <n v="25241"/>
    <n v="893"/>
    <n v="0"/>
    <n v="0.19804007141440183"/>
    <n v="0"/>
    <n v="0"/>
  </r>
  <r>
    <s v="زغرتا"/>
    <x v="14"/>
    <s v="الشمال"/>
    <n v="33165"/>
    <n v="675"/>
    <n v="22"/>
    <n v="0.11439954841419864"/>
    <n v="3.259259259259259E-2"/>
    <n v="3.7285778742405479E-3"/>
  </r>
  <r>
    <s v="زغرتا"/>
    <x v="14"/>
    <s v="الشمال"/>
    <n v="33167"/>
    <n v="623"/>
    <n v="25"/>
    <n v="0.52176930614022354"/>
    <n v="4.0128410914927769E-2"/>
    <n v="2.0937773119591635E-2"/>
  </r>
  <r>
    <s v="زغرتا"/>
    <x v="14"/>
    <s v="الشمال"/>
    <n v="33169"/>
    <n v="1461"/>
    <n v="22"/>
    <n v="0.19502961983861899"/>
    <n v="1.5058179329226557E-2"/>
    <n v="2.9367909900408062E-3"/>
  </r>
  <r>
    <s v="عكار"/>
    <x v="4"/>
    <s v="عكار"/>
    <n v="33171"/>
    <n v="46"/>
    <n v="0"/>
    <n v="0.21385139096463912"/>
    <n v="0"/>
    <n v="0"/>
  </r>
  <r>
    <s v="زغرتا"/>
    <x v="14"/>
    <s v="الشمال"/>
    <n v="33219"/>
    <n v="85"/>
    <n v="0"/>
    <n v="7.0813138735405401E-2"/>
    <n v="0"/>
    <n v="0"/>
  </r>
  <r>
    <s v="زغرتا"/>
    <x v="14"/>
    <s v="الشمال"/>
    <n v="33223"/>
    <n v="143"/>
    <n v="0"/>
    <n v="2.3672596138135105E-2"/>
    <n v="0"/>
    <n v="0"/>
  </r>
  <r>
    <s v="زغرتا"/>
    <x v="14"/>
    <s v="الشمال"/>
    <n v="33227"/>
    <n v="1071"/>
    <n v="0"/>
    <n v="6.2476125522779369E-2"/>
    <n v="0"/>
    <n v="0"/>
  </r>
  <r>
    <s v="زغرتا"/>
    <x v="14"/>
    <s v="الشمال"/>
    <n v="33235"/>
    <n v="215"/>
    <n v="32"/>
    <n v="7.7808948955139345E-2"/>
    <n v="0.14883720930232558"/>
    <n v="1.1580866821230043E-2"/>
  </r>
  <r>
    <s v="زغرتا"/>
    <x v="14"/>
    <s v="الشمال"/>
    <n v="33243"/>
    <n v="1170"/>
    <n v="0"/>
    <n v="8.9951592728623853E-2"/>
    <n v="0"/>
    <n v="0"/>
  </r>
  <r>
    <s v="زغرتا"/>
    <x v="14"/>
    <s v="الشمال"/>
    <n v="33251"/>
    <n v="4264"/>
    <n v="500"/>
    <n v="0.11284558286152013"/>
    <n v="0.11726078799249531"/>
    <n v="1.3232361967814275E-2"/>
  </r>
  <r>
    <s v="زغرتا"/>
    <x v="14"/>
    <s v="الشمال"/>
    <n v="33255"/>
    <n v="712"/>
    <n v="0"/>
    <n v="9.3439283591990385E-2"/>
    <n v="0"/>
    <n v="0"/>
  </r>
  <r>
    <s v="زغرتا"/>
    <x v="14"/>
    <s v="الشمال"/>
    <n v="33259"/>
    <n v="1383"/>
    <n v="0"/>
    <n v="8.6365593894095261E-2"/>
    <n v="0"/>
    <n v="0"/>
  </r>
  <r>
    <s v="زغرتا"/>
    <x v="14"/>
    <s v="الشمال"/>
    <n v="33267"/>
    <n v="1221"/>
    <n v="0"/>
    <n v="0.25917834925040861"/>
    <n v="0"/>
    <n v="0"/>
  </r>
  <r>
    <s v="زغرتا"/>
    <x v="14"/>
    <s v="الشمال"/>
    <n v="33271"/>
    <n v="5333"/>
    <n v="342"/>
    <n v="1.6280810724131012E-2"/>
    <n v="6.4129008063003937E-2"/>
    <n v="1.0440722422000385E-3"/>
  </r>
  <r>
    <s v="زغرتا"/>
    <x v="14"/>
    <s v="الشمال"/>
    <n v="33275"/>
    <n v="958"/>
    <n v="15"/>
    <n v="0.33994047974145825"/>
    <n v="1.5657620041753653E-2"/>
    <n v="5.3226588686032085E-3"/>
  </r>
  <r>
    <s v="زغرتا"/>
    <x v="14"/>
    <s v="الشمال"/>
    <n v="33279"/>
    <n v="182"/>
    <n v="0"/>
    <n v="0.35046963610586013"/>
    <n v="0"/>
    <n v="0"/>
  </r>
  <r>
    <s v="زغرتا"/>
    <x v="14"/>
    <s v="الشمال"/>
    <n v="33287"/>
    <n v="490"/>
    <n v="0"/>
    <n v="0.51727589449583733"/>
    <n v="0"/>
    <n v="0"/>
  </r>
  <r>
    <s v="زغرتا"/>
    <x v="14"/>
    <s v="الشمال"/>
    <n v="33291"/>
    <n v="204"/>
    <n v="0"/>
    <n v="0.22702286334512112"/>
    <n v="0"/>
    <n v="0"/>
  </r>
  <r>
    <s v="عكار"/>
    <x v="4"/>
    <s v="عكار"/>
    <n v="34211"/>
    <n v="138"/>
    <n v="0"/>
    <n v="0.35025419145484038"/>
    <n v="0"/>
    <n v="0"/>
  </r>
  <r>
    <s v="زغرتا"/>
    <x v="14"/>
    <s v="الشمال"/>
    <n v="34212"/>
    <n v="505"/>
    <n v="7"/>
    <n v="0.13368009185100393"/>
    <n v="1.3861386138613862E-2"/>
    <n v="1.8529913721921337E-3"/>
  </r>
  <r>
    <s v="مرجعيون"/>
    <x v="11"/>
    <s v="النبطية"/>
    <n v="34243"/>
    <n v="796"/>
    <n v="0"/>
    <n v="0.19477660240426953"/>
    <n v="0"/>
    <n v="0"/>
  </r>
  <r>
    <s v="بعلبك"/>
    <x v="3"/>
    <s v="بعلبك والهرمل"/>
    <n v="34247"/>
    <n v="250"/>
    <n v="0"/>
    <n v="0.14561330986571863"/>
    <n v="0"/>
    <n v="0"/>
  </r>
  <r>
    <s v="عكار"/>
    <x v="4"/>
    <s v="عكار"/>
    <n v="35111"/>
    <n v="15896"/>
    <n v="495"/>
    <n v="0.52601456673049496"/>
    <n v="3.1139909411172621E-2"/>
    <n v="1.6380045956944828E-2"/>
  </r>
  <r>
    <s v="عكار"/>
    <x v="4"/>
    <s v="عكار"/>
    <n v="35113"/>
    <n v="3142"/>
    <n v="210"/>
    <n v="0.52123676589026569"/>
    <n v="6.6836409929980897E-2"/>
    <n v="3.4837594155619281E-2"/>
  </r>
  <r>
    <s v="عكار"/>
    <x v="4"/>
    <s v="عكار"/>
    <n v="35115"/>
    <n v="1014"/>
    <n v="100"/>
    <n v="0.21389378796786207"/>
    <n v="9.8619329388560162E-2"/>
    <n v="2.1094061929769436E-2"/>
  </r>
  <r>
    <s v="عكار"/>
    <x v="4"/>
    <s v="عكار"/>
    <n v="35117"/>
    <n v="1769"/>
    <n v="67"/>
    <n v="0.32467105065729862"/>
    <n v="3.7874505370265689E-2"/>
    <n v="1.2296755451689661E-2"/>
  </r>
  <r>
    <s v="عكار"/>
    <x v="4"/>
    <s v="عكار"/>
    <n v="35119"/>
    <n v="921"/>
    <n v="324"/>
    <n v="3.7310612770279139E-2"/>
    <n v="0.3517915309446254"/>
    <n v="1.3125557586938589E-2"/>
  </r>
  <r>
    <s v="عكار"/>
    <x v="4"/>
    <s v="عكار"/>
    <n v="35121"/>
    <n v="185"/>
    <n v="0"/>
    <n v="0"/>
    <n v="0"/>
    <n v="0"/>
  </r>
  <r>
    <s v="عكار"/>
    <x v="4"/>
    <s v="عكار"/>
    <n v="35123"/>
    <n v="2338"/>
    <n v="14"/>
    <n v="0.25802706349352544"/>
    <n v="5.9880239520958087E-3"/>
    <n v="1.5450722364881765E-3"/>
  </r>
  <r>
    <s v="عكار"/>
    <x v="4"/>
    <s v="عكار"/>
    <n v="35126"/>
    <n v="2541"/>
    <n v="75"/>
    <n v="0.13323176373991585"/>
    <n v="2.9515938606847699E-2"/>
    <n v="3.9324605590293936E-3"/>
  </r>
  <r>
    <s v="عكار"/>
    <x v="4"/>
    <s v="عكار"/>
    <n v="35127"/>
    <n v="2134"/>
    <n v="135"/>
    <n v="0.18379181258302135"/>
    <n v="6.3261480787253979E-2"/>
    <n v="1.1626942220575389E-2"/>
  </r>
  <r>
    <s v="عكار"/>
    <x v="4"/>
    <s v="عكار"/>
    <n v="35129"/>
    <n v="6756"/>
    <n v="75"/>
    <n v="0.62560455712209573"/>
    <n v="1.1101243339253997E-2"/>
    <n v="6.944988422758612E-3"/>
  </r>
  <r>
    <s v="عكار"/>
    <x v="4"/>
    <s v="عكار"/>
    <n v="35131"/>
    <n v="641"/>
    <n v="81"/>
    <n v="0.2248639609759705"/>
    <n v="0.12636505460218408"/>
    <n v="2.8414946706791903E-2"/>
  </r>
  <r>
    <s v="عكار"/>
    <x v="4"/>
    <s v="عكار"/>
    <n v="35133"/>
    <n v="753"/>
    <n v="0"/>
    <n v="0.62902805204890577"/>
    <n v="0"/>
    <n v="0"/>
  </r>
  <r>
    <s v="عكار"/>
    <x v="4"/>
    <s v="عكار"/>
    <n v="35134"/>
    <n v="122"/>
    <n v="0"/>
    <n v="0.6023585904950215"/>
    <n v="0"/>
    <n v="0"/>
  </r>
  <r>
    <s v="عكار"/>
    <x v="4"/>
    <s v="عكار"/>
    <n v="35137"/>
    <n v="5383"/>
    <n v="22"/>
    <n v="6.6590798576098287E-3"/>
    <n v="4.0869403678246334E-3"/>
    <n v="2.7215262282633522E-5"/>
  </r>
  <r>
    <s v="عكار"/>
    <x v="4"/>
    <s v="عكار"/>
    <n v="35139"/>
    <n v="1487"/>
    <n v="57"/>
    <n v="1.6718853812953016E-2"/>
    <n v="3.833221250840619E-2"/>
    <n v="6.4087065725509213E-4"/>
  </r>
  <r>
    <s v="عكار"/>
    <x v="4"/>
    <s v="عكار"/>
    <n v="35141"/>
    <n v="5483"/>
    <n v="90"/>
    <n v="2.4332869133200541E-2"/>
    <n v="1.6414371694327922E-2"/>
    <n v="3.9940875834179254E-4"/>
  </r>
  <r>
    <s v="عكار"/>
    <x v="4"/>
    <s v="عكار"/>
    <n v="35143"/>
    <n v="1291"/>
    <n v="27"/>
    <n v="1.0365228666118997E-2"/>
    <n v="2.0914020139426802E-2"/>
    <n v="2.1677860107297673E-4"/>
  </r>
  <r>
    <s v="عكار"/>
    <x v="4"/>
    <s v="عكار"/>
    <n v="35145"/>
    <n v="1049"/>
    <n v="0"/>
    <n v="0.53603672925002566"/>
    <n v="0"/>
    <n v="0"/>
  </r>
  <r>
    <s v="عكار"/>
    <x v="4"/>
    <s v="عكار"/>
    <n v="35147"/>
    <n v="2622"/>
    <n v="27"/>
    <n v="0.16995748900280017"/>
    <n v="1.0297482837528604E-2"/>
    <n v="1.7501343261157913E-3"/>
  </r>
  <r>
    <s v="عكار"/>
    <x v="4"/>
    <s v="عكار"/>
    <n v="35149"/>
    <n v="7974"/>
    <n v="247"/>
    <n v="0.54728745411106572"/>
    <n v="3.0975670930524203E-2"/>
    <n v="1.6952596082948738E-2"/>
  </r>
  <r>
    <s v="عكار"/>
    <x v="4"/>
    <s v="عكار"/>
    <n v="35151"/>
    <n v="1720"/>
    <n v="135"/>
    <n v="9.4538595546987958E-3"/>
    <n v="7.8488372093023256E-2"/>
    <n v="7.4201804644438219E-4"/>
  </r>
  <r>
    <s v="عكار"/>
    <x v="4"/>
    <s v="عكار"/>
    <n v="35153"/>
    <n v="636"/>
    <n v="5"/>
    <n v="1.8053634677011154E-2"/>
    <n v="7.8616352201257862E-3"/>
    <n v="1.419310902280751E-4"/>
  </r>
  <r>
    <s v="عكار"/>
    <x v="4"/>
    <s v="عكار"/>
    <n v="35155"/>
    <n v="614"/>
    <n v="0"/>
    <n v="0.2846013699597485"/>
    <n v="0"/>
    <n v="0"/>
  </r>
  <r>
    <s v="عكار"/>
    <x v="4"/>
    <s v="عكار"/>
    <n v="35159"/>
    <n v="599"/>
    <n v="25"/>
    <n v="9.6450892836545066E-2"/>
    <n v="4.1736227045075125E-2"/>
    <n v="4.0254963621262551E-3"/>
  </r>
  <r>
    <s v="عكار"/>
    <x v="4"/>
    <s v="عكار"/>
    <n v="35161"/>
    <n v="463"/>
    <n v="0"/>
    <n v="0.27494020792019724"/>
    <n v="0"/>
    <n v="0"/>
  </r>
  <r>
    <s v="عكار"/>
    <x v="4"/>
    <s v="عكار"/>
    <n v="35163"/>
    <n v="1284"/>
    <n v="23"/>
    <n v="0.19142291021483615"/>
    <n v="1.791277258566978E-2"/>
    <n v="3.4289150583654447E-3"/>
  </r>
  <r>
    <s v="عكار"/>
    <x v="4"/>
    <s v="عكار"/>
    <n v="35167"/>
    <n v="1051"/>
    <n v="23"/>
    <n v="6.904405058430152E-3"/>
    <n v="2.1883920076117985E-2"/>
    <n v="1.5109544847183016E-4"/>
  </r>
  <r>
    <s v="عكار"/>
    <x v="4"/>
    <s v="عكار"/>
    <n v="35169"/>
    <n v="224"/>
    <n v="14"/>
    <n v="0.13774046126049533"/>
    <n v="6.25E-2"/>
    <n v="8.608778828780958E-3"/>
  </r>
  <r>
    <s v="عكار"/>
    <x v="4"/>
    <s v="عكار"/>
    <n v="35171"/>
    <n v="5726"/>
    <n v="100"/>
    <n v="7.6218940083940256E-2"/>
    <n v="1.7464198393293748E-2"/>
    <n v="1.3311026909525018E-3"/>
  </r>
  <r>
    <s v="عكار"/>
    <x v="4"/>
    <s v="عكار"/>
    <n v="35174"/>
    <n v="1027"/>
    <n v="0"/>
    <n v="0.19137012101741846"/>
    <n v="0"/>
    <n v="0"/>
  </r>
  <r>
    <s v="عكار"/>
    <x v="4"/>
    <s v="عكار"/>
    <n v="35175"/>
    <n v="2220"/>
    <n v="315"/>
    <n v="0.44977225363893758"/>
    <n v="0.14189189189189189"/>
    <n v="6.3819035989308714E-2"/>
  </r>
  <r>
    <s v="عكار"/>
    <x v="4"/>
    <s v="عكار"/>
    <n v="35177"/>
    <n v="1157"/>
    <n v="18"/>
    <n v="2.263286613120552E-2"/>
    <n v="1.5557476231633534E-2"/>
    <n v="3.521102768899735E-4"/>
  </r>
  <r>
    <s v="عكار"/>
    <x v="4"/>
    <s v="عكار"/>
    <n v="35179"/>
    <n v="734"/>
    <n v="0"/>
    <n v="0.41515827664399063"/>
    <n v="0"/>
    <n v="0"/>
  </r>
  <r>
    <s v="عكار"/>
    <x v="4"/>
    <s v="عكار"/>
    <n v="35181"/>
    <n v="418"/>
    <n v="18"/>
    <n v="0.53064755313890255"/>
    <n v="4.3062200956937802E-2"/>
    <n v="2.2850851570574753E-2"/>
  </r>
  <r>
    <s v="عكار"/>
    <x v="4"/>
    <s v="عكار"/>
    <n v="35183"/>
    <n v="927"/>
    <n v="36"/>
    <n v="2.5340241507373573E-2"/>
    <n v="3.8834951456310676E-2"/>
    <n v="9.840870488300416E-4"/>
  </r>
  <r>
    <s v="عكار"/>
    <x v="4"/>
    <s v="عكار"/>
    <n v="35185"/>
    <n v="1885"/>
    <n v="40"/>
    <n v="3.1707569311381967E-2"/>
    <n v="2.1220159151193633E-2"/>
    <n v="6.7283966708502844E-4"/>
  </r>
  <r>
    <s v="عكار"/>
    <x v="4"/>
    <s v="عكار"/>
    <n v="35187"/>
    <n v="1820"/>
    <n v="14"/>
    <n v="0.21000693492958378"/>
    <n v="7.6923076923076927E-3"/>
    <n v="1.6154379609967984E-3"/>
  </r>
  <r>
    <s v="عكار"/>
    <x v="4"/>
    <s v="عكار"/>
    <n v="35189"/>
    <n v="2924"/>
    <n v="184"/>
    <n v="0.57219727354974581"/>
    <n v="6.2927496580027359E-2"/>
    <n v="3.6006941974402608E-2"/>
  </r>
  <r>
    <s v="عكار"/>
    <x v="4"/>
    <s v="عكار"/>
    <n v="35191"/>
    <n v="10147"/>
    <n v="199"/>
    <n v="2.170504312594046E-2"/>
    <n v="1.9611707893958805E-2"/>
    <n v="4.2567296561172284E-4"/>
  </r>
  <r>
    <s v="عكار"/>
    <x v="4"/>
    <s v="عكار"/>
    <n v="35213"/>
    <n v="2255"/>
    <n v="225"/>
    <n v="0.54349683744884381"/>
    <n v="9.9778270509977826E-2"/>
    <n v="5.4229174468288184E-2"/>
  </r>
  <r>
    <s v="عكار"/>
    <x v="4"/>
    <s v="عكار"/>
    <n v="35215"/>
    <n v="1985"/>
    <n v="22"/>
    <n v="1.1572978637101161E-2"/>
    <n v="1.1083123425692695E-2"/>
    <n v="1.28264750637897E-4"/>
  </r>
  <r>
    <s v="عكار"/>
    <x v="4"/>
    <s v="عكار"/>
    <n v="35216"/>
    <n v="6692"/>
    <n v="446"/>
    <n v="3.1083636906698464E-2"/>
    <n v="6.6646742378959956E-2"/>
    <n v="2.0716231411218641E-3"/>
  </r>
  <r>
    <s v="عكار"/>
    <x v="4"/>
    <s v="عكار"/>
    <n v="35217"/>
    <n v="1192"/>
    <n v="0"/>
    <n v="8.46273699690131E-2"/>
    <n v="0"/>
    <n v="0"/>
  </r>
  <r>
    <s v="عكار"/>
    <x v="4"/>
    <s v="عكار"/>
    <n v="35221"/>
    <n v="4651"/>
    <n v="0"/>
    <n v="0.51813593696763305"/>
    <n v="0"/>
    <n v="0"/>
  </r>
  <r>
    <s v="عكار"/>
    <x v="4"/>
    <s v="عكار"/>
    <n v="35224"/>
    <n v="4376"/>
    <n v="0"/>
    <n v="1.7352834614137946E-2"/>
    <n v="0"/>
    <n v="0"/>
  </r>
  <r>
    <s v="عكار"/>
    <x v="4"/>
    <s v="عكار"/>
    <n v="35225"/>
    <n v="1116"/>
    <n v="0"/>
    <n v="0.40778443511531526"/>
    <n v="0"/>
    <n v="0"/>
  </r>
  <r>
    <s v="عكار"/>
    <x v="4"/>
    <s v="عكار"/>
    <n v="35227"/>
    <n v="2272"/>
    <n v="27"/>
    <n v="2.8979238754325065E-2"/>
    <n v="1.1883802816901408E-2"/>
    <n v="3.4438355914030667E-4"/>
  </r>
  <r>
    <s v="عكار"/>
    <x v="4"/>
    <s v="عكار"/>
    <n v="35229"/>
    <n v="4800"/>
    <n v="0"/>
    <n v="0.34636121783479867"/>
    <n v="0"/>
    <n v="0"/>
  </r>
  <r>
    <s v="صيدا"/>
    <x v="16"/>
    <s v="الجنوب"/>
    <n v="35234"/>
    <n v="1737"/>
    <n v="0"/>
    <n v="5.733806346774406E-2"/>
    <n v="0"/>
    <n v="0"/>
  </r>
  <r>
    <s v="عكار"/>
    <x v="4"/>
    <s v="عكار"/>
    <n v="35235"/>
    <n v="2817"/>
    <n v="100"/>
    <n v="0.22784203435311201"/>
    <n v="3.5498757543485977E-2"/>
    <n v="8.0881091357157264E-3"/>
  </r>
  <r>
    <s v="عكار"/>
    <x v="4"/>
    <s v="عكار"/>
    <n v="35237"/>
    <n v="3081"/>
    <n v="0"/>
    <n v="0.47764153672442911"/>
    <n v="0"/>
    <n v="0"/>
  </r>
  <r>
    <s v="صور"/>
    <x v="12"/>
    <s v="الجنوب"/>
    <n v="35239"/>
    <n v="714"/>
    <n v="0"/>
    <n v="0.1447238228593104"/>
    <n v="0"/>
    <n v="0"/>
  </r>
  <r>
    <s v="عكار"/>
    <x v="4"/>
    <s v="عكار"/>
    <n v="35243"/>
    <n v="4510"/>
    <n v="30"/>
    <n v="2.7975891620498516E-2"/>
    <n v="6.6518847006651885E-3"/>
    <n v="1.8609240545786152E-4"/>
  </r>
  <r>
    <s v="عكار"/>
    <x v="4"/>
    <s v="عكار"/>
    <n v="35245"/>
    <n v="860"/>
    <n v="0"/>
    <n v="0"/>
    <n v="0"/>
    <n v="0"/>
  </r>
  <r>
    <s v="عكار"/>
    <x v="4"/>
    <s v="عكار"/>
    <n v="35249"/>
    <n v="2641"/>
    <n v="0"/>
    <n v="0.3634083063245066"/>
    <n v="0"/>
    <n v="0"/>
  </r>
  <r>
    <s v="عكار"/>
    <x v="4"/>
    <s v="عكار"/>
    <n v="35253"/>
    <n v="1196"/>
    <n v="0"/>
    <n v="0.33676726583578098"/>
    <n v="0"/>
    <n v="0"/>
  </r>
  <r>
    <s v="عكار"/>
    <x v="4"/>
    <s v="عكار"/>
    <n v="35261"/>
    <n v="5307"/>
    <n v="13"/>
    <n v="1.9085448408687755E-2"/>
    <n v="2.4495948746938007E-3"/>
    <n v="4.6751616603154481E-5"/>
  </r>
  <r>
    <s v="عكار"/>
    <x v="4"/>
    <s v="عكار"/>
    <n v="35265"/>
    <n v="1306"/>
    <n v="77"/>
    <n v="0"/>
    <n v="5.8958652373660034E-2"/>
    <n v="0"/>
  </r>
  <r>
    <s v="عكار"/>
    <x v="4"/>
    <s v="عكار"/>
    <n v="35267"/>
    <n v="1577"/>
    <n v="0"/>
    <n v="1.2549189639037173E-2"/>
    <n v="0"/>
    <n v="0"/>
  </r>
  <r>
    <s v="عكار"/>
    <x v="4"/>
    <s v="عكار"/>
    <n v="35271"/>
    <n v="3004"/>
    <n v="0"/>
    <n v="0.50742774439717564"/>
    <n v="0"/>
    <n v="0"/>
  </r>
  <r>
    <s v="عكار"/>
    <x v="4"/>
    <s v="عكار"/>
    <n v="35273"/>
    <n v="1055"/>
    <n v="0"/>
    <n v="0.21907706338235677"/>
    <n v="0"/>
    <n v="0"/>
  </r>
  <r>
    <s v="عكار"/>
    <x v="4"/>
    <s v="عكار"/>
    <n v="35275"/>
    <n v="23577"/>
    <n v="1431"/>
    <n v="1.2390570929489253E-2"/>
    <n v="6.0694744878483267E-2"/>
    <n v="7.520425414641015E-4"/>
  </r>
  <r>
    <s v="عكار"/>
    <x v="4"/>
    <s v="عكار"/>
    <n v="35277"/>
    <n v="68737"/>
    <n v="4250"/>
    <n v="1.2713416051832072E-2"/>
    <n v="6.1829873285130281E-2"/>
    <n v="7.8606890350591831E-4"/>
  </r>
  <r>
    <s v="عكار"/>
    <x v="4"/>
    <s v="عكار"/>
    <n v="35311"/>
    <n v="176"/>
    <n v="0"/>
    <n v="0.13414283366206425"/>
    <n v="0"/>
    <n v="0"/>
  </r>
  <r>
    <s v="عكار"/>
    <x v="4"/>
    <s v="عكار"/>
    <n v="35314"/>
    <n v="12521"/>
    <n v="765"/>
    <n v="1.1371976639710568E-2"/>
    <n v="6.1097356441178821E-2"/>
    <n v="6.9479771019715557E-4"/>
  </r>
  <r>
    <s v="عكار"/>
    <x v="4"/>
    <s v="عكار"/>
    <n v="35316"/>
    <n v="2935"/>
    <n v="108"/>
    <n v="1.2229147429978604E-2"/>
    <n v="3.6797274275979557E-2"/>
    <n v="4.4999929214231319E-4"/>
  </r>
  <r>
    <s v="عكار"/>
    <x v="4"/>
    <s v="عكار"/>
    <n v="35317"/>
    <n v="187"/>
    <n v="0"/>
    <n v="0.1395746579417011"/>
    <n v="0"/>
    <n v="0"/>
  </r>
  <r>
    <s v="عكار"/>
    <x v="4"/>
    <s v="عكار"/>
    <n v="35320"/>
    <n v="1678"/>
    <n v="32"/>
    <n v="2.0271903167918714E-2"/>
    <n v="1.9070321811680571E-2"/>
    <n v="3.8659171714743674E-4"/>
  </r>
  <r>
    <s v="عكار"/>
    <x v="4"/>
    <s v="عكار"/>
    <n v="35321"/>
    <n v="973"/>
    <n v="50"/>
    <n v="8.6122542295382631E-3"/>
    <n v="5.1387461459403906E-2"/>
    <n v="4.4256188229898578E-4"/>
  </r>
  <r>
    <s v="عكار"/>
    <x v="4"/>
    <s v="عكار"/>
    <n v="35322"/>
    <n v="1827"/>
    <n v="54"/>
    <n v="0.12839512562611788"/>
    <n v="2.9556650246305417E-2"/>
    <n v="3.7949298214616121E-3"/>
  </r>
  <r>
    <s v="عكار"/>
    <x v="4"/>
    <s v="عكار"/>
    <n v="35324"/>
    <n v="1555"/>
    <n v="13"/>
    <n v="2.0502284920158598E-3"/>
    <n v="8.3601286173633441E-3"/>
    <n v="1.7140173888235484E-5"/>
  </r>
  <r>
    <s v="عكار"/>
    <x v="4"/>
    <s v="عكار"/>
    <n v="35325"/>
    <n v="3346"/>
    <n v="495"/>
    <n v="1.0716956112073794E-2"/>
    <n v="0.14793783622235504"/>
    <n v="1.5854432981101398E-3"/>
  </r>
  <r>
    <s v="عكار"/>
    <x v="4"/>
    <s v="عكار"/>
    <n v="35326"/>
    <n v="1475"/>
    <n v="270"/>
    <n v="0.14783736969335515"/>
    <n v="0.18305084745762712"/>
    <n v="2.7061755808275179E-2"/>
  </r>
  <r>
    <s v="عكار"/>
    <x v="4"/>
    <s v="عكار"/>
    <n v="35328"/>
    <n v="4172"/>
    <n v="350"/>
    <n v="7.5600445803809202E-2"/>
    <n v="8.3892617449664433E-2"/>
    <n v="6.3423192788430545E-3"/>
  </r>
  <r>
    <s v="عكار"/>
    <x v="4"/>
    <s v="عكار"/>
    <n v="35331"/>
    <n v="562"/>
    <n v="59"/>
    <n v="0.37021211912986796"/>
    <n v="0.10498220640569395"/>
    <n v="3.8865685104381154E-2"/>
  </r>
  <r>
    <s v="عكار"/>
    <x v="4"/>
    <s v="عكار"/>
    <n v="35334"/>
    <n v="850"/>
    <n v="0"/>
    <n v="0.11683585479133951"/>
    <n v="0"/>
    <n v="0"/>
  </r>
  <r>
    <s v="عكار"/>
    <x v="4"/>
    <s v="عكار"/>
    <n v="35337"/>
    <n v="1024"/>
    <n v="22"/>
    <n v="4.0641126426581575E-3"/>
    <n v="2.1484375E-2"/>
    <n v="8.7314920057108853E-5"/>
  </r>
  <r>
    <s v="عكار"/>
    <x v="4"/>
    <s v="عكار"/>
    <n v="35341"/>
    <n v="2227"/>
    <n v="90"/>
    <n v="8.9768590569510032E-3"/>
    <n v="4.0413111809609339E-2"/>
    <n v="3.6278280876766517E-4"/>
  </r>
  <r>
    <s v="عكار"/>
    <x v="4"/>
    <s v="عكار"/>
    <n v="35344"/>
    <n v="3326"/>
    <n v="140"/>
    <n v="1.0593922804384093E-2"/>
    <n v="4.2092603728202047E-2"/>
    <n v="4.4592579453210256E-4"/>
  </r>
  <r>
    <s v="عكار"/>
    <x v="4"/>
    <s v="عكار"/>
    <n v="35347"/>
    <n v="242"/>
    <n v="0"/>
    <n v="5.3474203882985405E-2"/>
    <n v="0"/>
    <n v="0"/>
  </r>
  <r>
    <s v="جبيل"/>
    <x v="10"/>
    <s v="جبل لبنان"/>
    <n v="26218"/>
    <n v="2003"/>
    <n v="22"/>
    <n v="0.14592486858217346"/>
    <n v="1.0983524712930605E-2"/>
    <n v="1.6027694003034529E-3"/>
  </r>
  <r>
    <s v="عكار"/>
    <x v="4"/>
    <s v="عكار"/>
    <n v="35351"/>
    <n v="6622"/>
    <n v="99"/>
    <n v="1.0214214855059245E-2"/>
    <n v="1.4950166112956811E-2"/>
    <n v="1.5270420879656679E-4"/>
  </r>
  <r>
    <s v="عكار"/>
    <x v="4"/>
    <s v="عكار"/>
    <n v="35352"/>
    <n v="2929"/>
    <n v="0"/>
    <n v="4.3749892853907069E-3"/>
    <n v="0"/>
    <n v="0"/>
  </r>
  <r>
    <s v="عكار"/>
    <x v="4"/>
    <s v="عكار"/>
    <n v="35353"/>
    <n v="12172"/>
    <n v="131"/>
    <n v="0.13229717220579917"/>
    <n v="1.0762405520867565E-2"/>
    <n v="1.4238358165428601E-3"/>
  </r>
  <r>
    <s v="عكار"/>
    <x v="4"/>
    <s v="عكار"/>
    <n v="35354"/>
    <n v="1319"/>
    <n v="158"/>
    <n v="1.222650296635952E-2"/>
    <n v="0.11978771796815769"/>
    <n v="1.4645848890711176E-3"/>
  </r>
  <r>
    <s v="عكار"/>
    <x v="4"/>
    <s v="عكار"/>
    <n v="35356"/>
    <n v="268"/>
    <n v="0"/>
    <n v="0.1620233750922272"/>
    <n v="0"/>
    <n v="0"/>
  </r>
  <r>
    <s v="عكار"/>
    <x v="4"/>
    <s v="عكار"/>
    <n v="35357"/>
    <n v="8220"/>
    <n v="558"/>
    <n v="0.22188168177855039"/>
    <n v="6.7883211678832114E-2"/>
    <n v="1.5062041171828602E-2"/>
  </r>
  <r>
    <s v="عكار"/>
    <x v="4"/>
    <s v="عكار"/>
    <n v="35364"/>
    <n v="7447"/>
    <n v="180"/>
    <n v="7.3186328592644845E-3"/>
    <n v="2.4170807036390494E-2"/>
    <n v="1.7689726261146867E-4"/>
  </r>
  <r>
    <s v="عكار"/>
    <x v="4"/>
    <s v="عكار"/>
    <n v="35367"/>
    <n v="180"/>
    <n v="0"/>
    <n v="2.4894522154724319E-2"/>
    <n v="0"/>
    <n v="0"/>
  </r>
  <r>
    <s v="عكار"/>
    <x v="4"/>
    <s v="عكار"/>
    <n v="35371"/>
    <n v="256"/>
    <n v="0"/>
    <n v="0.1824086917157085"/>
    <n v="0"/>
    <n v="0"/>
  </r>
  <r>
    <s v="عكار"/>
    <x v="4"/>
    <s v="عكار"/>
    <n v="35402"/>
    <n v="784"/>
    <n v="0"/>
    <n v="0.36955507224682815"/>
    <n v="0"/>
    <n v="0"/>
  </r>
  <r>
    <s v="عكار"/>
    <x v="4"/>
    <s v="عكار"/>
    <n v="35404"/>
    <n v="751"/>
    <n v="0"/>
    <n v="0.60990004164931277"/>
    <n v="0"/>
    <n v="0"/>
  </r>
  <r>
    <s v="عكار"/>
    <x v="4"/>
    <s v="عكار"/>
    <n v="35406"/>
    <n v="217"/>
    <n v="0"/>
    <n v="0.202552026727851"/>
    <n v="0"/>
    <n v="0"/>
  </r>
  <r>
    <s v="عكار"/>
    <x v="4"/>
    <s v="عكار"/>
    <n v="35412"/>
    <n v="306"/>
    <n v="0"/>
    <n v="0.6185668771918561"/>
    <n v="0"/>
    <n v="0"/>
  </r>
  <r>
    <s v="عاليه"/>
    <x v="2"/>
    <s v="جبل لبنان"/>
    <n v="23467"/>
    <n v="682"/>
    <n v="76"/>
    <n v="0.6185668771918561"/>
    <n v="0.11143695014662756"/>
    <n v="6.8931206255983965E-2"/>
  </r>
  <r>
    <s v="عكار"/>
    <x v="4"/>
    <s v="عكار"/>
    <n v="35414"/>
    <n v="1231"/>
    <n v="0"/>
    <n v="0.25067934560460936"/>
    <n v="0"/>
    <n v="0"/>
  </r>
  <r>
    <s v="مرجعيون"/>
    <x v="11"/>
    <s v="النبطية"/>
    <n v="35415"/>
    <n v="123"/>
    <n v="0"/>
    <n v="3.1737773152965554E-2"/>
    <n v="0"/>
    <n v="0"/>
  </r>
  <r>
    <s v="عكار"/>
    <x v="4"/>
    <s v="عكار"/>
    <n v="35417"/>
    <n v="2756"/>
    <n v="20"/>
    <n v="4.4374400786376E-2"/>
    <n v="7.2568940493468797E-3"/>
    <n v="3.2202032500998551E-4"/>
  </r>
  <r>
    <s v="عكار"/>
    <x v="4"/>
    <s v="عكار"/>
    <n v="35419"/>
    <n v="720"/>
    <n v="5"/>
    <n v="0.58295909855161421"/>
    <n v="6.9444444444444441E-3"/>
    <n v="4.0483270732750987E-3"/>
  </r>
  <r>
    <s v="عكار"/>
    <x v="4"/>
    <s v="عكار"/>
    <n v="35420"/>
    <n v="941"/>
    <n v="0"/>
    <n v="0.37877156735396433"/>
    <n v="0"/>
    <n v="0"/>
  </r>
  <r>
    <s v="عكار"/>
    <x v="4"/>
    <s v="عكار"/>
    <n v="35423"/>
    <n v="50"/>
    <n v="0"/>
    <n v="0"/>
    <n v="0"/>
    <n v="0"/>
  </r>
  <r>
    <s v="عكار"/>
    <x v="4"/>
    <s v="عكار"/>
    <n v="35427"/>
    <n v="1854"/>
    <n v="38"/>
    <n v="0.17939484455079935"/>
    <n v="2.0496224379719527E-2"/>
    <n v="3.6769169864780881E-3"/>
  </r>
  <r>
    <s v="عكار"/>
    <x v="4"/>
    <s v="عكار"/>
    <n v="35429"/>
    <n v="3858"/>
    <n v="135"/>
    <n v="1.2567994831375162E-2"/>
    <n v="3.4992223950233284E-2"/>
    <n v="4.3978208974485407E-4"/>
  </r>
  <r>
    <s v="عكار"/>
    <x v="4"/>
    <s v="عكار"/>
    <n v="35431"/>
    <n v="986"/>
    <n v="0"/>
    <n v="1.1504674940929771E-2"/>
    <n v="0"/>
    <n v="0"/>
  </r>
  <r>
    <s v="عكار"/>
    <x v="4"/>
    <s v="عكار"/>
    <n v="35432"/>
    <n v="805"/>
    <n v="36"/>
    <n v="0.58710840372673423"/>
    <n v="4.472049689440994E-2"/>
    <n v="2.6255779545543395E-2"/>
  </r>
  <r>
    <s v="عكار"/>
    <x v="4"/>
    <s v="عكار"/>
    <n v="35433"/>
    <n v="523"/>
    <n v="0"/>
    <n v="0.14076947603358481"/>
    <n v="0"/>
    <n v="0"/>
  </r>
  <r>
    <s v="عكار"/>
    <x v="4"/>
    <s v="عكار"/>
    <n v="35435"/>
    <n v="588"/>
    <n v="27"/>
    <n v="3.018571534800718E-2"/>
    <n v="4.5918367346938778E-2"/>
    <n v="1.3860787659799216E-3"/>
  </r>
  <r>
    <s v="عكار"/>
    <x v="4"/>
    <s v="عكار"/>
    <n v="35437"/>
    <n v="13368"/>
    <n v="50"/>
    <n v="2.6986290092970711E-2"/>
    <n v="3.7402752842609216E-3"/>
    <n v="1.0093615384863371E-4"/>
  </r>
  <r>
    <s v="عكار"/>
    <x v="4"/>
    <s v="عكار"/>
    <n v="35439"/>
    <n v="2583"/>
    <n v="20"/>
    <n v="8.6042578324250218E-3"/>
    <n v="7.7429345722028649E-3"/>
    <n v="6.6622205438830986E-5"/>
  </r>
  <r>
    <s v="عكار"/>
    <x v="4"/>
    <s v="عكار"/>
    <n v="35441"/>
    <n v="852"/>
    <n v="0"/>
    <n v="0.1394808004326662"/>
    <n v="0"/>
    <n v="0"/>
  </r>
  <r>
    <s v="عكار"/>
    <x v="4"/>
    <s v="عكار"/>
    <n v="35443"/>
    <n v="548"/>
    <n v="9"/>
    <n v="1.1998294382348673E-2"/>
    <n v="1.6423357664233577E-2"/>
    <n v="1.9705228000207675E-4"/>
  </r>
  <r>
    <s v="عكار"/>
    <x v="4"/>
    <s v="عكار"/>
    <n v="35447"/>
    <n v="511"/>
    <n v="9"/>
    <n v="0.11368217799212432"/>
    <n v="1.7612524461839529E-2"/>
    <n v="2.0022301407614852E-3"/>
  </r>
  <r>
    <s v="عكار"/>
    <x v="4"/>
    <s v="عكار"/>
    <n v="35449"/>
    <n v="1565"/>
    <n v="67"/>
    <n v="0.22686795224977052"/>
    <n v="4.2811501597444089E-2"/>
    <n v="9.7125577001499208E-3"/>
  </r>
  <r>
    <s v="عكار"/>
    <x v="4"/>
    <s v="عكار"/>
    <n v="35453"/>
    <n v="279"/>
    <n v="0"/>
    <n v="0.27948927483721908"/>
    <n v="0"/>
    <n v="0"/>
  </r>
  <r>
    <s v="عكار"/>
    <x v="4"/>
    <s v="عكار"/>
    <n v="35455"/>
    <n v="442"/>
    <n v="7"/>
    <n v="2.0027572689749085E-2"/>
    <n v="1.5837104072398189E-2"/>
    <n v="3.1717875300507598E-4"/>
  </r>
  <r>
    <s v="عكار"/>
    <x v="4"/>
    <s v="عكار"/>
    <n v="35457"/>
    <n v="519"/>
    <n v="0"/>
    <n v="0.41588522445631204"/>
    <n v="0"/>
    <n v="0"/>
  </r>
  <r>
    <s v="عكار"/>
    <x v="4"/>
    <s v="عكار"/>
    <n v="35459"/>
    <n v="3059"/>
    <n v="83"/>
    <n v="0.66040744302511245"/>
    <n v="2.7133050016345212E-2"/>
    <n v="1.7918868182767028E-2"/>
  </r>
  <r>
    <s v="عكار"/>
    <x v="4"/>
    <s v="عكار"/>
    <n v="35463"/>
    <n v="974"/>
    <n v="0"/>
    <n v="0.59957749742560229"/>
    <n v="0"/>
    <n v="0"/>
  </r>
  <r>
    <s v="صور"/>
    <x v="12"/>
    <s v="الجنوب"/>
    <n v="62267"/>
    <n v="861"/>
    <n v="0"/>
    <n v="2.1633836120592664E-2"/>
    <n v="0"/>
    <n v="0"/>
  </r>
  <r>
    <s v="بعلبك"/>
    <x v="3"/>
    <s v="بعلبك والهرمل"/>
    <n v="53322"/>
    <n v="1077"/>
    <n v="200"/>
    <n v="5.7971269566931105E-2"/>
    <n v="0.18570102135561745"/>
    <n v="1.0765323967860929E-2"/>
  </r>
  <r>
    <s v="عكار"/>
    <x v="4"/>
    <s v="عكار"/>
    <n v="35467"/>
    <n v="4234"/>
    <n v="0"/>
    <n v="0.28185969948048728"/>
    <n v="0"/>
    <n v="0"/>
  </r>
  <r>
    <s v="عكار"/>
    <x v="4"/>
    <s v="عكار"/>
    <n v="35469"/>
    <n v="318"/>
    <n v="0"/>
    <n v="1.1342115729580104E-2"/>
    <n v="0"/>
    <n v="0"/>
  </r>
  <r>
    <s v="زغرتا"/>
    <x v="14"/>
    <s v="الشمال"/>
    <n v="35470"/>
    <n v="15"/>
    <n v="0"/>
    <n v="0.13566344751270054"/>
    <n v="0"/>
    <n v="0"/>
  </r>
  <r>
    <s v="عكار"/>
    <x v="4"/>
    <s v="عكار"/>
    <n v="35471"/>
    <n v="84"/>
    <n v="0"/>
    <n v="0.3231294840181822"/>
    <n v="0"/>
    <n v="0"/>
  </r>
  <r>
    <s v="عكار"/>
    <x v="4"/>
    <s v="عكار"/>
    <n v="35475"/>
    <n v="963"/>
    <n v="23"/>
    <n v="0.44789688872322331"/>
    <n v="2.3883696780893044E-2"/>
    <n v="1.0697433479370858E-2"/>
  </r>
  <r>
    <s v="عكار"/>
    <x v="4"/>
    <s v="عكار"/>
    <n v="35486"/>
    <n v="3312"/>
    <n v="0"/>
    <n v="0.30151456504638585"/>
    <n v="0"/>
    <n v="0"/>
  </r>
  <r>
    <s v="عكار"/>
    <x v="4"/>
    <s v="عكار"/>
    <n v="35487"/>
    <n v="8480"/>
    <n v="5"/>
    <n v="0.17380208513982698"/>
    <n v="5.8962264150943394E-4"/>
    <n v="1.0247764453999232E-4"/>
  </r>
  <r>
    <s v="عكار"/>
    <x v="4"/>
    <s v="عكار"/>
    <n v="35498"/>
    <n v="4412"/>
    <n v="48"/>
    <n v="0.17062717765378066"/>
    <n v="1.0879419764279238E-2"/>
    <n v="1.8563246888897262E-3"/>
  </r>
  <r>
    <s v="عكار"/>
    <x v="4"/>
    <s v="عكار"/>
    <n v="35512"/>
    <n v="20409"/>
    <n v="29"/>
    <n v="5.684400616833063E-2"/>
    <n v="1.4209417413886031E-3"/>
    <n v="8.0772021112332225E-5"/>
  </r>
  <r>
    <s v="عكار"/>
    <x v="4"/>
    <s v="عكار"/>
    <n v="35514"/>
    <n v="2201"/>
    <n v="0"/>
    <n v="0.1109519341330869"/>
    <n v="0"/>
    <n v="0"/>
  </r>
  <r>
    <s v="عكار"/>
    <x v="4"/>
    <s v="عكار"/>
    <n v="35516"/>
    <n v="12696"/>
    <n v="166"/>
    <n v="4.9024816487635903E-2"/>
    <n v="1.3074984247006932E-2"/>
    <n v="6.4099870328824518E-4"/>
  </r>
  <r>
    <s v="عكار"/>
    <x v="4"/>
    <s v="عكار"/>
    <n v="36134"/>
    <n v="228"/>
    <n v="0"/>
    <n v="0"/>
    <n v="0"/>
    <n v="0"/>
  </r>
  <r>
    <s v="طرابلس"/>
    <x v="13"/>
    <s v="الشمال"/>
    <n v="37231"/>
    <n v="63116"/>
    <n v="4343"/>
    <n v="2.1340271306925285E-2"/>
    <n v="6.8809810507636737E-2"/>
    <n v="1.4684200248110861E-3"/>
  </r>
  <r>
    <s v="بعبدا"/>
    <x v="1"/>
    <s v="جبل لبنان"/>
    <n v="37321"/>
    <n v="254"/>
    <n v="0"/>
    <n v="0.60045064658607084"/>
    <n v="0"/>
    <n v="0"/>
  </r>
  <r>
    <s v="بعلبك"/>
    <x v="3"/>
    <s v="بعلبك والهرمل"/>
    <n v="37337"/>
    <n v="2190"/>
    <n v="126"/>
    <n v="0.11721076585941448"/>
    <n v="5.7534246575342465E-2"/>
    <n v="6.7436331042402854E-3"/>
  </r>
  <r>
    <s v="زحلة"/>
    <x v="9"/>
    <s v="البقاع"/>
    <n v="51113"/>
    <n v="1341"/>
    <n v="0"/>
    <n v="0.82228237063821852"/>
    <n v="0"/>
    <n v="0"/>
  </r>
  <r>
    <s v="زحلة"/>
    <x v="9"/>
    <s v="البقاع"/>
    <n v="51117"/>
    <n v="4131"/>
    <n v="251"/>
    <n v="0.63857414410961466"/>
    <n v="6.0760106511740498E-2"/>
    <n v="3.8799833011743716E-2"/>
  </r>
  <r>
    <s v="زحلة"/>
    <x v="9"/>
    <s v="البقاع"/>
    <n v="51119"/>
    <n v="1597"/>
    <n v="225"/>
    <n v="0.73172523249410548"/>
    <n v="0.14088916718847841"/>
    <n v="0.10309215861689026"/>
  </r>
  <r>
    <s v="زحلة"/>
    <x v="9"/>
    <s v="البقاع"/>
    <n v="51121"/>
    <n v="16591"/>
    <n v="900"/>
    <n v="0.79648561883556135"/>
    <n v="5.424627810258574E-2"/>
    <n v="4.3206380384063964E-2"/>
  </r>
  <r>
    <s v="زحلة"/>
    <x v="9"/>
    <s v="البقاع"/>
    <n v="51123"/>
    <n v="49"/>
    <n v="0"/>
    <n v="0.6848625587889634"/>
    <n v="0"/>
    <n v="0"/>
  </r>
  <r>
    <s v="زحلة"/>
    <x v="9"/>
    <s v="البقاع"/>
    <n v="51127"/>
    <n v="4165"/>
    <n v="0"/>
    <n v="0.79078708838158596"/>
    <n v="0"/>
    <n v="0"/>
  </r>
  <r>
    <s v="زحلة"/>
    <x v="9"/>
    <s v="البقاع"/>
    <n v="51129"/>
    <n v="48"/>
    <n v="0"/>
    <n v="0.65351303161269381"/>
    <n v="0"/>
    <n v="0"/>
  </r>
  <r>
    <s v="زحلة"/>
    <x v="9"/>
    <s v="البقاع"/>
    <n v="51135"/>
    <n v="4174"/>
    <n v="0"/>
    <n v="0.75064204023472292"/>
    <n v="0"/>
    <n v="0"/>
  </r>
  <r>
    <s v="زحلة"/>
    <x v="9"/>
    <s v="البقاع"/>
    <n v="51139"/>
    <n v="6431"/>
    <n v="0"/>
    <n v="0.37551937122906054"/>
    <n v="0"/>
    <n v="0"/>
  </r>
  <r>
    <s v="زحلة"/>
    <x v="9"/>
    <s v="البقاع"/>
    <n v="51145"/>
    <n v="198"/>
    <n v="0"/>
    <n v="0.55212302294345006"/>
    <n v="0"/>
    <n v="0"/>
  </r>
  <r>
    <s v="زحلة"/>
    <x v="9"/>
    <s v="البقاع"/>
    <n v="51151"/>
    <n v="717"/>
    <n v="2"/>
    <n v="7.1425896157090274E-2"/>
    <n v="2.7894002789400278E-3"/>
    <n v="1.9923541466412907E-4"/>
  </r>
  <r>
    <s v="زحلة"/>
    <x v="9"/>
    <s v="البقاع"/>
    <n v="51157"/>
    <n v="1969"/>
    <n v="603"/>
    <n v="4.7774700050152497E-2"/>
    <n v="0.30624682579989843"/>
    <n v="1.463085024390145E-2"/>
  </r>
  <r>
    <s v="زحلة"/>
    <x v="9"/>
    <s v="البقاع"/>
    <n v="51163"/>
    <n v="5421"/>
    <n v="22"/>
    <n v="0.66298246608060463"/>
    <n v="4.0582918280760005E-3"/>
    <n v="2.6905763242525919E-3"/>
  </r>
  <r>
    <s v="زحلة"/>
    <x v="9"/>
    <s v="البقاع"/>
    <n v="51173"/>
    <n v="1552"/>
    <n v="13"/>
    <n v="0.5823245036287672"/>
    <n v="8.3762886597938142E-3"/>
    <n v="4.8777181360657043E-3"/>
  </r>
  <r>
    <s v="زحلة"/>
    <x v="9"/>
    <s v="البقاع"/>
    <n v="51189"/>
    <n v="1172"/>
    <n v="0"/>
    <n v="0.44381164564124331"/>
    <n v="0"/>
    <n v="0"/>
  </r>
  <r>
    <s v="زحلة"/>
    <x v="9"/>
    <s v="البقاع"/>
    <n v="51211"/>
    <n v="3599"/>
    <n v="225"/>
    <n v="0.76220021650525638"/>
    <n v="6.2517365934981944E-2"/>
    <n v="4.7650749850981576E-2"/>
  </r>
  <r>
    <s v="زحلة"/>
    <x v="9"/>
    <s v="البقاع"/>
    <n v="51217"/>
    <n v="3367"/>
    <n v="360"/>
    <n v="0.57499579979265314"/>
    <n v="0.10692010692010692"/>
    <n v="6.1478612392442865E-2"/>
  </r>
  <r>
    <s v="زحلة"/>
    <x v="9"/>
    <s v="البقاع"/>
    <n v="51221"/>
    <n v="17577"/>
    <n v="1350"/>
    <n v="0.60124673410683871"/>
    <n v="7.6804915514592939E-2"/>
    <n v="4.6178704616500671E-2"/>
  </r>
  <r>
    <s v="زحلة"/>
    <x v="9"/>
    <s v="البقاع"/>
    <n v="51224"/>
    <n v="6891"/>
    <n v="1350"/>
    <n v="0.73878734906384669"/>
    <n v="0.19590770570309099"/>
    <n v="0.14473413455756684"/>
  </r>
  <r>
    <s v="زحلة"/>
    <x v="9"/>
    <s v="البقاع"/>
    <n v="51227"/>
    <n v="4303"/>
    <n v="225"/>
    <n v="0.52335735850855281"/>
    <n v="5.2289100627469207E-2"/>
    <n v="2.7365885583180195E-2"/>
  </r>
  <r>
    <s v="زحلة"/>
    <x v="9"/>
    <s v="البقاع"/>
    <n v="51231"/>
    <n v="17998"/>
    <n v="360"/>
    <n v="6.3416258831766492E-2"/>
    <n v="2.000222246916324E-2"/>
    <n v="1.2684661173150314E-3"/>
  </r>
  <r>
    <s v="زحلة"/>
    <x v="9"/>
    <s v="البقاع"/>
    <n v="51234"/>
    <n v="26381"/>
    <n v="1440"/>
    <n v="0.52486773557158739"/>
    <n v="5.458473901671658E-2"/>
    <n v="2.8649768364470106E-2"/>
  </r>
  <r>
    <s v="زحلة"/>
    <x v="9"/>
    <s v="البقاع"/>
    <n v="51241"/>
    <n v="1294"/>
    <n v="402"/>
    <n v="0.6256405693820416"/>
    <n v="0.31066460587326122"/>
    <n v="0.19436438090539471"/>
  </r>
  <r>
    <s v="عاليه"/>
    <x v="2"/>
    <s v="جبل لبنان"/>
    <n v="24481"/>
    <n v="99"/>
    <n v="0"/>
    <n v="0.6256405693820416"/>
    <n v="0"/>
    <n v="0"/>
  </r>
  <r>
    <s v="زحلة"/>
    <x v="9"/>
    <s v="البقاع"/>
    <n v="51244"/>
    <n v="1279"/>
    <n v="270"/>
    <n v="8.9423351862558675E-2"/>
    <n v="0.21110242376856919"/>
    <n v="1.8877486319695734E-2"/>
  </r>
  <r>
    <s v="زحلة"/>
    <x v="9"/>
    <s v="البقاع"/>
    <n v="51257"/>
    <n v="830"/>
    <n v="0"/>
    <n v="0.6854903775085901"/>
    <n v="0"/>
    <n v="0"/>
  </r>
  <r>
    <s v="زحلة"/>
    <x v="9"/>
    <s v="البقاع"/>
    <n v="51267"/>
    <n v="37304"/>
    <n v="1125"/>
    <n v="0.17428214136027032"/>
    <n v="3.01576238473086E-2"/>
    <n v="5.2559352624464966E-3"/>
  </r>
  <r>
    <s v="زحلة"/>
    <x v="9"/>
    <s v="البقاع"/>
    <n v="51284"/>
    <n v="17146"/>
    <n v="2250"/>
    <n v="1.6915431866956321E-2"/>
    <n v="0.13122594191064971"/>
    <n v="2.2197434795667632E-3"/>
  </r>
  <r>
    <s v="زحلة"/>
    <x v="9"/>
    <s v="البقاع"/>
    <n v="51287"/>
    <n v="157"/>
    <n v="0"/>
    <n v="0.29815609701356449"/>
    <n v="0"/>
    <n v="0"/>
  </r>
  <r>
    <s v="زحلة"/>
    <x v="9"/>
    <s v="البقاع"/>
    <n v="51311"/>
    <n v="8437"/>
    <n v="1350"/>
    <n v="0.75378600333050083"/>
    <n v="0.16000948204338034"/>
    <n v="0.12061290796446321"/>
  </r>
  <r>
    <s v="زحلة"/>
    <x v="9"/>
    <s v="البقاع"/>
    <n v="51317"/>
    <n v="4666"/>
    <n v="400"/>
    <n v="0.76614392626403172"/>
    <n v="8.5726532361765972E-2"/>
    <n v="6.5678862088643958E-2"/>
  </r>
  <r>
    <s v="زحلة"/>
    <x v="9"/>
    <s v="البقاع"/>
    <n v="51323"/>
    <n v="8616"/>
    <n v="0"/>
    <n v="4.5646717426622962E-2"/>
    <n v="0"/>
    <n v="0"/>
  </r>
  <r>
    <s v="زحلة"/>
    <x v="9"/>
    <s v="البقاع"/>
    <n v="51329"/>
    <n v="713"/>
    <n v="0"/>
    <n v="0.30412498717167025"/>
    <n v="0"/>
    <n v="0"/>
  </r>
  <r>
    <s v="زحلة"/>
    <x v="9"/>
    <s v="البقاع"/>
    <n v="51347"/>
    <n v="571"/>
    <n v="0"/>
    <n v="0.54023949608614297"/>
    <n v="0"/>
    <n v="0"/>
  </r>
  <r>
    <s v="زحلة"/>
    <x v="9"/>
    <s v="البقاع"/>
    <n v="51353"/>
    <n v="658"/>
    <n v="0"/>
    <n v="0.36003539550630959"/>
    <n v="0"/>
    <n v="0"/>
  </r>
  <r>
    <s v="زحلة"/>
    <x v="9"/>
    <s v="البقاع"/>
    <n v="51359"/>
    <n v="3897"/>
    <n v="90"/>
    <n v="0.2554307102325335"/>
    <n v="2.3094688221709007E-2"/>
    <n v="5.8990926150700581E-3"/>
  </r>
  <r>
    <s v="زحلة"/>
    <x v="9"/>
    <s v="البقاع"/>
    <n v="51365"/>
    <n v="5817"/>
    <n v="0"/>
    <n v="0.59154203313274145"/>
    <n v="0"/>
    <n v="0"/>
  </r>
  <r>
    <s v="زحلة"/>
    <x v="9"/>
    <s v="البقاع"/>
    <n v="51371"/>
    <n v="1122"/>
    <n v="0"/>
    <n v="4.3525552335952566E-2"/>
    <n v="0"/>
    <n v="0"/>
  </r>
  <r>
    <s v="زحلة"/>
    <x v="9"/>
    <s v="البقاع"/>
    <n v="51377"/>
    <n v="1432"/>
    <n v="536"/>
    <n v="0.60994438260126915"/>
    <n v="0.37430167597765363"/>
    <n v="0.22830320466081025"/>
  </r>
  <r>
    <s v="زحلة"/>
    <x v="9"/>
    <s v="البقاع"/>
    <n v="51383"/>
    <n v="9825"/>
    <n v="0"/>
    <n v="8.9355286110554877E-2"/>
    <n v="0"/>
    <n v="0"/>
  </r>
  <r>
    <s v="زحلة"/>
    <x v="9"/>
    <s v="البقاع"/>
    <n v="51389"/>
    <n v="8388"/>
    <n v="1066"/>
    <n v="0.59051756127907573"/>
    <n v="0.12708631378159274"/>
    <n v="7.504670008625354E-2"/>
  </r>
  <r>
    <s v="البقاع الغربي"/>
    <x v="17"/>
    <s v="البقاع"/>
    <n v="52111"/>
    <n v="8173"/>
    <n v="0"/>
    <n v="0.55389596655423645"/>
    <n v="0"/>
    <n v="0"/>
  </r>
  <r>
    <s v="البقاع الغربي"/>
    <x v="17"/>
    <s v="البقاع"/>
    <n v="52116"/>
    <n v="1492"/>
    <n v="0"/>
    <n v="2.0469262898746066E-2"/>
    <n v="0"/>
    <n v="0"/>
  </r>
  <r>
    <s v="البقاع الغربي"/>
    <x v="17"/>
    <s v="البقاع"/>
    <n v="52121"/>
    <n v="739"/>
    <n v="45"/>
    <n v="0.59210116053537787"/>
    <n v="6.0893098782138028E-2"/>
    <n v="3.6054874457499331E-2"/>
  </r>
  <r>
    <s v="البقاع الغربي"/>
    <x v="17"/>
    <s v="البقاع"/>
    <n v="52126"/>
    <n v="475"/>
    <n v="0"/>
    <n v="0.58057136320741232"/>
    <n v="0"/>
    <n v="0"/>
  </r>
  <r>
    <s v="البقاع الغربي"/>
    <x v="17"/>
    <s v="البقاع"/>
    <n v="52136"/>
    <n v="2186"/>
    <n v="180"/>
    <n v="0.56078080876819414"/>
    <n v="8.2342177493138158E-2"/>
    <n v="4.6175912890336207E-2"/>
  </r>
  <r>
    <s v="البقاع الغربي"/>
    <x v="17"/>
    <s v="البقاع"/>
    <n v="52141"/>
    <n v="253"/>
    <n v="0"/>
    <n v="0"/>
    <n v="0"/>
    <n v="0"/>
  </r>
  <r>
    <s v="البقاع الغربي"/>
    <x v="17"/>
    <s v="البقاع"/>
    <n v="52146"/>
    <n v="1101"/>
    <n v="90"/>
    <n v="0.39423233595377905"/>
    <n v="8.1743869209809264E-2"/>
    <n v="3.2226076508483303E-2"/>
  </r>
  <r>
    <s v="البقاع الغربي"/>
    <x v="17"/>
    <s v="البقاع"/>
    <n v="52151"/>
    <n v="4206"/>
    <n v="135"/>
    <n v="0.67030805502520963"/>
    <n v="3.209700427960057E-2"/>
    <n v="2.1514880510794889E-2"/>
  </r>
  <r>
    <s v="البقاع الغربي"/>
    <x v="17"/>
    <s v="البقاع"/>
    <n v="52161"/>
    <n v="1120"/>
    <n v="0"/>
    <n v="0.458081767678716"/>
    <n v="0"/>
    <n v="0"/>
  </r>
  <r>
    <s v="البقاع الغربي"/>
    <x v="17"/>
    <s v="البقاع"/>
    <n v="52171"/>
    <n v="3595"/>
    <n v="50"/>
    <n v="0.64985875769345958"/>
    <n v="1.3908205841446454E-2"/>
    <n v="9.0383693698673096E-3"/>
  </r>
  <r>
    <s v="البقاع الغربي"/>
    <x v="17"/>
    <s v="البقاع"/>
    <n v="52176"/>
    <n v="737"/>
    <n v="135"/>
    <n v="0.70123681469331078"/>
    <n v="0.18317503392130258"/>
    <n v="0.12844907731831337"/>
  </r>
  <r>
    <s v="البقاع الغربي"/>
    <x v="17"/>
    <s v="البقاع"/>
    <n v="52181"/>
    <n v="0"/>
    <n v="0"/>
    <n v="0.58448979591836736"/>
    <n v="0"/>
    <n v="0"/>
  </r>
  <r>
    <s v="البقاع الغربي"/>
    <x v="17"/>
    <s v="البقاع"/>
    <n v="52211"/>
    <n v="12372"/>
    <n v="135"/>
    <n v="0.37141527763347149"/>
    <n v="1.0911736178467508E-2"/>
    <n v="4.0527855221887043E-3"/>
  </r>
  <r>
    <s v="البقاع الغربي"/>
    <x v="17"/>
    <s v="البقاع"/>
    <n v="52214"/>
    <n v="3164"/>
    <n v="23"/>
    <n v="1.8445044397151777E-2"/>
    <n v="7.2692793931731989E-3"/>
    <n v="1.340821811423802E-4"/>
  </r>
  <r>
    <s v="البقاع الغربي"/>
    <x v="17"/>
    <s v="البقاع"/>
    <n v="52217"/>
    <n v="7509"/>
    <n v="540"/>
    <n v="2.4454824049900847E-2"/>
    <n v="7.1913703555733122E-2"/>
    <n v="1.7586369672321824E-3"/>
  </r>
  <r>
    <s v="البقاع الغربي"/>
    <x v="17"/>
    <s v="البقاع"/>
    <n v="52224"/>
    <n v="1858"/>
    <n v="90"/>
    <n v="5.3132222714520005E-2"/>
    <n v="4.843918191603875E-2"/>
    <n v="2.5736814016721209E-3"/>
  </r>
  <r>
    <s v="البقاع الغربي"/>
    <x v="17"/>
    <s v="البقاع"/>
    <n v="52227"/>
    <n v="15651"/>
    <n v="405"/>
    <n v="2.3065548657362989E-2"/>
    <n v="2.5876940770557792E-2"/>
    <n v="5.9686583644700088E-4"/>
  </r>
  <r>
    <s v="البقاع الغربي"/>
    <x v="17"/>
    <s v="البقاع"/>
    <n v="52231"/>
    <n v="2289"/>
    <n v="0"/>
    <n v="1.369887966917771E-2"/>
    <n v="0"/>
    <n v="0"/>
  </r>
  <r>
    <s v="البقاع الغربي"/>
    <x v="17"/>
    <s v="البقاع"/>
    <n v="52234"/>
    <n v="2409"/>
    <n v="134"/>
    <n v="5.3925925925926044E-2"/>
    <n v="5.5624740556247408E-2"/>
    <n v="2.9996156388850518E-3"/>
  </r>
  <r>
    <s v="البقاع الغربي"/>
    <x v="17"/>
    <s v="البقاع"/>
    <n v="52237"/>
    <n v="7079"/>
    <n v="225"/>
    <n v="0.25756543134985954"/>
    <n v="3.1784150303715217E-2"/>
    <n v="8.1864983830651789E-3"/>
  </r>
  <r>
    <s v="البقاع الغربي"/>
    <x v="17"/>
    <s v="البقاع"/>
    <n v="52251"/>
    <n v="857"/>
    <n v="27"/>
    <n v="0.67152110726643599"/>
    <n v="3.1505250875145857E-2"/>
    <n v="2.1156440952384798E-2"/>
  </r>
  <r>
    <s v="البقاع الغربي"/>
    <x v="17"/>
    <s v="البقاع"/>
    <n v="52254"/>
    <n v="5126"/>
    <n v="175"/>
    <n v="3.247552798594433E-2"/>
    <n v="3.413968006242684E-2"/>
    <n v="1.1087041352985285E-3"/>
  </r>
  <r>
    <s v="زحلة"/>
    <x v="9"/>
    <s v="البقاع"/>
    <n v="52261"/>
    <n v="0"/>
    <n v="0"/>
    <n v="0.2363789409243956"/>
    <n v="0"/>
    <n v="0"/>
  </r>
  <r>
    <s v="البقاع الغربي"/>
    <x v="17"/>
    <s v="البقاع"/>
    <n v="52264"/>
    <n v="5104"/>
    <n v="0"/>
    <n v="0.20367027006804217"/>
    <n v="0"/>
    <n v="0"/>
  </r>
  <r>
    <s v="البقاع الغربي"/>
    <x v="17"/>
    <s v="البقاع"/>
    <n v="52267"/>
    <n v="5097"/>
    <n v="0"/>
    <n v="4.7811529130210251E-2"/>
    <n v="0"/>
    <n v="0"/>
  </r>
  <r>
    <s v="البقاع الغربي"/>
    <x v="17"/>
    <s v="البقاع"/>
    <n v="52274"/>
    <n v="2377"/>
    <n v="0"/>
    <n v="5.6046793269602602E-2"/>
    <n v="0"/>
    <n v="0"/>
  </r>
  <r>
    <s v="البقاع الغربي"/>
    <x v="17"/>
    <s v="البقاع"/>
    <n v="52277"/>
    <n v="18478"/>
    <n v="225"/>
    <n v="6.0788770820181304E-2"/>
    <n v="1.2176642493776382E-2"/>
    <n v="7.4020312991345341E-4"/>
  </r>
  <r>
    <s v="البقاع الغربي"/>
    <x v="17"/>
    <s v="البقاع"/>
    <n v="52284"/>
    <n v="192"/>
    <n v="0"/>
    <n v="4.1455251117164194E-2"/>
    <n v="0"/>
    <n v="0"/>
  </r>
  <r>
    <s v="البقاع الغربي"/>
    <x v="17"/>
    <s v="البقاع"/>
    <n v="52287"/>
    <n v="51"/>
    <n v="0"/>
    <n v="1.7134363852556511E-2"/>
    <n v="0"/>
    <n v="0"/>
  </r>
  <r>
    <s v="البقاع الغربي"/>
    <x v="17"/>
    <s v="البقاع"/>
    <n v="52295"/>
    <n v="1317"/>
    <n v="18"/>
    <n v="2.8601606321588924E-2"/>
    <n v="1.366742596810934E-2"/>
    <n v="3.9091033696932469E-4"/>
  </r>
  <r>
    <s v="بعلبك"/>
    <x v="3"/>
    <s v="بعلبك والهرمل"/>
    <n v="53111"/>
    <n v="65558"/>
    <n v="0"/>
    <n v="0.40066264690851472"/>
    <n v="0"/>
    <n v="0"/>
  </r>
  <r>
    <s v="بعلبك"/>
    <x v="3"/>
    <s v="بعلبك والهرمل"/>
    <n v="53119"/>
    <n v="11441"/>
    <n v="450"/>
    <n v="0.70359245731698628"/>
    <n v="3.9332226204003146E-2"/>
    <n v="2.7673857686622134E-2"/>
  </r>
  <r>
    <s v="بعلبك"/>
    <x v="3"/>
    <s v="بعلبك والهرمل"/>
    <n v="53123"/>
    <n v="6292"/>
    <n v="765"/>
    <n v="0.30514261809543741"/>
    <n v="0.1215829624920534"/>
    <n v="3.7100143490624543E-2"/>
  </r>
  <r>
    <s v="بعلبك"/>
    <x v="3"/>
    <s v="بعلبك والهرمل"/>
    <n v="53135"/>
    <n v="1271"/>
    <n v="90"/>
    <n v="0.43448553495373599"/>
    <n v="7.0810385523210076E-2"/>
    <n v="3.076608823433221E-2"/>
  </r>
  <r>
    <s v="بعلبك"/>
    <x v="3"/>
    <s v="بعلبك والهرمل"/>
    <n v="53139"/>
    <n v="1473"/>
    <n v="0"/>
    <n v="0.17426282198913146"/>
    <n v="0"/>
    <n v="0"/>
  </r>
  <r>
    <s v="مرجعيون"/>
    <x v="11"/>
    <s v="النبطية"/>
    <n v="73232"/>
    <n v="2149"/>
    <n v="0"/>
    <n v="0.17426282198913146"/>
    <n v="0"/>
    <n v="0"/>
  </r>
  <r>
    <s v="بعلبك"/>
    <x v="3"/>
    <s v="بعلبك والهرمل"/>
    <n v="53143"/>
    <n v="2951"/>
    <n v="315"/>
    <n v="3.2457937830033035E-2"/>
    <n v="0.10674347678752966"/>
    <n v="3.4646731333312121E-3"/>
  </r>
  <r>
    <s v="بعلبك"/>
    <x v="3"/>
    <s v="بعلبك والهرمل"/>
    <n v="53147"/>
    <n v="2453"/>
    <n v="0"/>
    <n v="0.69232118156387745"/>
    <n v="0"/>
    <n v="0"/>
  </r>
  <r>
    <s v="بعلبك"/>
    <x v="3"/>
    <s v="بعلبك والهرمل"/>
    <n v="53151"/>
    <n v="812"/>
    <n v="0"/>
    <n v="0.69294154442934164"/>
    <n v="0"/>
    <n v="0"/>
  </r>
  <r>
    <s v="بعلبك"/>
    <x v="3"/>
    <s v="بعلبك والهرمل"/>
    <n v="53155"/>
    <n v="2348"/>
    <n v="0"/>
    <n v="5.0606380965409148E-2"/>
    <n v="0"/>
    <n v="0"/>
  </r>
  <r>
    <s v="بعلبك"/>
    <x v="3"/>
    <s v="بعلبك والهرمل"/>
    <n v="53167"/>
    <n v="2816"/>
    <n v="113"/>
    <n v="9.1367221540683774E-2"/>
    <n v="4.0127840909090912E-2"/>
    <n v="3.6663693302902227E-3"/>
  </r>
  <r>
    <s v="بعلبك"/>
    <x v="3"/>
    <s v="بعلبك والهرمل"/>
    <n v="53171"/>
    <n v="163"/>
    <n v="0"/>
    <n v="4.3236168947055398E-2"/>
    <n v="0"/>
    <n v="0"/>
  </r>
  <r>
    <s v="بعلبك"/>
    <x v="3"/>
    <s v="بعلبك والهرمل"/>
    <n v="53179"/>
    <n v="1571"/>
    <n v="0"/>
    <n v="5.0203210713759105E-2"/>
    <n v="0"/>
    <n v="0"/>
  </r>
  <r>
    <s v="بعلبك"/>
    <x v="3"/>
    <s v="بعلبك والهرمل"/>
    <n v="53211"/>
    <n v="4710"/>
    <n v="0"/>
    <n v="0.33947043382680153"/>
    <n v="0"/>
    <n v="0"/>
  </r>
  <r>
    <s v="بعلبك"/>
    <x v="3"/>
    <s v="بعلبك والهرمل"/>
    <n v="53214"/>
    <n v="8887"/>
    <n v="901"/>
    <n v="0.44755527819204988"/>
    <n v="0.10138404410937324"/>
    <n v="4.5374964065605594E-2"/>
  </r>
  <r>
    <s v="بعلبك"/>
    <x v="3"/>
    <s v="بعلبك والهرمل"/>
    <n v="53217"/>
    <n v="8137"/>
    <n v="0"/>
    <n v="0.6660246401588541"/>
    <n v="0"/>
    <n v="0"/>
  </r>
  <r>
    <s v="بعلبك"/>
    <x v="3"/>
    <s v="بعلبك والهرمل"/>
    <n v="53224"/>
    <n v="2715"/>
    <n v="113"/>
    <n v="0.11094678040278683"/>
    <n v="4.1620626151012891E-2"/>
    <n v="4.617674469802914E-3"/>
  </r>
  <r>
    <s v="بعلبك"/>
    <x v="3"/>
    <s v="بعلبك والهرمل"/>
    <n v="53231"/>
    <n v="47604"/>
    <n v="450"/>
    <n v="2.1616790533473873E-2"/>
    <n v="9.4529871439374847E-3"/>
    <n v="2.0434324300611805E-4"/>
  </r>
  <r>
    <s v="بعلبك"/>
    <x v="3"/>
    <s v="بعلبك والهرمل"/>
    <n v="53234"/>
    <n v="10128"/>
    <n v="0"/>
    <n v="8.4552235547513566E-2"/>
    <n v="0"/>
    <n v="0"/>
  </r>
  <r>
    <s v="بعلبك"/>
    <x v="3"/>
    <s v="بعلبك والهرمل"/>
    <n v="53237"/>
    <n v="1012"/>
    <n v="0"/>
    <n v="4.7394604087202641E-2"/>
    <n v="0"/>
    <n v="0"/>
  </r>
  <r>
    <s v="بعلبك"/>
    <x v="3"/>
    <s v="بعلبك والهرمل"/>
    <n v="53241"/>
    <n v="15859"/>
    <n v="158"/>
    <n v="0.24956808559423183"/>
    <n v="9.9627971498833477E-3"/>
    <n v="2.4863962118600561E-3"/>
  </r>
  <r>
    <s v="بعلبك"/>
    <x v="3"/>
    <s v="بعلبك والهرمل"/>
    <n v="53247"/>
    <n v="739"/>
    <n v="68"/>
    <n v="3.7949618709633204E-2"/>
    <n v="9.2016238159675232E-2"/>
    <n v="3.4919811532544759E-3"/>
  </r>
  <r>
    <s v="بعلبك"/>
    <x v="3"/>
    <s v="بعلبك والهرمل"/>
    <n v="53251"/>
    <n v="749"/>
    <n v="0"/>
    <n v="4.2989977055911233E-2"/>
    <n v="0"/>
    <n v="0"/>
  </r>
  <r>
    <s v="بعلبك"/>
    <x v="3"/>
    <s v="بعلبك والهرمل"/>
    <n v="53261"/>
    <n v="235"/>
    <n v="68"/>
    <n v="3.7708512804448313E-2"/>
    <n v="0.28936170212765955"/>
    <n v="1.0911399449797809E-2"/>
  </r>
  <r>
    <s v="بعلبك"/>
    <x v="3"/>
    <s v="بعلبك والهرمل"/>
    <n v="53264"/>
    <n v="1510"/>
    <n v="0"/>
    <n v="5.2915077504611441E-2"/>
    <n v="0"/>
    <n v="0"/>
  </r>
  <r>
    <s v="بعلبك"/>
    <x v="3"/>
    <s v="بعلبك والهرمل"/>
    <n v="53271"/>
    <n v="2032"/>
    <n v="46"/>
    <n v="0.28440668099264321"/>
    <n v="2.2637795275590553E-2"/>
    <n v="6.4383402193216475E-3"/>
  </r>
  <r>
    <s v="بعلبك"/>
    <x v="3"/>
    <s v="بعلبك والهرمل"/>
    <n v="53274"/>
    <n v="6327"/>
    <n v="22"/>
    <n v="0.41503403585913956"/>
    <n v="3.4771613718982139E-3"/>
    <n v="1.4431403175124181E-3"/>
  </r>
  <r>
    <s v="بعلبك"/>
    <x v="3"/>
    <s v="بعلبك والهرمل"/>
    <n v="53277"/>
    <n v="461"/>
    <n v="225"/>
    <n v="1.1798994443906308E-2"/>
    <n v="0.48806941431670281"/>
    <n v="5.7587283077633819E-3"/>
  </r>
  <r>
    <s v="بعلبك"/>
    <x v="3"/>
    <s v="بعلبك والهرمل"/>
    <n v="53281"/>
    <n v="464"/>
    <n v="68"/>
    <n v="5.5112815192269182E-2"/>
    <n v="0.14655172413793102"/>
    <n v="8.0768780885222078E-3"/>
  </r>
  <r>
    <s v="بعلبك"/>
    <x v="3"/>
    <s v="بعلبك والهرمل"/>
    <n v="53284"/>
    <n v="7708"/>
    <n v="0"/>
    <n v="6.2829446480836437E-2"/>
    <n v="0"/>
    <n v="0"/>
  </r>
  <r>
    <s v="بعلبك"/>
    <x v="3"/>
    <s v="بعلبك والهرمل"/>
    <n v="53311"/>
    <n v="6962"/>
    <n v="1248"/>
    <n v="0.12812027560289496"/>
    <n v="0.17925883366848608"/>
    <n v="2.2966691173859941E-2"/>
  </r>
  <r>
    <s v="بعلبك"/>
    <x v="3"/>
    <s v="بعلبك والهرمل"/>
    <n v="53333"/>
    <n v="844"/>
    <n v="0"/>
    <n v="0.10216368023416822"/>
    <n v="0"/>
    <n v="0"/>
  </r>
  <r>
    <s v="بعلبك"/>
    <x v="3"/>
    <s v="بعلبك والهرمل"/>
    <n v="53344"/>
    <n v="898"/>
    <n v="0"/>
    <n v="0.11251838055092644"/>
    <n v="0"/>
    <n v="0"/>
  </r>
  <r>
    <s v="بعلبك"/>
    <x v="3"/>
    <s v="بعلبك والهرمل"/>
    <n v="53355"/>
    <n v="461"/>
    <n v="45"/>
    <n v="5.124368136725499E-2"/>
    <n v="9.7613882863340565E-2"/>
    <n v="5.0020947104695759E-3"/>
  </r>
  <r>
    <s v="بعلبك"/>
    <x v="3"/>
    <s v="بعلبك والهرمل"/>
    <n v="53366"/>
    <n v="116"/>
    <n v="0"/>
    <n v="4.4343138802219406E-2"/>
    <n v="0"/>
    <n v="0"/>
  </r>
  <r>
    <s v="بعلبك"/>
    <x v="3"/>
    <s v="بعلبك والهرمل"/>
    <n v="53375"/>
    <n v="993"/>
    <n v="0"/>
    <n v="0.14492793913573288"/>
    <n v="0"/>
    <n v="0"/>
  </r>
  <r>
    <s v="بنت جبيل"/>
    <x v="18"/>
    <s v="النبطية"/>
    <n v="72119"/>
    <n v="3356"/>
    <n v="0"/>
    <n v="5.5626457186556344E-2"/>
    <n v="0"/>
    <n v="0"/>
  </r>
  <r>
    <s v="بعلبك"/>
    <x v="3"/>
    <s v="بعلبك والهرمل"/>
    <n v="53377"/>
    <n v="1100"/>
    <n v="0"/>
    <n v="0.12873504867039443"/>
    <n v="0"/>
    <n v="0"/>
  </r>
  <r>
    <s v="بعلبك"/>
    <x v="3"/>
    <s v="بعلبك والهرمل"/>
    <n v="53388"/>
    <n v="1692"/>
    <n v="0"/>
    <n v="0.116545445791706"/>
    <n v="0"/>
    <n v="0"/>
  </r>
  <r>
    <s v="بعلبك"/>
    <x v="3"/>
    <s v="بعلبك والهرمل"/>
    <n v="53411"/>
    <n v="7979"/>
    <n v="180"/>
    <n v="0.23804661259788806"/>
    <n v="2.2559217947111167E-2"/>
    <n v="5.3701454151672953E-3"/>
  </r>
  <r>
    <s v="بعلبك"/>
    <x v="3"/>
    <s v="بعلبك والهرمل"/>
    <n v="53413"/>
    <n v="4369"/>
    <n v="0"/>
    <n v="4.2737279790566518E-2"/>
    <n v="0"/>
    <n v="0"/>
  </r>
  <r>
    <s v="بعلبك"/>
    <x v="3"/>
    <s v="بعلبك والهرمل"/>
    <n v="53415"/>
    <n v="4410"/>
    <n v="50"/>
    <n v="5.6844509116696473E-2"/>
    <n v="1.1337868480725623E-2"/>
    <n v="6.4449556821651326E-4"/>
  </r>
  <r>
    <s v="بعلبك"/>
    <x v="3"/>
    <s v="بعلبك والهرمل"/>
    <n v="53417"/>
    <n v="2645"/>
    <n v="1433"/>
    <n v="0.31601937716262984"/>
    <n v="0.54177693761814749"/>
    <n v="0.17121201038716394"/>
  </r>
  <r>
    <s v="بعلبك"/>
    <x v="3"/>
    <s v="بعلبك والهرمل"/>
    <n v="53419"/>
    <n v="6941"/>
    <n v="0"/>
    <n v="0.19737284515545572"/>
    <n v="0"/>
    <n v="0"/>
  </r>
  <r>
    <s v="بعلبك"/>
    <x v="3"/>
    <s v="بعلبك والهرمل"/>
    <n v="53425"/>
    <n v="9845"/>
    <n v="74"/>
    <n v="5.0326895322179155E-2"/>
    <n v="7.5165058405281867E-3"/>
    <n v="3.782824026248103E-4"/>
  </r>
  <r>
    <s v="بعلبك"/>
    <x v="3"/>
    <s v="بعلبك والهرمل"/>
    <n v="53427"/>
    <n v="601"/>
    <n v="0"/>
    <n v="4.2577912707782883E-2"/>
    <n v="0"/>
    <n v="0"/>
  </r>
  <r>
    <s v="بعلبك"/>
    <x v="3"/>
    <s v="بعلبك والهرمل"/>
    <n v="53429"/>
    <n v="10463"/>
    <n v="517"/>
    <n v="6.6053121324341602E-2"/>
    <n v="4.9412214470037276E-2"/>
    <n v="3.2638309972937598E-3"/>
  </r>
  <r>
    <s v="بعلبك"/>
    <x v="3"/>
    <s v="بعلبك والهرمل"/>
    <n v="53431"/>
    <n v="1277"/>
    <n v="0"/>
    <n v="0.25791386078140743"/>
    <n v="0"/>
    <n v="0"/>
  </r>
  <r>
    <s v="بعلبك"/>
    <x v="3"/>
    <s v="بعلبك والهرمل"/>
    <n v="53433"/>
    <n v="930"/>
    <n v="0"/>
    <n v="5.708283377011969E-2"/>
    <n v="0"/>
    <n v="0"/>
  </r>
  <r>
    <s v="بعلبك"/>
    <x v="3"/>
    <s v="بعلبك والهرمل"/>
    <n v="53435"/>
    <n v="4792"/>
    <n v="0"/>
    <n v="3.1068515818019504E-2"/>
    <n v="0"/>
    <n v="0"/>
  </r>
  <r>
    <s v="بعلبك"/>
    <x v="3"/>
    <s v="بعلبك والهرمل"/>
    <n v="53437"/>
    <n v="8784"/>
    <n v="0"/>
    <n v="0.56433066757841255"/>
    <n v="0"/>
    <n v="0"/>
  </r>
  <r>
    <s v="بعلبك"/>
    <x v="3"/>
    <s v="بعلبك والهرمل"/>
    <n v="53439"/>
    <n v="3233"/>
    <n v="0"/>
    <n v="0.44970768050295762"/>
    <n v="0"/>
    <n v="0"/>
  </r>
  <r>
    <s v="بعلبك"/>
    <x v="3"/>
    <s v="بعلبك والهرمل"/>
    <n v="53441"/>
    <n v="1525"/>
    <n v="540"/>
    <n v="4.5545315546578036E-2"/>
    <n v="0.35409836065573769"/>
    <n v="1.6127521570591566E-2"/>
  </r>
  <r>
    <s v="زحلة"/>
    <x v="9"/>
    <s v="البقاع"/>
    <n v="51277"/>
    <n v="53"/>
    <n v="0"/>
    <n v="0.41848842184274737"/>
    <n v="0"/>
    <n v="0"/>
  </r>
  <r>
    <s v="بعلبك"/>
    <x v="3"/>
    <s v="بعلبك والهرمل"/>
    <n v="53443"/>
    <n v="4229"/>
    <n v="0"/>
    <n v="5.7568519143194496E-2"/>
    <n v="0"/>
    <n v="0"/>
  </r>
  <r>
    <s v="بعلبك"/>
    <x v="3"/>
    <s v="بعلبك والهرمل"/>
    <n v="53445"/>
    <n v="11035"/>
    <n v="0"/>
    <n v="4.2985637573272339E-2"/>
    <n v="0"/>
    <n v="0"/>
  </r>
  <r>
    <s v="بعلبك"/>
    <x v="3"/>
    <s v="بعلبك والهرمل"/>
    <n v="53447"/>
    <n v="383"/>
    <n v="0"/>
    <n v="2.1458219124441902E-2"/>
    <n v="0"/>
    <n v="0"/>
  </r>
  <r>
    <s v="بعلبك"/>
    <x v="3"/>
    <s v="بعلبك والهرمل"/>
    <n v="53449"/>
    <n v="249"/>
    <n v="0"/>
    <n v="8.6135588940790209E-2"/>
    <n v="0"/>
    <n v="0"/>
  </r>
  <r>
    <s v="بعلبك"/>
    <x v="3"/>
    <s v="بعلبك والهرمل"/>
    <n v="53451"/>
    <n v="3504"/>
    <n v="27"/>
    <n v="3.2040534698063561E-2"/>
    <n v="7.7054794520547941E-3"/>
    <n v="2.4688768174877744E-4"/>
  </r>
  <r>
    <s v="بعلبك"/>
    <x v="3"/>
    <s v="بعلبك والهرمل"/>
    <n v="53453"/>
    <n v="16638"/>
    <n v="540"/>
    <n v="3.1282594177785228E-2"/>
    <n v="3.2455824017309773E-2"/>
    <n v="1.0153023714391167E-3"/>
  </r>
  <r>
    <s v="بعلبك"/>
    <x v="3"/>
    <s v="بعلبك والهرمل"/>
    <n v="53455"/>
    <n v="1452"/>
    <n v="0"/>
    <n v="3.7471595518212775E-2"/>
    <n v="0"/>
    <n v="0"/>
  </r>
  <r>
    <s v="بعلبك"/>
    <x v="3"/>
    <s v="بعلبك والهرمل"/>
    <n v="53457"/>
    <n v="11"/>
    <n v="0"/>
    <n v="0.1368259229283626"/>
    <n v="0"/>
    <n v="0"/>
  </r>
  <r>
    <s v="بعلبك"/>
    <x v="3"/>
    <s v="بعلبك والهرمل"/>
    <n v="53459"/>
    <n v="9212"/>
    <n v="381"/>
    <n v="3.6492367603453424E-2"/>
    <n v="4.1359096830221452E-2"/>
    <n v="1.5092913652752665E-3"/>
  </r>
  <r>
    <s v="بعلبك"/>
    <x v="3"/>
    <s v="بعلبك والهرمل"/>
    <n v="53461"/>
    <n v="1064"/>
    <n v="105"/>
    <n v="9.7604394055108901E-2"/>
    <n v="9.8684210526315791E-2"/>
    <n v="9.632012571227852E-3"/>
  </r>
  <r>
    <s v="بعلبك"/>
    <x v="3"/>
    <s v="بعلبك والهرمل"/>
    <n v="53463"/>
    <n v="343"/>
    <n v="25"/>
    <n v="4.4093643192742227E-2"/>
    <n v="7.2886297376093298E-2"/>
    <n v="3.2138223901415617E-3"/>
  </r>
  <r>
    <s v="عاليه"/>
    <x v="2"/>
    <s v="جبل لبنان"/>
    <n v="53465"/>
    <n v="611"/>
    <n v="0"/>
    <n v="5.5648067154057679E-2"/>
    <n v="0"/>
    <n v="0"/>
  </r>
  <r>
    <s v="بعلبك"/>
    <x v="3"/>
    <s v="بعلبك والهرمل"/>
    <n v="53467"/>
    <n v="1807"/>
    <n v="0"/>
    <n v="0.37423229175355277"/>
    <n v="0"/>
    <n v="0"/>
  </r>
  <r>
    <s v="بعلبك"/>
    <x v="3"/>
    <s v="بعلبك والهرمل"/>
    <n v="53471"/>
    <n v="25"/>
    <n v="0"/>
    <n v="2.6311111111110952E-2"/>
    <n v="0"/>
    <n v="0"/>
  </r>
  <r>
    <s v="بعلبك"/>
    <x v="3"/>
    <s v="بعلبك والهرمل"/>
    <n v="53475"/>
    <n v="244"/>
    <n v="36"/>
    <n v="0.10240265474676036"/>
    <n v="0.14754098360655737"/>
    <n v="1.5108588405259724E-2"/>
  </r>
  <r>
    <s v="الهرمل"/>
    <x v="15"/>
    <s v="بعلبك والهرمل"/>
    <n v="54111"/>
    <n v="49637"/>
    <n v="1200"/>
    <n v="0.16267800885156258"/>
    <n v="2.4175514233334004E-2"/>
    <n v="3.9328245184413859E-3"/>
  </r>
  <r>
    <s v="الهرمل"/>
    <x v="15"/>
    <s v="بعلبك والهرمل"/>
    <n v="54119"/>
    <n v="1013"/>
    <n v="82"/>
    <n v="5.1164624101919243E-2"/>
    <n v="8.0947680157946691E-2"/>
    <n v="4.141657627203729E-3"/>
  </r>
  <r>
    <s v="الهرمل"/>
    <x v="15"/>
    <s v="بعلبك والهرمل"/>
    <n v="54127"/>
    <n v="2053"/>
    <n v="90"/>
    <n v="0.1217473651854587"/>
    <n v="4.3838285435947394E-2"/>
    <n v="5.3371957460746633E-3"/>
  </r>
  <r>
    <s v="صيدا"/>
    <x v="16"/>
    <s v="الجنوب"/>
    <n v="61419"/>
    <n v="5058"/>
    <n v="0"/>
    <n v="3.6395879280841759E-2"/>
    <n v="0"/>
    <n v="0"/>
  </r>
  <r>
    <s v="الهرمل"/>
    <x v="15"/>
    <s v="بعلبك والهرمل"/>
    <n v="54175"/>
    <n v="172"/>
    <n v="112"/>
    <n v="3.6395879280841759E-2"/>
    <n v="0.65116279069767447"/>
    <n v="2.3699642322408589E-2"/>
  </r>
  <r>
    <s v="راشيا"/>
    <x v="8"/>
    <s v="البقاع"/>
    <n v="55114"/>
    <n v="1846"/>
    <n v="481"/>
    <n v="1.8931206647436083E-2"/>
    <n v="0.26056338028169013"/>
    <n v="4.9327791968671484E-3"/>
  </r>
  <r>
    <s v="راشيا"/>
    <x v="8"/>
    <s v="البقاع"/>
    <n v="55117"/>
    <n v="2234"/>
    <n v="30"/>
    <n v="0.13437594327854885"/>
    <n v="1.342882721575649E-2"/>
    <n v="1.8045113242419271E-3"/>
  </r>
  <r>
    <s v="راشيا"/>
    <x v="8"/>
    <s v="البقاع"/>
    <n v="55124"/>
    <n v="1917"/>
    <n v="270"/>
    <n v="5.5597222222222298E-2"/>
    <n v="0.14084507042253522"/>
    <n v="7.83059467918624E-3"/>
  </r>
  <r>
    <s v="راشيا"/>
    <x v="8"/>
    <s v="البقاع"/>
    <n v="55127"/>
    <n v="415"/>
    <n v="0"/>
    <n v="0.32909873373516152"/>
    <n v="0"/>
    <n v="0"/>
  </r>
  <r>
    <s v="راشيا"/>
    <x v="8"/>
    <s v="البقاع"/>
    <n v="55131"/>
    <n v="665"/>
    <n v="0"/>
    <n v="0"/>
    <n v="0"/>
    <n v="0"/>
  </r>
  <r>
    <s v="راشيا"/>
    <x v="8"/>
    <s v="البقاع"/>
    <n v="55134"/>
    <n v="2190"/>
    <n v="0"/>
    <n v="0.13671779564565656"/>
    <n v="0"/>
    <n v="0"/>
  </r>
  <r>
    <s v="راشيا"/>
    <x v="8"/>
    <s v="البقاع"/>
    <n v="55137"/>
    <n v="910"/>
    <n v="89"/>
    <n v="1.537827761129118E-2"/>
    <n v="9.7802197802197802E-2"/>
    <n v="1.5040293487966099E-3"/>
  </r>
  <r>
    <s v="راشيا"/>
    <x v="8"/>
    <s v="البقاع"/>
    <n v="55141"/>
    <n v="980"/>
    <n v="0"/>
    <n v="0.28897648314324653"/>
    <n v="0"/>
    <n v="0"/>
  </r>
  <r>
    <s v="راشيا"/>
    <x v="8"/>
    <s v="البقاع"/>
    <n v="55144"/>
    <n v="840"/>
    <n v="396"/>
    <n v="0.54659312567638652"/>
    <n v="0.47142857142857142"/>
    <n v="0.25767961639029652"/>
  </r>
  <r>
    <s v="حاصبيا"/>
    <x v="5"/>
    <s v="النبطية"/>
    <n v="74133"/>
    <n v="733"/>
    <n v="28"/>
    <n v="0.54659312567638652"/>
    <n v="3.8199181446111868E-2"/>
    <n v="2.0879409984909718E-2"/>
  </r>
  <r>
    <s v="راشيا"/>
    <x v="8"/>
    <s v="البقاع"/>
    <n v="55151"/>
    <n v="2052"/>
    <n v="112"/>
    <n v="1.2432452629793977E-2"/>
    <n v="5.4580896686159841E-2"/>
    <n v="6.7857441254236131E-4"/>
  </r>
  <r>
    <s v="راشيا"/>
    <x v="8"/>
    <s v="البقاع"/>
    <n v="55154"/>
    <n v="880"/>
    <n v="90"/>
    <n v="0.41074100766231758"/>
    <n v="0.10227272727272728"/>
    <n v="4.200760305637339E-2"/>
  </r>
  <r>
    <s v="راشيا"/>
    <x v="8"/>
    <s v="البقاع"/>
    <n v="55157"/>
    <n v="2783"/>
    <n v="180"/>
    <n v="2.1462594550666014E-2"/>
    <n v="6.4678404599353215E-2"/>
    <n v="1.38816637409985E-3"/>
  </r>
  <r>
    <s v="راشيا"/>
    <x v="8"/>
    <s v="البقاع"/>
    <n v="55164"/>
    <n v="1585"/>
    <n v="180"/>
    <n v="1.7372992412613697E-2"/>
    <n v="0.11356466876971609"/>
    <n v="1.9729581288772651E-3"/>
  </r>
  <r>
    <s v="راشيا"/>
    <x v="8"/>
    <s v="البقاع"/>
    <n v="55167"/>
    <n v="264"/>
    <n v="9"/>
    <n v="0.47164138436333158"/>
    <n v="3.4090909090909088E-2"/>
    <n v="1.607868355784085E-2"/>
  </r>
  <r>
    <s v="مرجعيون"/>
    <x v="11"/>
    <s v="النبطية"/>
    <n v="73162"/>
    <n v="309"/>
    <n v="0"/>
    <n v="0.47164138436333158"/>
    <n v="0"/>
    <n v="0"/>
  </r>
  <r>
    <s v="راشيا"/>
    <x v="8"/>
    <s v="البقاع"/>
    <n v="55171"/>
    <n v="1563"/>
    <n v="31"/>
    <n v="0.18787874279923833"/>
    <n v="1.983365323096609E-2"/>
    <n v="3.7263218341499604E-3"/>
  </r>
  <r>
    <s v="راشيا"/>
    <x v="8"/>
    <s v="البقاع"/>
    <n v="55174"/>
    <n v="1252"/>
    <n v="63"/>
    <n v="0.1311422835821946"/>
    <n v="5.0319488817891375E-2"/>
    <n v="6.5990126722669804E-3"/>
  </r>
  <r>
    <s v="راشيا"/>
    <x v="8"/>
    <s v="البقاع"/>
    <n v="55177"/>
    <n v="508"/>
    <n v="0"/>
    <n v="3.6376150558842912E-2"/>
    <n v="0"/>
    <n v="0"/>
  </r>
  <r>
    <s v="راشيا"/>
    <x v="8"/>
    <s v="البقاع"/>
    <n v="55181"/>
    <n v="1180"/>
    <n v="180"/>
    <n v="1.0330675419532365E-2"/>
    <n v="0.15254237288135594"/>
    <n v="1.5758657419625642E-3"/>
  </r>
  <r>
    <s v="راشيا"/>
    <x v="8"/>
    <s v="البقاع"/>
    <n v="55184"/>
    <n v="1804"/>
    <n v="2"/>
    <n v="4.1486807364408129E-3"/>
    <n v="1.1086474501108647E-3"/>
    <n v="4.5994243197791714E-6"/>
  </r>
  <r>
    <s v="راشيا"/>
    <x v="8"/>
    <s v="البقاع"/>
    <n v="55187"/>
    <n v="646"/>
    <n v="0"/>
    <n v="0.10189323663349636"/>
    <n v="0"/>
    <n v="0"/>
  </r>
  <r>
    <s v="راشيا"/>
    <x v="8"/>
    <s v="البقاع"/>
    <n v="55191"/>
    <n v="6"/>
    <n v="0"/>
    <n v="3.5076530612244916E-2"/>
    <n v="0"/>
    <n v="0"/>
  </r>
  <r>
    <s v="راشيا"/>
    <x v="8"/>
    <s v="البقاع"/>
    <n v="55194"/>
    <n v="1434"/>
    <n v="15"/>
    <n v="0.56095029790229101"/>
    <n v="1.0460251046025104E-2"/>
    <n v="5.8676809404005336E-3"/>
  </r>
  <r>
    <s v="راشيا"/>
    <x v="8"/>
    <s v="البقاع"/>
    <n v="55197"/>
    <n v="59"/>
    <n v="0"/>
    <n v="1.5595365611580037E-2"/>
    <n v="0"/>
    <n v="0"/>
  </r>
  <r>
    <s v="صيدا"/>
    <x v="16"/>
    <s v="الجنوب"/>
    <n v="61111"/>
    <n v="10749"/>
    <n v="12285"/>
    <n v="0.1404524416678804"/>
    <n v="1.1428970136756909"/>
    <n v="0.16052267614567967"/>
  </r>
  <r>
    <s v="صيدا"/>
    <x v="16"/>
    <s v="الجنوب"/>
    <n v="61115"/>
    <n v="15199"/>
    <n v="1552"/>
    <n v="0.29742251258150043"/>
    <n v="0.10211198105138496"/>
    <n v="3.0370401968977476E-2"/>
  </r>
  <r>
    <s v="صيدا"/>
    <x v="16"/>
    <s v="الجنوب"/>
    <n v="61119"/>
    <n v="90335"/>
    <n v="13499"/>
    <n v="0.41541448422968241"/>
    <n v="0.14943266729396137"/>
    <n v="6.2076494410986699E-2"/>
  </r>
  <r>
    <s v="صيدا"/>
    <x v="16"/>
    <s v="الجنوب"/>
    <n v="61123"/>
    <n v="1399"/>
    <n v="225"/>
    <n v="0.7093509365244538"/>
    <n v="0.16082916368834882"/>
    <n v="0.11408431788277491"/>
  </r>
  <r>
    <s v="صيدا"/>
    <x v="16"/>
    <s v="الجنوب"/>
    <n v="61147"/>
    <n v="12797"/>
    <n v="2475"/>
    <n v="0.6465138396956579"/>
    <n v="0.19340470422755332"/>
    <n v="0.12503881794535854"/>
  </r>
  <r>
    <s v="صيدا"/>
    <x v="16"/>
    <s v="الجنوب"/>
    <n v="61159"/>
    <n v="14722"/>
    <n v="11621"/>
    <n v="0.24151511582719443"/>
    <n v="0.78936285830729525"/>
    <n v="0.19064306215377166"/>
  </r>
  <r>
    <s v="صيدا"/>
    <x v="16"/>
    <s v="الجنوب"/>
    <n v="61183"/>
    <n v="30708"/>
    <n v="839"/>
    <n v="0.36273030499066783"/>
    <n v="2.7321870522339455E-2"/>
    <n v="9.9104704274837266E-3"/>
  </r>
  <r>
    <s v="صيدا"/>
    <x v="16"/>
    <s v="الجنوب"/>
    <n v="61211"/>
    <n v="1089"/>
    <n v="162"/>
    <n v="0.46219472031637676"/>
    <n v="0.1487603305785124"/>
    <n v="6.8756239385907289E-2"/>
  </r>
  <r>
    <s v="زغرتا"/>
    <x v="14"/>
    <s v="الشمال"/>
    <n v="33283"/>
    <n v="65"/>
    <n v="0"/>
    <n v="0.22048442906574384"/>
    <n v="0"/>
    <n v="0"/>
  </r>
  <r>
    <s v="صيدا"/>
    <x v="16"/>
    <s v="الجنوب"/>
    <n v="61222"/>
    <n v="1585"/>
    <n v="135"/>
    <n v="0.51487484638602221"/>
    <n v="8.5173501577287064E-2"/>
    <n v="4.38536935407653E-2"/>
  </r>
  <r>
    <s v="البقاع الغربي"/>
    <x v="17"/>
    <s v="البقاع"/>
    <n v="52156"/>
    <n v="1465"/>
    <n v="50"/>
    <n v="0.51487484638602221"/>
    <n v="3.4129692832764506E-2"/>
    <n v="1.7572520354471748E-2"/>
  </r>
  <r>
    <s v="صيدا"/>
    <x v="16"/>
    <s v="الجنوب"/>
    <n v="61233"/>
    <n v="2688"/>
    <n v="2250"/>
    <n v="0.49740517687501073"/>
    <n v="0.8370535714285714"/>
    <n v="0.41635477975028801"/>
  </r>
  <r>
    <s v="صيدا"/>
    <x v="16"/>
    <s v="الجنوب"/>
    <n v="61244"/>
    <n v="10234"/>
    <n v="3330"/>
    <n v="0.41239943744774599"/>
    <n v="0.32538596834082473"/>
    <n v="0.1341889902971462"/>
  </r>
  <r>
    <s v="صيدا"/>
    <x v="16"/>
    <s v="الجنوب"/>
    <n v="61255"/>
    <n v="3617"/>
    <n v="1067"/>
    <n v="0.37786350980509975"/>
    <n v="0.29499585291678188"/>
    <n v="0.11146816836108417"/>
  </r>
  <r>
    <s v="صيدا"/>
    <x v="16"/>
    <s v="الجنوب"/>
    <n v="61266"/>
    <n v="1494"/>
    <n v="2200"/>
    <n v="0.53392833522462246"/>
    <n v="1.4725568942436413"/>
    <n v="0.78623985106704786"/>
  </r>
  <r>
    <s v="صيدا"/>
    <x v="16"/>
    <s v="الجنوب"/>
    <n v="61277"/>
    <n v="2629"/>
    <n v="405"/>
    <n v="0.51740971787140733"/>
    <n v="0.15405096995055154"/>
    <n v="7.9707468899931522E-2"/>
  </r>
  <r>
    <s v="صيدا"/>
    <x v="16"/>
    <s v="الجنوب"/>
    <n v="61311"/>
    <n v="17824"/>
    <n v="3304"/>
    <n v="8.10447970680781E-2"/>
    <n v="0.18536804308797128"/>
    <n v="1.5023115434971391E-2"/>
  </r>
  <r>
    <s v="صيدا"/>
    <x v="16"/>
    <s v="الجنوب"/>
    <n v="61323"/>
    <n v="4564"/>
    <n v="775"/>
    <n v="0.37863479144886747"/>
    <n v="0.16980718667835232"/>
    <n v="6.4294908714476837E-2"/>
  </r>
  <r>
    <s v="صيدا"/>
    <x v="16"/>
    <s v="الجنوب"/>
    <n v="61335"/>
    <n v="10579"/>
    <n v="1350"/>
    <n v="0.3683626749837754"/>
    <n v="0.12761130541639096"/>
    <n v="4.7007241821353317E-2"/>
  </r>
  <r>
    <s v="صيدا"/>
    <x v="16"/>
    <s v="الجنوب"/>
    <n v="61347"/>
    <n v="3968"/>
    <n v="120"/>
    <n v="9.506032812901144E-2"/>
    <n v="3.0241935483870969E-2"/>
    <n v="2.8748083103531685E-3"/>
  </r>
  <r>
    <s v="صيدا"/>
    <x v="16"/>
    <s v="الجنوب"/>
    <n v="61359"/>
    <n v="642"/>
    <n v="100"/>
    <n v="8.5864215880565475E-2"/>
    <n v="0.1557632398753894"/>
    <n v="1.337448845491674E-2"/>
  </r>
  <r>
    <s v="صيدا"/>
    <x v="16"/>
    <s v="الجنوب"/>
    <n v="61371"/>
    <n v="1715"/>
    <n v="247"/>
    <n v="0.11957101207830079"/>
    <n v="0.14402332361516035"/>
    <n v="1.7221014567545361E-2"/>
  </r>
  <r>
    <s v="صيدا"/>
    <x v="16"/>
    <s v="الجنوب"/>
    <n v="61383"/>
    <n v="1913"/>
    <n v="99"/>
    <n v="0.24388735663050454"/>
    <n v="5.1751176163094617E-2"/>
    <n v="1.2621457556936722E-2"/>
  </r>
  <r>
    <s v="صيدا"/>
    <x v="16"/>
    <s v="الجنوب"/>
    <n v="61417"/>
    <n v="2333"/>
    <n v="0"/>
    <n v="4.2388319021684495E-2"/>
    <n v="0"/>
    <n v="0"/>
  </r>
  <r>
    <s v="صيدا"/>
    <x v="16"/>
    <s v="الجنوب"/>
    <n v="61427"/>
    <n v="5923"/>
    <n v="0"/>
    <n v="4.0002567371206665E-2"/>
    <n v="0"/>
    <n v="0"/>
  </r>
  <r>
    <s v="صيدا"/>
    <x v="16"/>
    <s v="الجنوب"/>
    <n v="61434"/>
    <n v="6808"/>
    <n v="112"/>
    <n v="4.8541781820793828E-2"/>
    <n v="1.6451233842538191E-2"/>
    <n v="7.9857220386734856E-4"/>
  </r>
  <r>
    <s v="صيدا"/>
    <x v="16"/>
    <s v="الجنوب"/>
    <n v="61436"/>
    <n v="4353"/>
    <n v="0"/>
    <n v="6.1498259974512193E-2"/>
    <n v="0"/>
    <n v="0"/>
  </r>
  <r>
    <s v="صيدا"/>
    <x v="16"/>
    <s v="الجنوب"/>
    <n v="61439"/>
    <n v="1308"/>
    <n v="90"/>
    <n v="4.8253252961603432E-2"/>
    <n v="6.8807339449541288E-2"/>
    <n v="3.320177956073631E-3"/>
  </r>
  <r>
    <s v="صيدا"/>
    <x v="16"/>
    <s v="الجنوب"/>
    <n v="61444"/>
    <n v="4849"/>
    <n v="0"/>
    <n v="4.5081946091917735E-2"/>
    <n v="0"/>
    <n v="0"/>
  </r>
  <r>
    <s v="صيدا"/>
    <x v="16"/>
    <s v="الجنوب"/>
    <n v="61446"/>
    <n v="551"/>
    <n v="0"/>
    <n v="7.4260173748452951E-2"/>
    <n v="0"/>
    <n v="0"/>
  </r>
  <r>
    <s v="صيدا"/>
    <x v="16"/>
    <s v="الجنوب"/>
    <n v="61447"/>
    <n v="1965"/>
    <n v="0"/>
    <n v="5.940561161966984E-2"/>
    <n v="0"/>
    <n v="0"/>
  </r>
  <r>
    <s v="صيدا"/>
    <x v="16"/>
    <s v="الجنوب"/>
    <n v="61449"/>
    <n v="17326"/>
    <n v="8000"/>
    <n v="8.0268757482894859E-2"/>
    <n v="0.46173381045827083"/>
    <n v="3.7062799253327887E-2"/>
  </r>
  <r>
    <s v="صيدا"/>
    <x v="16"/>
    <s v="الجنوب"/>
    <n v="61451"/>
    <n v="1610"/>
    <n v="0"/>
    <n v="3.2312390361962429E-2"/>
    <n v="0"/>
    <n v="0"/>
  </r>
  <r>
    <s v="صيدا"/>
    <x v="16"/>
    <s v="الجنوب"/>
    <n v="61453"/>
    <n v="11045"/>
    <n v="1350"/>
    <n v="0.42734182965835876"/>
    <n v="0.12222725215029426"/>
    <n v="5.2232817568020312E-2"/>
  </r>
  <r>
    <s v="صيدا"/>
    <x v="16"/>
    <s v="الجنوب"/>
    <n v="61454"/>
    <n v="2152"/>
    <n v="5"/>
    <n v="5.5459860843351638E-2"/>
    <n v="2.3234200743494425E-3"/>
    <n v="1.2885655400406981E-4"/>
  </r>
  <r>
    <s v="صيدا"/>
    <x v="16"/>
    <s v="الجنوب"/>
    <n v="61459"/>
    <n v="2896"/>
    <n v="81"/>
    <n v="5.3797191095772856E-2"/>
    <n v="2.796961325966851E-2"/>
    <n v="1.5046866294052491E-3"/>
  </r>
  <r>
    <s v="صيدا"/>
    <x v="16"/>
    <s v="الجنوب"/>
    <n v="61461"/>
    <n v="5549"/>
    <n v="360"/>
    <n v="4.5148457737867131E-2"/>
    <n v="6.4876554334114253E-2"/>
    <n v="2.9290763715321979E-3"/>
  </r>
  <r>
    <s v="صيدا"/>
    <x v="16"/>
    <s v="الجنوب"/>
    <n v="61463"/>
    <n v="3513"/>
    <n v="225"/>
    <n v="5.4646428525629176E-2"/>
    <n v="6.4047822374039276E-2"/>
    <n v="3.4999847475851303E-3"/>
  </r>
  <r>
    <s v="صيدا"/>
    <x v="16"/>
    <s v="الجنوب"/>
    <n v="61464"/>
    <n v="1953"/>
    <n v="342"/>
    <n v="0.48146959641395026"/>
    <n v="0.17511520737327188"/>
    <n v="8.431264821995442E-2"/>
  </r>
  <r>
    <s v="صيدا"/>
    <x v="16"/>
    <s v="الجنوب"/>
    <n v="61466"/>
    <n v="1481"/>
    <n v="135"/>
    <n v="0.53537093477715236"/>
    <n v="9.1154625253207291E-2"/>
    <n v="4.8801536931070609E-2"/>
  </r>
  <r>
    <s v="صيدا"/>
    <x v="16"/>
    <s v="الجنوب"/>
    <n v="61471"/>
    <n v="701"/>
    <n v="0"/>
    <n v="0.23856913238261335"/>
    <n v="0"/>
    <n v="0"/>
  </r>
  <r>
    <s v="صيدا"/>
    <x v="16"/>
    <s v="الجنوب"/>
    <n v="61474"/>
    <n v="132"/>
    <n v="5"/>
    <n v="0.23706711658897883"/>
    <n v="3.787878787878788E-2"/>
    <n v="8.9798150223098037E-3"/>
  </r>
  <r>
    <s v="صيدا"/>
    <x v="16"/>
    <s v="الجنوب"/>
    <n v="61476"/>
    <n v="792"/>
    <n v="189"/>
    <n v="0.28249560445415278"/>
    <n v="0.23863636363636365"/>
    <n v="6.7413723790195557E-2"/>
  </r>
  <r>
    <s v="صيدا"/>
    <x v="16"/>
    <s v="الجنوب"/>
    <n v="61477"/>
    <n v="1013"/>
    <n v="500"/>
    <n v="0.27769053596318638"/>
    <n v="0.49358341559723595"/>
    <n v="0.13706344321973662"/>
  </r>
  <r>
    <s v="صيدا"/>
    <x v="16"/>
    <s v="الجنوب"/>
    <n v="61479"/>
    <n v="763"/>
    <n v="0"/>
    <n v="7.7423966839712977E-2"/>
    <n v="0"/>
    <n v="0"/>
  </r>
  <r>
    <s v="صيدا"/>
    <x v="16"/>
    <s v="الجنوب"/>
    <n v="61481"/>
    <n v="1934"/>
    <n v="400"/>
    <n v="0.3575625940357241"/>
    <n v="0.20682523267838676"/>
    <n v="7.3952966708526177E-2"/>
  </r>
  <r>
    <s v="صيدا"/>
    <x v="16"/>
    <s v="الجنوب"/>
    <n v="61488"/>
    <n v="525"/>
    <n v="180"/>
    <n v="0.3678835538752363"/>
    <n v="0.34285714285714286"/>
    <n v="0.1261315041857953"/>
  </r>
  <r>
    <s v="صيدا"/>
    <x v="16"/>
    <s v="الجنوب"/>
    <n v="61489"/>
    <n v="6337"/>
    <n v="1881"/>
    <n v="6.1652413770910797E-2"/>
    <n v="0.29682815212245545"/>
    <n v="1.8300172053508475E-2"/>
  </r>
  <r>
    <s v="صيدا"/>
    <x v="16"/>
    <s v="الجنوب"/>
    <n v="61491"/>
    <n v="220"/>
    <n v="0"/>
    <n v="8.3086734693877506E-2"/>
    <n v="0"/>
    <n v="0"/>
  </r>
  <r>
    <s v="صيدا"/>
    <x v="16"/>
    <s v="الجنوب"/>
    <n v="61493"/>
    <n v="3173"/>
    <n v="692"/>
    <n v="0.11501789308134458"/>
    <n v="0.21809013551843681"/>
    <n v="2.5084267889155513E-2"/>
  </r>
  <r>
    <s v="صيدا"/>
    <x v="16"/>
    <s v="الجنوب"/>
    <n v="61494"/>
    <n v="138"/>
    <n v="0"/>
    <n v="0.22173918877215582"/>
    <n v="0"/>
    <n v="0"/>
  </r>
  <r>
    <s v="صور"/>
    <x v="12"/>
    <s v="الجنوب"/>
    <n v="62111"/>
    <n v="66420"/>
    <n v="14041"/>
    <n v="0.66690760683474881"/>
    <n v="0.21139716952725082"/>
    <n v="0.14098238042105854"/>
  </r>
  <r>
    <s v="صور"/>
    <x v="12"/>
    <s v="الجنوب"/>
    <n v="62128"/>
    <n v="35430"/>
    <n v="0"/>
    <n v="0.42881208347915789"/>
    <n v="0"/>
    <n v="0"/>
  </r>
  <r>
    <s v="صور"/>
    <x v="12"/>
    <s v="الجنوب"/>
    <n v="62162"/>
    <n v="3232"/>
    <n v="0"/>
    <n v="2.4339702108782002E-2"/>
    <n v="0"/>
    <n v="0"/>
  </r>
  <r>
    <s v="صور"/>
    <x v="12"/>
    <s v="الجنوب"/>
    <n v="62179"/>
    <n v="4541"/>
    <n v="0"/>
    <n v="2.3333053962476424E-2"/>
    <n v="0"/>
    <n v="0"/>
  </r>
  <r>
    <s v="صور"/>
    <x v="12"/>
    <s v="الجنوب"/>
    <n v="62211"/>
    <n v="7025"/>
    <n v="0"/>
    <n v="6.3543218240383559E-2"/>
    <n v="0"/>
    <n v="0"/>
  </r>
  <r>
    <s v="صور"/>
    <x v="12"/>
    <s v="الجنوب"/>
    <n v="62212"/>
    <n v="1423"/>
    <n v="0"/>
    <n v="3.2980175360366015E-2"/>
    <n v="0"/>
    <n v="0"/>
  </r>
  <r>
    <s v="صور"/>
    <x v="12"/>
    <s v="الجنوب"/>
    <n v="62214"/>
    <n v="2087"/>
    <n v="0"/>
    <n v="1.4577472452930396E-2"/>
    <n v="0"/>
    <n v="0"/>
  </r>
  <r>
    <s v="صور"/>
    <x v="12"/>
    <s v="الجنوب"/>
    <n v="62215"/>
    <n v="1627"/>
    <n v="0"/>
    <n v="5.8246287045941147E-2"/>
    <n v="0"/>
    <n v="0"/>
  </r>
  <r>
    <s v="صور"/>
    <x v="12"/>
    <s v="الجنوب"/>
    <n v="62217"/>
    <n v="3519"/>
    <n v="0"/>
    <n v="6.0593435330104639E-2"/>
    <n v="0"/>
    <n v="0"/>
  </r>
  <r>
    <s v="صور"/>
    <x v="12"/>
    <s v="الجنوب"/>
    <n v="62218"/>
    <n v="1475"/>
    <n v="0"/>
    <n v="2.7765742147436878E-2"/>
    <n v="0"/>
    <n v="0"/>
  </r>
  <r>
    <s v="صور"/>
    <x v="12"/>
    <s v="الجنوب"/>
    <n v="62221"/>
    <n v="1035"/>
    <n v="0"/>
    <n v="6.4803618550696829E-2"/>
    <n v="0"/>
    <n v="0"/>
  </r>
  <r>
    <s v="صور"/>
    <x v="12"/>
    <s v="الجنوب"/>
    <n v="62223"/>
    <n v="1166"/>
    <n v="0"/>
    <n v="2.2872381846401502E-2"/>
    <n v="0"/>
    <n v="0"/>
  </r>
  <r>
    <s v="صور"/>
    <x v="12"/>
    <s v="الجنوب"/>
    <n v="62224"/>
    <n v="1545"/>
    <n v="0"/>
    <n v="3.7681663046606584E-2"/>
    <n v="0"/>
    <n v="0"/>
  </r>
  <r>
    <s v="صور"/>
    <x v="12"/>
    <s v="الجنوب"/>
    <n v="62226"/>
    <n v="924"/>
    <n v="0"/>
    <n v="2.0425832782942965E-2"/>
    <n v="0"/>
    <n v="0"/>
  </r>
  <r>
    <s v="صور"/>
    <x v="12"/>
    <s v="الجنوب"/>
    <n v="62227"/>
    <n v="1652"/>
    <n v="0"/>
    <n v="3.2911714775970102E-2"/>
    <n v="0"/>
    <n v="0"/>
  </r>
  <r>
    <s v="صور"/>
    <x v="12"/>
    <s v="الجنوب"/>
    <n v="62229"/>
    <n v="5587"/>
    <n v="18"/>
    <n v="0.22452129256285391"/>
    <n v="3.2217648111687847E-3"/>
    <n v="7.2335479973713453E-4"/>
  </r>
  <r>
    <s v="صور"/>
    <x v="12"/>
    <s v="الجنوب"/>
    <n v="62231"/>
    <n v="8485"/>
    <n v="0"/>
    <n v="2.4703216189241206E-2"/>
    <n v="0"/>
    <n v="0"/>
  </r>
  <r>
    <s v="صور"/>
    <x v="12"/>
    <s v="الجنوب"/>
    <n v="62233"/>
    <n v="163"/>
    <n v="0"/>
    <n v="0.55449913493436598"/>
    <n v="0"/>
    <n v="0"/>
  </r>
  <r>
    <s v="صور"/>
    <x v="12"/>
    <s v="الجنوب"/>
    <n v="62234"/>
    <n v="2348"/>
    <n v="0"/>
    <n v="3.351692289447028E-2"/>
    <n v="0"/>
    <n v="0"/>
  </r>
  <r>
    <s v="صور"/>
    <x v="12"/>
    <s v="الجنوب"/>
    <n v="62236"/>
    <n v="698"/>
    <n v="0"/>
    <n v="6.6346557860479605E-2"/>
    <n v="0"/>
    <n v="0"/>
  </r>
  <r>
    <s v="صور"/>
    <x v="12"/>
    <s v="الجنوب"/>
    <n v="62237"/>
    <n v="889"/>
    <n v="0"/>
    <n v="6.9017557780422734E-2"/>
    <n v="0"/>
    <n v="0"/>
  </r>
  <r>
    <s v="صور"/>
    <x v="12"/>
    <s v="الجنوب"/>
    <n v="62239"/>
    <n v="664"/>
    <n v="0"/>
    <n v="0.42397552117589854"/>
    <n v="0"/>
    <n v="0"/>
  </r>
  <r>
    <s v="صور"/>
    <x v="12"/>
    <s v="الجنوب"/>
    <n v="62241"/>
    <n v="3746"/>
    <n v="0"/>
    <n v="1.4354633406751915E-2"/>
    <n v="0"/>
    <n v="0"/>
  </r>
  <r>
    <s v="صور"/>
    <x v="12"/>
    <s v="الجنوب"/>
    <n v="62244"/>
    <n v="563"/>
    <n v="0"/>
    <n v="4.5269120796491147E-2"/>
    <n v="0"/>
    <n v="0"/>
  </r>
  <r>
    <s v="صور"/>
    <x v="12"/>
    <s v="الجنوب"/>
    <n v="62246"/>
    <n v="6460"/>
    <n v="0"/>
    <n v="5.4438640767969448E-2"/>
    <n v="0"/>
    <n v="0"/>
  </r>
  <r>
    <s v="صور"/>
    <x v="12"/>
    <s v="الجنوب"/>
    <n v="62247"/>
    <n v="2696"/>
    <n v="0"/>
    <n v="3.2324486366182792E-2"/>
    <n v="0"/>
    <n v="0"/>
  </r>
  <r>
    <s v="صور"/>
    <x v="12"/>
    <s v="الجنوب"/>
    <n v="62251"/>
    <n v="1955"/>
    <n v="0"/>
    <n v="6.7029874963760672E-2"/>
    <n v="0"/>
    <n v="0"/>
  </r>
  <r>
    <s v="صور"/>
    <x v="12"/>
    <s v="الجنوب"/>
    <n v="62253"/>
    <n v="4204"/>
    <n v="0"/>
    <n v="4.0092636836628781E-2"/>
    <n v="0"/>
    <n v="0"/>
  </r>
  <r>
    <s v="صور"/>
    <x v="12"/>
    <s v="الجنوب"/>
    <n v="62254"/>
    <n v="5432"/>
    <n v="0"/>
    <n v="0.33561529653578981"/>
    <n v="0"/>
    <n v="0"/>
  </r>
  <r>
    <s v="صور"/>
    <x v="12"/>
    <s v="الجنوب"/>
    <n v="62256"/>
    <n v="605"/>
    <n v="0"/>
    <n v="5.6418308089236202E-2"/>
    <n v="0"/>
    <n v="0"/>
  </r>
  <r>
    <s v="صور"/>
    <x v="12"/>
    <s v="الجنوب"/>
    <n v="62259"/>
    <n v="1833"/>
    <n v="0"/>
    <n v="4.0519907268816047E-2"/>
    <n v="0"/>
    <n v="0"/>
  </r>
  <r>
    <s v="صور"/>
    <x v="12"/>
    <s v="الجنوب"/>
    <n v="62261"/>
    <n v="2597"/>
    <n v="0"/>
    <n v="2.7342478189612773E-2"/>
    <n v="0"/>
    <n v="0"/>
  </r>
  <r>
    <s v="صور"/>
    <x v="12"/>
    <s v="الجنوب"/>
    <n v="62263"/>
    <n v="3644"/>
    <n v="0"/>
    <n v="2.8711823096090661E-2"/>
    <n v="0"/>
    <n v="0"/>
  </r>
  <r>
    <s v="صور"/>
    <x v="12"/>
    <s v="الجنوب"/>
    <n v="62264"/>
    <n v="1594"/>
    <n v="0"/>
    <n v="4.3288797660595457E-2"/>
    <n v="0"/>
    <n v="0"/>
  </r>
  <r>
    <s v="صور"/>
    <x v="12"/>
    <s v="الجنوب"/>
    <n v="62266"/>
    <n v="3958"/>
    <n v="0"/>
    <n v="3.602247286536131E-2"/>
    <n v="0"/>
    <n v="0"/>
  </r>
  <r>
    <s v="صور"/>
    <x v="12"/>
    <s v="الجنوب"/>
    <n v="62269"/>
    <n v="1244"/>
    <n v="0"/>
    <n v="4.479740906258789E-2"/>
    <n v="0"/>
    <n v="0"/>
  </r>
  <r>
    <s v="صور"/>
    <x v="12"/>
    <s v="الجنوب"/>
    <n v="62271"/>
    <n v="1968"/>
    <n v="0"/>
    <n v="3.823828088179837E-2"/>
    <n v="0"/>
    <n v="0"/>
  </r>
  <r>
    <s v="صور"/>
    <x v="12"/>
    <s v="الجنوب"/>
    <n v="62274"/>
    <n v="1436"/>
    <n v="0"/>
    <n v="4.7415586907911589E-2"/>
    <n v="0"/>
    <n v="0"/>
  </r>
  <r>
    <s v="صور"/>
    <x v="12"/>
    <s v="الجنوب"/>
    <n v="62276"/>
    <n v="15540"/>
    <n v="0"/>
    <n v="6.2957287727013367E-2"/>
    <n v="0"/>
    <n v="0"/>
  </r>
  <r>
    <s v="صور"/>
    <x v="12"/>
    <s v="الجنوب"/>
    <n v="62277"/>
    <n v="2467"/>
    <n v="0"/>
    <n v="1.6399111486887441E-2"/>
    <n v="0"/>
    <n v="0"/>
  </r>
  <r>
    <s v="صور"/>
    <x v="12"/>
    <s v="الجنوب"/>
    <n v="62279"/>
    <n v="1226"/>
    <n v="0"/>
    <n v="2.9593562190745271E-2"/>
    <n v="0"/>
    <n v="0"/>
  </r>
  <r>
    <s v="صور"/>
    <x v="12"/>
    <s v="الجنوب"/>
    <n v="62283"/>
    <n v="4657"/>
    <n v="0"/>
    <n v="2.9369375394644348E-2"/>
    <n v="0"/>
    <n v="0"/>
  </r>
  <r>
    <s v="صور"/>
    <x v="12"/>
    <s v="الجنوب"/>
    <n v="62285"/>
    <n v="494"/>
    <n v="0"/>
    <n v="3.3826095633528896E-2"/>
    <n v="0"/>
    <n v="0"/>
  </r>
  <r>
    <s v="صور"/>
    <x v="12"/>
    <s v="الجنوب"/>
    <n v="62286"/>
    <n v="1215"/>
    <n v="0"/>
    <n v="2.475916838842962E-2"/>
    <n v="0"/>
    <n v="0"/>
  </r>
  <r>
    <s v="صور"/>
    <x v="12"/>
    <s v="الجنوب"/>
    <n v="62287"/>
    <n v="3678"/>
    <n v="0"/>
    <n v="4.7395579490666417E-2"/>
    <n v="0"/>
    <n v="0"/>
  </r>
  <r>
    <s v="صور"/>
    <x v="12"/>
    <s v="الجنوب"/>
    <n v="62291"/>
    <n v="4755"/>
    <n v="0"/>
    <n v="5.8769513314967714E-2"/>
    <n v="0"/>
    <n v="0"/>
  </r>
  <r>
    <s v="صور"/>
    <x v="12"/>
    <s v="الجنوب"/>
    <n v="62292"/>
    <n v="370"/>
    <n v="0"/>
    <n v="3.6823451436957755E-2"/>
    <n v="0"/>
    <n v="0"/>
  </r>
  <r>
    <s v="صور"/>
    <x v="12"/>
    <s v="الجنوب"/>
    <n v="62293"/>
    <n v="903"/>
    <n v="0"/>
    <n v="0.16964792955434915"/>
    <n v="0"/>
    <n v="0"/>
  </r>
  <r>
    <s v="صور"/>
    <x v="12"/>
    <s v="الجنوب"/>
    <n v="62295"/>
    <n v="631"/>
    <n v="0"/>
    <n v="6.3618053396555907E-2"/>
    <n v="0"/>
    <n v="0"/>
  </r>
  <r>
    <s v="صور"/>
    <x v="12"/>
    <s v="الجنوب"/>
    <n v="62296"/>
    <n v="2682"/>
    <n v="0"/>
    <n v="2.4576078381267963E-2"/>
    <n v="0"/>
    <n v="0"/>
  </r>
  <r>
    <s v="صور"/>
    <x v="12"/>
    <s v="الجنوب"/>
    <n v="62297"/>
    <n v="1085"/>
    <n v="0"/>
    <n v="9.0320262668158735E-3"/>
    <n v="0"/>
    <n v="0"/>
  </r>
  <r>
    <s v="صور"/>
    <x v="12"/>
    <s v="الجنوب"/>
    <n v="62298"/>
    <n v="232"/>
    <n v="0"/>
    <n v="9.2483004526857981E-2"/>
    <n v="0"/>
    <n v="0"/>
  </r>
  <r>
    <s v="صور"/>
    <x v="12"/>
    <s v="الجنوب"/>
    <n v="62308"/>
    <n v="1330"/>
    <n v="0"/>
    <n v="8.750394335420375E-2"/>
    <n v="0"/>
    <n v="0"/>
  </r>
  <r>
    <s v="صور"/>
    <x v="12"/>
    <s v="الجنوب"/>
    <n v="62311"/>
    <n v="1629"/>
    <n v="0"/>
    <n v="8.4557359981218494E-2"/>
    <n v="0"/>
    <n v="0"/>
  </r>
  <r>
    <s v="صور"/>
    <x v="12"/>
    <s v="الجنوب"/>
    <n v="62312"/>
    <n v="1788"/>
    <n v="0"/>
    <n v="0.20632378172602783"/>
    <n v="0"/>
    <n v="0"/>
  </r>
  <r>
    <s v="صور"/>
    <x v="12"/>
    <s v="الجنوب"/>
    <n v="62316"/>
    <n v="1312"/>
    <n v="0"/>
    <n v="0.66004057599407884"/>
    <n v="0"/>
    <n v="0"/>
  </r>
  <r>
    <s v="صور"/>
    <x v="12"/>
    <s v="الجنوب"/>
    <n v="62321"/>
    <n v="234"/>
    <n v="0"/>
    <n v="4.8229375392368601E-2"/>
    <n v="0"/>
    <n v="0"/>
  </r>
  <r>
    <s v="صور"/>
    <x v="12"/>
    <s v="الجنوب"/>
    <n v="62341"/>
    <n v="586"/>
    <n v="0"/>
    <n v="7.1476843100189202E-2"/>
    <n v="0"/>
    <n v="0"/>
  </r>
  <r>
    <s v="صور"/>
    <x v="12"/>
    <s v="الجنوب"/>
    <n v="62351"/>
    <n v="70"/>
    <n v="0"/>
    <n v="9.119897959183676E-2"/>
    <n v="0"/>
    <n v="0"/>
  </r>
  <r>
    <s v="جزين"/>
    <x v="7"/>
    <s v="الجنوب"/>
    <n v="63111"/>
    <n v="7597"/>
    <n v="2009"/>
    <n v="0.29956545579292559"/>
    <n v="0.26444649203633014"/>
    <n v="7.9219033919703502E-2"/>
  </r>
  <r>
    <s v="جزين"/>
    <x v="7"/>
    <s v="الجنوب"/>
    <n v="63114"/>
    <n v="557"/>
    <n v="30"/>
    <n v="0.21760977118119951"/>
    <n v="5.385996409335727E-2"/>
    <n v="1.1720454462183097E-2"/>
  </r>
  <r>
    <s v="جزين"/>
    <x v="7"/>
    <s v="الجنوب"/>
    <n v="63121"/>
    <n v="309"/>
    <n v="55"/>
    <n v="0.51440625269715734"/>
    <n v="0.17799352750809061"/>
    <n v="9.156098348978528E-2"/>
  </r>
  <r>
    <s v="جزين"/>
    <x v="7"/>
    <s v="الجنوب"/>
    <n v="63124"/>
    <n v="1112"/>
    <n v="247"/>
    <n v="0.28853060009993226"/>
    <n v="0.22212230215827339"/>
    <n v="6.4089081137305104E-2"/>
  </r>
  <r>
    <s v="جزين"/>
    <x v="7"/>
    <s v="الجنوب"/>
    <n v="63127"/>
    <n v="419"/>
    <n v="93"/>
    <n v="0.2195061728395058"/>
    <n v="0.22195704057279236"/>
    <n v="4.8720940510916563E-2"/>
  </r>
  <r>
    <s v="جزين"/>
    <x v="7"/>
    <s v="الجنوب"/>
    <n v="63134"/>
    <n v="149"/>
    <n v="9"/>
    <n v="0.21905234060453094"/>
    <n v="6.0402684563758392E-2"/>
    <n v="1.3231349432488446E-2"/>
  </r>
  <r>
    <s v="جزين"/>
    <x v="7"/>
    <s v="الجنوب"/>
    <n v="63137"/>
    <n v="161"/>
    <n v="25"/>
    <n v="0.2134354997621567"/>
    <n v="0.15527950310559005"/>
    <n v="3.3142158348160977E-2"/>
  </r>
  <r>
    <s v="جزين"/>
    <x v="7"/>
    <s v="الجنوب"/>
    <n v="63141"/>
    <n v="26"/>
    <n v="63"/>
    <n v="0.25843490304709149"/>
    <n v="2.4230769230769229"/>
    <n v="0.62620764969102938"/>
  </r>
  <r>
    <s v="جزين"/>
    <x v="7"/>
    <s v="الجنوب"/>
    <n v="63147"/>
    <n v="140"/>
    <n v="9"/>
    <n v="0.24387711882002183"/>
    <n v="6.4285714285714279E-2"/>
    <n v="1.5677814781287117E-2"/>
  </r>
  <r>
    <s v="جزين"/>
    <x v="7"/>
    <s v="الجنوب"/>
    <n v="63151"/>
    <n v="385"/>
    <n v="50"/>
    <n v="0.17485766662017321"/>
    <n v="0.12987012987012986"/>
    <n v="2.2708787872749766E-2"/>
  </r>
  <r>
    <s v="جزين"/>
    <x v="7"/>
    <s v="الجنوب"/>
    <n v="63157"/>
    <n v="166"/>
    <n v="0"/>
    <n v="0.22066754834047042"/>
    <n v="0"/>
    <n v="0"/>
  </r>
  <r>
    <s v="جزين"/>
    <x v="7"/>
    <s v="الجنوب"/>
    <n v="63161"/>
    <n v="202"/>
    <n v="0"/>
    <n v="0.26132585249808793"/>
    <n v="0"/>
    <n v="0"/>
  </r>
  <r>
    <s v="زحلة"/>
    <x v="9"/>
    <s v="البقاع"/>
    <n v="51111"/>
    <n v="11429"/>
    <n v="48"/>
    <n v="0.84742832901649701"/>
    <n v="4.1998425059060285E-3"/>
    <n v="3.5590655169124032E-3"/>
  </r>
  <r>
    <s v="جزين"/>
    <x v="7"/>
    <s v="الجنوب"/>
    <n v="63167"/>
    <n v="1981"/>
    <n v="65"/>
    <n v="0.62568449291084494"/>
    <n v="3.2811711256940941E-2"/>
    <n v="2.0529778919336154E-2"/>
  </r>
  <r>
    <s v="جزين"/>
    <x v="7"/>
    <s v="الجنوب"/>
    <n v="63171"/>
    <n v="194"/>
    <n v="13"/>
    <n v="0.17552186061801445"/>
    <n v="6.7010309278350513E-2"/>
    <n v="1.1761774165124679E-2"/>
  </r>
  <r>
    <s v="جزين"/>
    <x v="7"/>
    <s v="الجنوب"/>
    <n v="63177"/>
    <n v="80"/>
    <n v="3"/>
    <n v="0.22119796912996137"/>
    <n v="3.7499999999999999E-2"/>
    <n v="8.2949238423735503E-3"/>
  </r>
  <r>
    <s v="جزين"/>
    <x v="7"/>
    <s v="الجنوب"/>
    <n v="63181"/>
    <n v="167"/>
    <n v="0"/>
    <n v="0.16754488313448024"/>
    <n v="0"/>
    <n v="0"/>
  </r>
  <r>
    <s v="جزين"/>
    <x v="7"/>
    <s v="الجنوب"/>
    <n v="63184"/>
    <n v="429"/>
    <n v="54"/>
    <n v="0.24313101363511513"/>
    <n v="0.12587412587412589"/>
    <n v="3.0603903814210298E-2"/>
  </r>
  <r>
    <s v="جزين"/>
    <x v="7"/>
    <s v="الجنوب"/>
    <n v="63187"/>
    <n v="67"/>
    <n v="19"/>
    <n v="0.18548714021890911"/>
    <n v="0.28358208955223879"/>
    <n v="5.2600830808347356E-2"/>
  </r>
  <r>
    <s v="جزين"/>
    <x v="7"/>
    <s v="الجنوب"/>
    <n v="63191"/>
    <n v="212"/>
    <n v="0"/>
    <n v="0.35108481262327407"/>
    <n v="0"/>
    <n v="0"/>
  </r>
  <r>
    <s v="جزين"/>
    <x v="7"/>
    <s v="الجنوب"/>
    <n v="63211"/>
    <n v="207"/>
    <n v="25"/>
    <n v="0.52746303854875276"/>
    <n v="0.12077294685990338"/>
    <n v="6.3703265525211689E-2"/>
  </r>
  <r>
    <s v="جزين"/>
    <x v="7"/>
    <s v="الجنوب"/>
    <n v="63217"/>
    <n v="249"/>
    <n v="13"/>
    <n v="0.37978575679428661"/>
    <n v="5.2208835341365459E-2"/>
    <n v="1.9828172041468778E-2"/>
  </r>
  <r>
    <s v="جزين"/>
    <x v="7"/>
    <s v="الجنوب"/>
    <n v="63224"/>
    <n v="51"/>
    <n v="23"/>
    <n v="0.51382283365429982"/>
    <n v="0.45098039215686275"/>
    <n v="0.23172402302056658"/>
  </r>
  <r>
    <s v="جزين"/>
    <x v="7"/>
    <s v="الجنوب"/>
    <n v="63227"/>
    <n v="889"/>
    <n v="220"/>
    <n v="0.2626151191109819"/>
    <n v="0.24746906636670415"/>
    <n v="6.4989118340175497E-2"/>
  </r>
  <r>
    <s v="جزين"/>
    <x v="7"/>
    <s v="الجنوب"/>
    <n v="63231"/>
    <n v="118"/>
    <n v="198"/>
    <n v="0.32197530864197521"/>
    <n v="1.6779661016949152"/>
    <n v="0.5402636534839923"/>
  </r>
  <r>
    <s v="جزين"/>
    <x v="7"/>
    <s v="الجنوب"/>
    <n v="63237"/>
    <n v="540"/>
    <n v="230"/>
    <n v="0.2241951189933945"/>
    <n v="0.42592592592592593"/>
    <n v="9.5490513645334701E-2"/>
  </r>
  <r>
    <s v="جزين"/>
    <x v="7"/>
    <s v="الجنوب"/>
    <n v="63241"/>
    <n v="290"/>
    <n v="11"/>
    <n v="0.37504384981223648"/>
    <n v="3.793103448275862E-2"/>
    <n v="1.4225801199774487E-2"/>
  </r>
  <r>
    <s v="جزين"/>
    <x v="7"/>
    <s v="الجنوب"/>
    <n v="63244"/>
    <n v="231"/>
    <n v="45"/>
    <n v="0.31346037473873334"/>
    <n v="0.19480519480519481"/>
    <n v="6.1063709364688315E-2"/>
  </r>
  <r>
    <s v="جزين"/>
    <x v="7"/>
    <s v="الجنوب"/>
    <n v="63247"/>
    <n v="315"/>
    <n v="50"/>
    <n v="0.1924497041420119"/>
    <n v="0.15873015873015872"/>
    <n v="3.0547572086033634E-2"/>
  </r>
  <r>
    <s v="جزين"/>
    <x v="7"/>
    <s v="الجنوب"/>
    <n v="63251"/>
    <n v="538"/>
    <n v="111"/>
    <n v="0.4599609375"/>
    <n v="0.20631970260223048"/>
    <n v="9.4899003833643122E-2"/>
  </r>
  <r>
    <s v="جزين"/>
    <x v="7"/>
    <s v="الجنوب"/>
    <n v="63254"/>
    <n v="413"/>
    <n v="174"/>
    <n v="0.24606394965796252"/>
    <n v="0.42130750605326878"/>
    <n v="0.10366858896001327"/>
  </r>
  <r>
    <s v="جزين"/>
    <x v="7"/>
    <s v="الجنوب"/>
    <n v="63261"/>
    <n v="425"/>
    <n v="0"/>
    <n v="0.42579994960947354"/>
    <n v="0"/>
    <n v="0"/>
  </r>
  <r>
    <s v="جزين"/>
    <x v="7"/>
    <s v="الجنوب"/>
    <n v="63264"/>
    <n v="85"/>
    <n v="92"/>
    <n v="0.18674897119341538"/>
    <n v="1.0823529411764705"/>
    <n v="0.20212829823287309"/>
  </r>
  <r>
    <s v="جزين"/>
    <x v="7"/>
    <s v="الجنوب"/>
    <n v="63271"/>
    <n v="395"/>
    <n v="20"/>
    <n v="0.11085222444560183"/>
    <n v="5.0632911392405063E-2"/>
    <n v="5.6127708580051561E-3"/>
  </r>
  <r>
    <s v="جزين"/>
    <x v="7"/>
    <s v="الجنوب"/>
    <n v="63274"/>
    <n v="756"/>
    <n v="100"/>
    <n v="0.58167630624448585"/>
    <n v="0.13227513227513227"/>
    <n v="7.6941310349799716E-2"/>
  </r>
  <r>
    <s v="جزين"/>
    <x v="7"/>
    <s v="الجنوب"/>
    <n v="63277"/>
    <n v="1723"/>
    <n v="855"/>
    <n v="0.68336793540945795"/>
    <n v="0.49622751015670341"/>
    <n v="0.33910596910916224"/>
  </r>
  <r>
    <s v="جزين"/>
    <x v="7"/>
    <s v="الجنوب"/>
    <n v="63284"/>
    <n v="21"/>
    <n v="38"/>
    <n v="0.15022100289590035"/>
    <n v="1.8095238095238095"/>
    <n v="0.27182848143067684"/>
  </r>
  <r>
    <s v="جزين"/>
    <x v="7"/>
    <s v="الجنوب"/>
    <n v="63287"/>
    <n v="323"/>
    <n v="0"/>
    <n v="0.13834373418789003"/>
    <n v="0"/>
    <n v="0"/>
  </r>
  <r>
    <s v="جزين"/>
    <x v="7"/>
    <s v="الجنوب"/>
    <n v="63291"/>
    <n v="65"/>
    <n v="8"/>
    <n v="0.5621065215301807"/>
    <n v="0.12307692307692308"/>
    <n v="6.9182341111406864E-2"/>
  </r>
  <r>
    <s v="جزين"/>
    <x v="7"/>
    <s v="الجنوب"/>
    <n v="63294"/>
    <n v="353"/>
    <n v="0"/>
    <n v="0.22472505500249451"/>
    <n v="0"/>
    <n v="0"/>
  </r>
  <r>
    <s v="جزين"/>
    <x v="7"/>
    <s v="الجنوب"/>
    <n v="63297"/>
    <n v="327"/>
    <n v="0"/>
    <n v="0.41187295828967418"/>
    <n v="0"/>
    <n v="0"/>
  </r>
  <r>
    <s v="جزين"/>
    <x v="7"/>
    <s v="الجنوب"/>
    <n v="63298"/>
    <n v="0"/>
    <n v="0"/>
    <n v="2.8912923792778766E-2"/>
    <n v="0"/>
    <n v="0"/>
  </r>
  <r>
    <s v="جزين"/>
    <x v="7"/>
    <s v="الجنوب"/>
    <n v="63311"/>
    <n v="1335"/>
    <n v="0"/>
    <n v="9.3077590963808521E-2"/>
    <n v="0"/>
    <n v="0"/>
  </r>
  <r>
    <s v="جزين"/>
    <x v="7"/>
    <s v="الجنوب"/>
    <n v="63315"/>
    <n v="11"/>
    <n v="95"/>
    <n v="0.57000261416879483"/>
    <n v="8.6363636363636367"/>
    <n v="4.9227498496395921"/>
  </r>
  <r>
    <s v="جزين"/>
    <x v="7"/>
    <s v="الجنوب"/>
    <n v="63327"/>
    <n v="396"/>
    <n v="0"/>
    <n v="0.48251333246618122"/>
    <n v="0"/>
    <n v="0"/>
  </r>
  <r>
    <s v="جزين"/>
    <x v="7"/>
    <s v="الجنوب"/>
    <n v="63351"/>
    <n v="312"/>
    <n v="0"/>
    <n v="4.5236180455903496E-2"/>
    <n v="0"/>
    <n v="0"/>
  </r>
  <r>
    <s v="جزين"/>
    <x v="7"/>
    <s v="الجنوب"/>
    <n v="63355"/>
    <n v="588"/>
    <n v="112"/>
    <n v="0.38437176140860707"/>
    <n v="0.19047619047619047"/>
    <n v="7.321366883973468E-2"/>
  </r>
  <r>
    <s v="جزين"/>
    <x v="7"/>
    <s v="الجنوب"/>
    <n v="63375"/>
    <n v="41"/>
    <n v="0"/>
    <n v="0.54806122047877182"/>
    <n v="0"/>
    <n v="0"/>
  </r>
  <r>
    <s v="جزين"/>
    <x v="7"/>
    <s v="الجنوب"/>
    <n v="63385"/>
    <n v="103"/>
    <n v="0"/>
    <n v="0.18371395617070352"/>
    <n v="0"/>
    <n v="0"/>
  </r>
  <r>
    <s v="مرجعيون"/>
    <x v="11"/>
    <s v="النبطية"/>
    <n v="71347"/>
    <n v="3694"/>
    <n v="0"/>
    <n v="3.8211394360175177E-2"/>
    <n v="0"/>
    <n v="0"/>
  </r>
  <r>
    <s v="بعلبك"/>
    <x v="3"/>
    <s v="بعلبك والهرمل"/>
    <n v="71361"/>
    <n v="12338"/>
    <n v="22"/>
    <n v="3.1040816326530551E-2"/>
    <n v="1.7831090938563786E-3"/>
    <n v="5.5349161872562177E-5"/>
  </r>
  <r>
    <s v="البقاع الغربي"/>
    <x v="17"/>
    <s v="البقاع"/>
    <n v="71394"/>
    <n v="2563"/>
    <n v="0"/>
    <n v="4.9754462290558243E-2"/>
    <n v="0"/>
    <n v="0"/>
  </r>
  <r>
    <s v="بنت جبيل"/>
    <x v="18"/>
    <s v="النبطية"/>
    <n v="72111"/>
    <n v="9375"/>
    <n v="0"/>
    <n v="4.6903645403872485E-2"/>
    <n v="0"/>
    <n v="0"/>
  </r>
  <r>
    <s v="بنت جبيل"/>
    <x v="18"/>
    <s v="النبطية"/>
    <n v="72127"/>
    <n v="335"/>
    <n v="0"/>
    <n v="3.562792418129257E-2"/>
    <n v="0"/>
    <n v="0"/>
  </r>
  <r>
    <s v="بنت جبيل"/>
    <x v="18"/>
    <s v="النبطية"/>
    <n v="72143"/>
    <n v="2393"/>
    <n v="18"/>
    <n v="0.36270381357377135"/>
    <n v="7.5219389887170914E-3"/>
    <n v="2.7282359566769259E-3"/>
  </r>
  <r>
    <s v="بنت جبيل"/>
    <x v="18"/>
    <s v="النبطية"/>
    <n v="72151"/>
    <n v="4069"/>
    <n v="0"/>
    <n v="3.3959449738725112E-2"/>
    <n v="0"/>
    <n v="0"/>
  </r>
  <r>
    <s v="بنت جبيل"/>
    <x v="18"/>
    <s v="النبطية"/>
    <n v="72159"/>
    <n v="2346"/>
    <n v="0"/>
    <n v="0.35506604237237116"/>
    <n v="0"/>
    <n v="0"/>
  </r>
  <r>
    <s v="بنت جبيل"/>
    <x v="18"/>
    <s v="النبطية"/>
    <n v="72167"/>
    <n v="4406"/>
    <n v="63"/>
    <n v="0.15710004794785892"/>
    <n v="1.4298683613254653E-2"/>
    <n v="2.2463238812335706E-3"/>
  </r>
  <r>
    <s v="بنت جبيل"/>
    <x v="18"/>
    <s v="النبطية"/>
    <n v="72183"/>
    <n v="2848"/>
    <n v="0"/>
    <n v="3.4391487207386384E-2"/>
    <n v="0"/>
    <n v="0"/>
  </r>
  <r>
    <s v="بنت جبيل"/>
    <x v="18"/>
    <s v="النبطية"/>
    <n v="72191"/>
    <n v="1069"/>
    <n v="0"/>
    <n v="6.7573205403025693E-2"/>
    <n v="0"/>
    <n v="0"/>
  </r>
  <r>
    <s v="بنت جبيل"/>
    <x v="18"/>
    <s v="النبطية"/>
    <n v="72211"/>
    <n v="3340"/>
    <n v="0"/>
    <n v="0.20535555295360886"/>
    <n v="0"/>
    <n v="0"/>
  </r>
  <r>
    <s v="بنت جبيل"/>
    <x v="18"/>
    <s v="النبطية"/>
    <n v="72214"/>
    <n v="750"/>
    <n v="0"/>
    <n v="6.6217892406188805E-2"/>
    <n v="0"/>
    <n v="0"/>
  </r>
  <r>
    <s v="بنت جبيل"/>
    <x v="18"/>
    <s v="النبطية"/>
    <n v="72217"/>
    <n v="919"/>
    <n v="0"/>
    <n v="0.4785761047097491"/>
    <n v="0"/>
    <n v="0"/>
  </r>
  <r>
    <s v="بنت جبيل"/>
    <x v="18"/>
    <s v="النبطية"/>
    <n v="72221"/>
    <n v="1456"/>
    <n v="0"/>
    <n v="3.999225648650595E-2"/>
    <n v="0"/>
    <n v="0"/>
  </r>
  <r>
    <s v="بنت جبيل"/>
    <x v="18"/>
    <s v="النبطية"/>
    <n v="72224"/>
    <n v="888"/>
    <n v="0"/>
    <n v="4.2890403660952203E-2"/>
    <n v="0"/>
    <n v="0"/>
  </r>
  <r>
    <s v="بنت جبيل"/>
    <x v="18"/>
    <s v="النبطية"/>
    <n v="72227"/>
    <n v="1442"/>
    <n v="0"/>
    <n v="0.13697062452076048"/>
    <n v="0"/>
    <n v="0"/>
  </r>
  <r>
    <s v="بنت جبيل"/>
    <x v="18"/>
    <s v="النبطية"/>
    <n v="72229"/>
    <n v="4390"/>
    <n v="0"/>
    <n v="3.4488895668688402E-2"/>
    <n v="0"/>
    <n v="0"/>
  </r>
  <r>
    <s v="بنت جبيل"/>
    <x v="18"/>
    <s v="النبطية"/>
    <n v="72231"/>
    <n v="2145"/>
    <n v="0"/>
    <n v="5.1743993392362575E-2"/>
    <n v="0"/>
    <n v="0"/>
  </r>
  <r>
    <s v="بنت جبيل"/>
    <x v="18"/>
    <s v="النبطية"/>
    <n v="72234"/>
    <n v="1748"/>
    <n v="0"/>
    <n v="5.3277803379150002E-2"/>
    <n v="0"/>
    <n v="0"/>
  </r>
  <r>
    <s v="بنت جبيل"/>
    <x v="18"/>
    <s v="النبطية"/>
    <n v="72237"/>
    <n v="320"/>
    <n v="0"/>
    <n v="4.6879737674607624E-2"/>
    <n v="0"/>
    <n v="0"/>
  </r>
  <r>
    <s v="بنت جبيل"/>
    <x v="18"/>
    <s v="النبطية"/>
    <n v="72241"/>
    <n v="3538"/>
    <n v="0"/>
    <n v="2.9950855240392982E-2"/>
    <n v="0"/>
    <n v="0"/>
  </r>
  <r>
    <s v="بنت جبيل"/>
    <x v="18"/>
    <s v="النبطية"/>
    <n v="72244"/>
    <n v="2053"/>
    <n v="0"/>
    <n v="4.7196158692526025E-2"/>
    <n v="0"/>
    <n v="0"/>
  </r>
  <r>
    <s v="بنت جبيل"/>
    <x v="18"/>
    <s v="النبطية"/>
    <n v="72247"/>
    <n v="2416"/>
    <n v="0"/>
    <n v="8.3190379467444453E-2"/>
    <n v="0"/>
    <n v="0"/>
  </r>
  <r>
    <s v="بنت جبيل"/>
    <x v="18"/>
    <s v="النبطية"/>
    <n v="72251"/>
    <n v="434"/>
    <n v="0"/>
    <n v="4.790020639153203E-2"/>
    <n v="0"/>
    <n v="0"/>
  </r>
  <r>
    <s v="بنت جبيل"/>
    <x v="18"/>
    <s v="النبطية"/>
    <n v="72254"/>
    <n v="450"/>
    <n v="0"/>
    <n v="4.5172524648402046E-2"/>
    <n v="0"/>
    <n v="0"/>
  </r>
  <r>
    <s v="بنت جبيل"/>
    <x v="18"/>
    <s v="النبطية"/>
    <n v="72257"/>
    <n v="1466"/>
    <n v="0"/>
    <n v="3.5882729374849043E-2"/>
    <n v="0"/>
    <n v="0"/>
  </r>
  <r>
    <s v="بنت جبيل"/>
    <x v="18"/>
    <s v="النبطية"/>
    <n v="72261"/>
    <n v="775"/>
    <n v="0"/>
    <n v="3.5618377122949574E-2"/>
    <n v="0"/>
    <n v="0"/>
  </r>
  <r>
    <s v="بنت جبيل"/>
    <x v="18"/>
    <s v="النبطية"/>
    <n v="72264"/>
    <n v="812"/>
    <n v="0"/>
    <n v="5.5608888888889152E-2"/>
    <n v="0"/>
    <n v="0"/>
  </r>
  <r>
    <s v="بنت جبيل"/>
    <x v="18"/>
    <s v="النبطية"/>
    <n v="72267"/>
    <n v="79"/>
    <n v="0"/>
    <n v="3.2351774356611851E-2"/>
    <n v="0"/>
    <n v="0"/>
  </r>
  <r>
    <s v="بنت جبيل"/>
    <x v="18"/>
    <s v="النبطية"/>
    <n v="72271"/>
    <n v="41"/>
    <n v="0"/>
    <n v="4.4202094906432232E-2"/>
    <n v="0"/>
    <n v="0"/>
  </r>
  <r>
    <s v="بنت جبيل"/>
    <x v="18"/>
    <s v="النبطية"/>
    <n v="72274"/>
    <n v="650"/>
    <n v="0"/>
    <n v="8.0929403641842868E-2"/>
    <n v="0"/>
    <n v="0"/>
  </r>
  <r>
    <s v="بنت جبيل"/>
    <x v="18"/>
    <s v="النبطية"/>
    <n v="72276"/>
    <n v="820"/>
    <n v="0"/>
    <n v="3.7178140264932935E-2"/>
    <n v="0"/>
    <n v="0"/>
  </r>
  <r>
    <s v="بنت جبيل"/>
    <x v="18"/>
    <s v="النبطية"/>
    <n v="72277"/>
    <n v="1687"/>
    <n v="0"/>
    <n v="2.870911706132584E-2"/>
    <n v="0"/>
    <n v="0"/>
  </r>
  <r>
    <s v="بنت جبيل"/>
    <x v="18"/>
    <s v="النبطية"/>
    <n v="72281"/>
    <n v="1454"/>
    <n v="20"/>
    <n v="0.15662845321618235"/>
    <n v="1.3755158184319119E-2"/>
    <n v="2.1544491501538149E-3"/>
  </r>
  <r>
    <s v="بنت جبيل"/>
    <x v="18"/>
    <s v="النبطية"/>
    <n v="72284"/>
    <n v="41"/>
    <n v="0"/>
    <n v="5.1953515153321805E-2"/>
    <n v="0"/>
    <n v="0"/>
  </r>
  <r>
    <s v="بنت جبيل"/>
    <x v="18"/>
    <s v="النبطية"/>
    <n v="72287"/>
    <n v="1879"/>
    <n v="0"/>
    <n v="4.7482728277947084E-2"/>
    <n v="0"/>
    <n v="0"/>
  </r>
  <r>
    <s v="بنت جبيل"/>
    <x v="18"/>
    <s v="النبطية"/>
    <n v="72291"/>
    <n v="565"/>
    <n v="0"/>
    <n v="0.1616677805488993"/>
    <n v="0"/>
    <n v="0"/>
  </r>
  <r>
    <s v="مرجعيون"/>
    <x v="11"/>
    <s v="النبطية"/>
    <n v="73116"/>
    <n v="67"/>
    <n v="27"/>
    <n v="0.43322268509334561"/>
    <n v="0.40298507462686567"/>
    <n v="0.17458227608239302"/>
  </r>
  <r>
    <s v="مرجعيون"/>
    <x v="11"/>
    <s v="النبطية"/>
    <n v="73119"/>
    <n v="686"/>
    <n v="0"/>
    <n v="0.24130088913005687"/>
    <n v="0"/>
    <n v="0"/>
  </r>
  <r>
    <s v="مرجعيون"/>
    <x v="11"/>
    <s v="النبطية"/>
    <n v="73127"/>
    <n v="2354"/>
    <n v="50"/>
    <n v="0.69986325325257615"/>
    <n v="2.1240441801189464E-2"/>
    <n v="1.4865404699502467E-2"/>
  </r>
  <r>
    <s v="مرجعيون"/>
    <x v="11"/>
    <s v="النبطية"/>
    <n v="73146"/>
    <n v="423"/>
    <n v="0"/>
    <n v="0.64466667444601322"/>
    <n v="0"/>
    <n v="0"/>
  </r>
  <r>
    <s v="مرجعيون"/>
    <x v="11"/>
    <s v="النبطية"/>
    <n v="73151"/>
    <n v="1970"/>
    <n v="257"/>
    <n v="0.15621667530250405"/>
    <n v="0.13045685279187819"/>
    <n v="2.0379535813575402E-2"/>
  </r>
  <r>
    <s v="مرجعيون"/>
    <x v="11"/>
    <s v="النبطية"/>
    <n v="73159"/>
    <n v="4115"/>
    <n v="0"/>
    <n v="0.15583613278870645"/>
    <n v="0"/>
    <n v="0"/>
  </r>
  <r>
    <s v="مرجعيون"/>
    <x v="11"/>
    <s v="النبطية"/>
    <n v="73167"/>
    <n v="597"/>
    <n v="4"/>
    <n v="0.73516103273888744"/>
    <n v="6.7001675041876048E-3"/>
    <n v="4.9257020619020934E-3"/>
  </r>
  <r>
    <s v="مرجعيون"/>
    <x v="11"/>
    <s v="النبطية"/>
    <n v="73175"/>
    <n v="228"/>
    <n v="0"/>
    <n v="0.48953871303616414"/>
    <n v="0"/>
    <n v="0"/>
  </r>
  <r>
    <s v="مرجعيون"/>
    <x v="11"/>
    <s v="النبطية"/>
    <n v="73211"/>
    <n v="1129"/>
    <n v="0"/>
    <n v="5.9106853460580866E-2"/>
    <n v="0"/>
    <n v="0"/>
  </r>
  <r>
    <s v="مرجعيون"/>
    <x v="11"/>
    <s v="النبطية"/>
    <n v="73226"/>
    <n v="120"/>
    <n v="0"/>
    <n v="3.0872989680075236E-2"/>
    <n v="0"/>
    <n v="0"/>
  </r>
  <r>
    <s v="مرجعيون"/>
    <x v="11"/>
    <s v="النبطية"/>
    <n v="73228"/>
    <n v="2449"/>
    <n v="0"/>
    <n v="5.1709167850729876E-2"/>
    <n v="0"/>
    <n v="0"/>
  </r>
  <r>
    <s v="مرجعيون"/>
    <x v="11"/>
    <s v="النبطية"/>
    <n v="73230"/>
    <n v="339"/>
    <n v="0"/>
    <n v="4.0170743059691039E-2"/>
    <n v="0"/>
    <n v="0"/>
  </r>
  <r>
    <s v="مرجعيون"/>
    <x v="11"/>
    <s v="النبطية"/>
    <n v="73234"/>
    <n v="1733"/>
    <n v="0"/>
    <n v="3.0036307672330342E-2"/>
    <n v="0"/>
    <n v="0"/>
  </r>
  <r>
    <s v="مرجعيون"/>
    <x v="11"/>
    <s v="النبطية"/>
    <n v="73244"/>
    <n v="283"/>
    <n v="0"/>
    <n v="3.4056255839879812E-2"/>
    <n v="0"/>
    <n v="0"/>
  </r>
  <r>
    <s v="مرجعيون"/>
    <x v="11"/>
    <s v="النبطية"/>
    <n v="73245"/>
    <n v="843"/>
    <n v="0"/>
    <n v="3.6387093028519502E-2"/>
    <n v="0"/>
    <n v="0"/>
  </r>
  <r>
    <s v="مرجعيون"/>
    <x v="11"/>
    <s v="النبطية"/>
    <n v="73248"/>
    <n v="325"/>
    <n v="0"/>
    <n v="4.5405840600043934E-2"/>
    <n v="0"/>
    <n v="0"/>
  </r>
  <r>
    <s v="مرجعيون"/>
    <x v="11"/>
    <s v="النبطية"/>
    <n v="73250"/>
    <n v="1782"/>
    <n v="0"/>
    <n v="3.907134763318354E-2"/>
    <n v="0"/>
    <n v="0"/>
  </r>
  <r>
    <s v="مرجعيون"/>
    <x v="11"/>
    <s v="النبطية"/>
    <n v="73257"/>
    <n v="293"/>
    <n v="0"/>
    <n v="6.6153263476833812E-2"/>
    <n v="0"/>
    <n v="0"/>
  </r>
  <r>
    <s v="مرجعيون"/>
    <x v="11"/>
    <s v="النبطية"/>
    <n v="73262"/>
    <n v="1109"/>
    <n v="0"/>
    <n v="3.9082384654542279E-2"/>
    <n v="0"/>
    <n v="0"/>
  </r>
  <r>
    <s v="عكار"/>
    <x v="4"/>
    <s v="عكار"/>
    <n v="35135"/>
    <n v="759"/>
    <n v="63"/>
    <n v="0.54985581512625381"/>
    <n v="8.3003952569169967E-2"/>
    <n v="4.5640205998621862E-2"/>
  </r>
  <r>
    <s v="مرجعيون"/>
    <x v="11"/>
    <s v="النبطية"/>
    <n v="73276"/>
    <n v="68"/>
    <n v="0"/>
    <n v="4.0369916056135269E-2"/>
    <n v="0"/>
    <n v="0"/>
  </r>
  <r>
    <s v="مرجعيون"/>
    <x v="11"/>
    <s v="النبطية"/>
    <n v="73279"/>
    <n v="2356"/>
    <n v="0"/>
    <n v="3.7328020490848601E-2"/>
    <n v="0"/>
    <n v="0"/>
  </r>
  <r>
    <s v="مرجعيون"/>
    <x v="11"/>
    <s v="النبطية"/>
    <n v="73282"/>
    <n v="1643"/>
    <n v="0"/>
    <n v="2.1390528046876134E-2"/>
    <n v="0"/>
    <n v="0"/>
  </r>
  <r>
    <s v="مرجعيون"/>
    <x v="11"/>
    <s v="النبطية"/>
    <n v="73288"/>
    <n v="855"/>
    <n v="0"/>
    <n v="3.5005816059953232E-2"/>
    <n v="0"/>
    <n v="0"/>
  </r>
  <r>
    <s v="مرجعيون"/>
    <x v="11"/>
    <s v="النبطية"/>
    <n v="73293"/>
    <n v="12"/>
    <n v="0"/>
    <n v="0.17999999999999994"/>
    <n v="0"/>
    <n v="0"/>
  </r>
  <r>
    <s v="حاصبيا"/>
    <x v="5"/>
    <s v="النبطية"/>
    <n v="74112"/>
    <n v="66"/>
    <n v="45"/>
    <n v="0.48379766012961878"/>
    <n v="0.68181818181818177"/>
    <n v="0.3298620409974673"/>
  </r>
  <r>
    <s v="حاصبيا"/>
    <x v="5"/>
    <s v="النبطية"/>
    <n v="74114"/>
    <n v="904"/>
    <n v="36"/>
    <n v="7.056187610472775E-3"/>
    <n v="3.9823008849557522E-2"/>
    <n v="2.8099862165599548E-4"/>
  </r>
  <r>
    <s v="حاصبيا"/>
    <x v="5"/>
    <s v="النبطية"/>
    <n v="74116"/>
    <n v="673"/>
    <n v="0"/>
    <n v="0.15653748486057395"/>
    <n v="0"/>
    <n v="0"/>
  </r>
  <r>
    <s v="حاصبيا"/>
    <x v="5"/>
    <s v="النبطية"/>
    <n v="74118"/>
    <n v="602"/>
    <n v="0"/>
    <n v="0.67676012549779041"/>
    <n v="0"/>
    <n v="0"/>
  </r>
  <r>
    <s v="حاصبيا"/>
    <x v="5"/>
    <s v="النبطية"/>
    <n v="74122"/>
    <n v="1742"/>
    <n v="185"/>
    <n v="8.0909898603630293E-2"/>
    <n v="0.10619977037887486"/>
    <n v="8.5926126530835849E-3"/>
  </r>
  <r>
    <s v="حاصبيا"/>
    <x v="5"/>
    <s v="النبطية"/>
    <n v="74126"/>
    <n v="1856"/>
    <n v="48"/>
    <n v="0.13878296835873538"/>
    <n v="2.5862068965517241E-2"/>
    <n v="3.5892146989328117E-3"/>
  </r>
  <r>
    <s v="حاصبيا"/>
    <x v="5"/>
    <s v="النبطية"/>
    <n v="74128"/>
    <n v="1144"/>
    <n v="117"/>
    <n v="0.25985248528717841"/>
    <n v="0.10227272727272728"/>
    <n v="2.6575822358915976E-2"/>
  </r>
  <r>
    <s v="حاصبيا"/>
    <x v="5"/>
    <s v="النبطية"/>
    <n v="74130"/>
    <n v="4959"/>
    <n v="0"/>
    <n v="0.12463945494676876"/>
    <n v="0"/>
    <n v="0"/>
  </r>
  <r>
    <s v="حاصبيا"/>
    <x v="5"/>
    <s v="النبطية"/>
    <n v="74155"/>
    <n v="112"/>
    <n v="0"/>
    <n v="0"/>
    <n v="0"/>
    <n v="0"/>
  </r>
  <r>
    <s v="حاصبيا"/>
    <x v="5"/>
    <s v="النبطية"/>
    <n v="74158"/>
    <n v="1074"/>
    <n v="0"/>
    <n v="0.26849079287926803"/>
    <n v="0"/>
    <n v="0"/>
  </r>
  <r>
    <s v="حاصبيا"/>
    <x v="5"/>
    <s v="النبطية"/>
    <n v="74160"/>
    <n v="1565"/>
    <n v="0"/>
    <n v="0.10535488025343909"/>
    <n v="0"/>
    <n v="0"/>
  </r>
  <r>
    <s v="حاصبيا"/>
    <x v="5"/>
    <s v="النبطية"/>
    <n v="74168"/>
    <n v="883"/>
    <n v="10"/>
    <n v="7.9355726136116633E-3"/>
    <n v="1.1325028312570781E-2"/>
    <n v="8.9870584525613396E-5"/>
  </r>
  <r>
    <s v="حاصبيا"/>
    <x v="5"/>
    <s v="النبطية"/>
    <n v="74175"/>
    <n v="1301"/>
    <n v="180"/>
    <n v="0.5736203840408669"/>
    <n v="0.13835511145272866"/>
    <n v="7.9363312165531164E-2"/>
  </r>
  <r>
    <s v="حاصبيا"/>
    <x v="5"/>
    <s v="النبطية"/>
    <n v="74177"/>
    <n v="74"/>
    <n v="0"/>
    <n v="1.724007561436669E-2"/>
    <n v="0"/>
    <n v="0"/>
  </r>
  <r>
    <s v="حاصبيا"/>
    <x v="5"/>
    <s v="النبطية"/>
    <n v="74179"/>
    <n v="11"/>
    <n v="0"/>
    <n v="8.3312164473572592E-2"/>
    <n v="0"/>
    <n v="0"/>
  </r>
  <r>
    <s v="El Meten"/>
    <x v="19"/>
    <s v="Mount Lebanon"/>
    <n v="22111"/>
    <n v="101213"/>
    <n v="4238"/>
    <n v="0.72392924426466365"/>
    <n v="4.18720915297442E-2"/>
    <n v="3.0312431576908543E-2"/>
  </r>
  <r>
    <s v="El Minieh-Dennie"/>
    <x v="20"/>
    <s v="North"/>
    <n v="37271"/>
    <n v="31818"/>
    <n v="1600"/>
    <n v="0.16190388194377814"/>
    <n v="5.0286001634295051E-2"/>
    <n v="8.1414988720235407E-3"/>
  </r>
  <r>
    <s v="Chouf"/>
    <x v="21"/>
    <s v="Mount Lebanon"/>
    <n v="23251"/>
    <n v="23223"/>
    <n v="17145"/>
    <n v="5.6244943718160689E-2"/>
    <n v="0.73827670843560267"/>
    <n v="4.1524331914389402E-2"/>
  </r>
  <r>
    <s v="Chouf"/>
    <x v="21"/>
    <s v="Mount Lebanon"/>
    <n v="23141"/>
    <n v="17065"/>
    <n v="10950"/>
    <n v="7.7090347511454493E-2"/>
    <n v="0.64166422502197484"/>
    <n v="4.9466118092612171E-2"/>
  </r>
  <r>
    <s v="El Meten"/>
    <x v="19"/>
    <s v="Mount Lebanon"/>
    <n v="22228"/>
    <n v="67773"/>
    <n v="427"/>
    <n v="0.81932565009718106"/>
    <n v="6.300444129668157E-3"/>
    <n v="5.1621154824413309E-3"/>
  </r>
  <r>
    <s v="Chouf"/>
    <x v="21"/>
    <s v="Mount Lebanon"/>
    <n v="23211"/>
    <n v="24657"/>
    <n v="8284"/>
    <n v="6.6710799524541509E-2"/>
    <n v="0.33596950156142275"/>
    <n v="2.2412794065024208E-2"/>
  </r>
  <r>
    <s v="Chouf"/>
    <x v="21"/>
    <s v="Mount Lebanon"/>
    <n v="23267"/>
    <n v="8928"/>
    <n v="14406"/>
    <n v="0.5313993045176324"/>
    <n v="1.6135752688172043"/>
    <n v="0.85745277563631406"/>
  </r>
  <r>
    <s v="Chouf"/>
    <x v="21"/>
    <s v="Mount Lebanon"/>
    <n v="23271"/>
    <n v="4748"/>
    <n v="3915"/>
    <n v="0.47461374217312557"/>
    <n v="0.8245577085088458"/>
    <n v="0.39134641967308059"/>
  </r>
  <r>
    <s v="Chouf"/>
    <x v="21"/>
    <s v="Mount Lebanon"/>
    <n v="23111"/>
    <n v="5471"/>
    <n v="662"/>
    <n v="0.26056557215787601"/>
    <n v="0.1210016450374703"/>
    <n v="3.1528862871232667E-2"/>
  </r>
  <r>
    <s v="El Meten"/>
    <x v="19"/>
    <s v="Mount Lebanon"/>
    <n v="22262"/>
    <n v="26757"/>
    <n v="1443"/>
    <n v="0.76725867808966774"/>
    <n v="5.3929812759277947E-2"/>
    <n v="4.1378116847306891E-2"/>
  </r>
  <r>
    <s v="El Meten"/>
    <x v="19"/>
    <s v="Mount Lebanon"/>
    <n v="22155"/>
    <n v="38488"/>
    <n v="90"/>
    <n v="0.5527455506169825"/>
    <n v="2.3383911868634379E-3"/>
    <n v="1.2925353241407301E-3"/>
  </r>
  <r>
    <s v="El Batroun"/>
    <x v="22"/>
    <s v="North"/>
    <n v="34188"/>
    <n v="12273"/>
    <n v="100"/>
    <n v="0.58636827664329882"/>
    <n v="8.1479670822129872E-3"/>
    <n v="4.7777094161435569E-3"/>
  </r>
  <r>
    <s v="El Meten"/>
    <x v="19"/>
    <s v="Mount Lebanon"/>
    <n v="22419"/>
    <n v="12788"/>
    <n v="1399"/>
    <n v="0.5765196460069667"/>
    <n v="0.1093994369721614"/>
    <n v="6.3070924676551954E-2"/>
  </r>
  <r>
    <s v="El Koura"/>
    <x v="23"/>
    <s v="North"/>
    <n v="32119"/>
    <n v="4804"/>
    <n v="8"/>
    <n v="0.2075497131564118"/>
    <n v="1.6652789342214821E-3"/>
    <n v="3.4562816512308378E-4"/>
  </r>
  <r>
    <s v="El Batroun"/>
    <x v="22"/>
    <s v="North"/>
    <n v="34111"/>
    <n v="4474"/>
    <n v="2023"/>
    <n v="0.57111121447458579"/>
    <n v="0.45216808225301741"/>
    <n v="0.2582382626021652"/>
  </r>
  <r>
    <s v="El Nabatieh"/>
    <x v="24"/>
    <s v="El Nabatieh"/>
    <n v="71111"/>
    <n v="31285"/>
    <n v="0"/>
    <n v="6.5879757097429881E-2"/>
    <n v="0"/>
    <n v="0"/>
  </r>
  <r>
    <s v="El Meten"/>
    <x v="19"/>
    <s v="Mount Lebanon"/>
    <n v="22211"/>
    <n v="17313"/>
    <n v="2475"/>
    <n v="4.9668646199906075E-2"/>
    <n v="0.14295616011089932"/>
    <n v="7.1004389386453834E-3"/>
  </r>
  <r>
    <s v="El Minieh-Dennie"/>
    <x v="20"/>
    <s v="North"/>
    <n v="37311"/>
    <n v="6287"/>
    <n v="400"/>
    <n v="0.30629391873608303"/>
    <n v="6.3623349769365359E-2"/>
    <n v="1.9487445123975381E-2"/>
  </r>
  <r>
    <s v="El Koura"/>
    <x v="23"/>
    <s v="North"/>
    <n v="32185"/>
    <n v="7850"/>
    <n v="250"/>
    <n v="0.5675025732771295"/>
    <n v="3.1847133757961783E-2"/>
    <n v="1.8073330359144251E-2"/>
  </r>
  <r>
    <s v="Chouf"/>
    <x v="21"/>
    <s v="Mount Lebanon"/>
    <n v="23321"/>
    <n v="5440"/>
    <n v="270"/>
    <n v="0.44028924711140338"/>
    <n v="4.9632352941176468E-2"/>
    <n v="2.1852591308838033E-2"/>
  </r>
  <r>
    <s v="El Nabatieh"/>
    <x v="24"/>
    <s v="El Nabatieh"/>
    <n v="71155"/>
    <n v="12482"/>
    <n v="112"/>
    <n v="8.1251291074497467E-2"/>
    <n v="8.9729210062489979E-3"/>
    <n v="7.2906141646721003E-4"/>
  </r>
  <r>
    <s v="El Nabatieh"/>
    <x v="24"/>
    <s v="El Nabatieh"/>
    <n v="71324"/>
    <n v="3741"/>
    <n v="0"/>
    <n v="0.53439999999999999"/>
    <n v="0"/>
    <n v="0"/>
  </r>
  <r>
    <s v="El Koura"/>
    <x v="23"/>
    <s v="North"/>
    <n v="32179"/>
    <n v="6594"/>
    <n v="150"/>
    <n v="0.56712363880937966"/>
    <n v="2.2747952684258416E-2"/>
    <n v="1.2900901701760227E-2"/>
  </r>
  <r>
    <s v="El Nabatieh"/>
    <x v="24"/>
    <s v="El Nabatieh"/>
    <n v="71133"/>
    <n v="7826"/>
    <n v="315"/>
    <n v="6.1211284745902095E-2"/>
    <n v="4.0250447227191413E-2"/>
    <n v="2.4637815863735191E-3"/>
  </r>
  <r>
    <s v="El Koura"/>
    <x v="23"/>
    <s v="North"/>
    <n v="32181"/>
    <n v="8681"/>
    <n v="340"/>
    <n v="0.41158961869721244"/>
    <n v="3.9165994701071308E-2"/>
    <n v="1.6120316824910982E-2"/>
  </r>
  <r>
    <s v="Chouf"/>
    <x v="21"/>
    <s v="Mount Lebanon"/>
    <n v="23511"/>
    <n v="11590"/>
    <n v="720"/>
    <n v="8.4097157065115558E-2"/>
    <n v="6.2122519413287315E-2"/>
    <n v="5.2243272723799137E-3"/>
  </r>
  <r>
    <s v="El Minieh-Dennie"/>
    <x v="20"/>
    <s v="North"/>
    <n v="37391"/>
    <n v="10472"/>
    <n v="532"/>
    <n v="1.9559351900525379E-2"/>
    <n v="5.0802139037433157E-2"/>
    <n v="9.9365691473257277E-4"/>
  </r>
  <r>
    <s v="Chouf"/>
    <x v="21"/>
    <s v="Mount Lebanon"/>
    <n v="23231"/>
    <n v="7143"/>
    <n v="1500"/>
    <n v="0.19433366899754567"/>
    <n v="0.20999580008399832"/>
    <n v="4.0809254304398503E-2"/>
  </r>
  <r>
    <s v="El Minieh-Dennie"/>
    <x v="20"/>
    <s v="North"/>
    <n v="37241"/>
    <n v="6243"/>
    <n v="191"/>
    <n v="1.3211084785234584E-2"/>
    <n v="3.0594265577446739E-2"/>
    <n v="4.0418343648563276E-4"/>
  </r>
  <r>
    <s v="El Nabatieh"/>
    <x v="24"/>
    <s v="El Nabatieh"/>
    <n v="71166"/>
    <n v="6156"/>
    <n v="0"/>
    <n v="4.6658172998762404E-2"/>
    <n v="0"/>
    <n v="0"/>
  </r>
  <r>
    <s v="El Nabatieh"/>
    <x v="24"/>
    <s v="El Nabatieh"/>
    <n v="71334"/>
    <n v="11385"/>
    <n v="4"/>
    <n v="5.0757280978916963E-2"/>
    <n v="3.5133948177426441E-4"/>
    <n v="1.7833036795403415E-5"/>
  </r>
  <r>
    <s v="El Meten"/>
    <x v="19"/>
    <s v="Mount Lebanon"/>
    <n v="22754"/>
    <n v="3359"/>
    <n v="670"/>
    <n v="0.66884717978865638"/>
    <n v="0.19946412622804405"/>
    <n v="0.13341101829663582"/>
  </r>
  <r>
    <s v="El Nabatieh"/>
    <x v="24"/>
    <s v="El Nabatieh"/>
    <n v="71113"/>
    <n v="8161"/>
    <n v="0"/>
    <n v="0.17089337481854461"/>
    <n v="0"/>
    <n v="0"/>
  </r>
  <r>
    <s v="El Meten"/>
    <x v="19"/>
    <s v="Mount Lebanon"/>
    <n v="22311"/>
    <n v="14804"/>
    <n v="566"/>
    <n v="0.77209716580525867"/>
    <n v="3.8232910024317751E-2"/>
    <n v="2.95195214702632E-2"/>
  </r>
  <r>
    <s v="El Meten"/>
    <x v="19"/>
    <s v="Mount Lebanon"/>
    <n v="22511"/>
    <n v="3945"/>
    <n v="23"/>
    <n v="0.47951078238712674"/>
    <n v="5.8301647655259825E-3"/>
    <n v="2.7956268681632234E-3"/>
  </r>
  <r>
    <s v="El Nabatieh"/>
    <x v="24"/>
    <s v="El Nabatieh"/>
    <n v="71311"/>
    <n v="8690"/>
    <n v="144"/>
    <n v="9.7638683185543584E-2"/>
    <n v="1.6570771001150748E-2"/>
    <n v="1.6179482599215508E-3"/>
  </r>
  <r>
    <s v="El Meten"/>
    <x v="19"/>
    <s v="Mount Lebanon"/>
    <n v="22611"/>
    <n v="8762"/>
    <n v="332"/>
    <n v="0.75943801174625036"/>
    <n v="3.7890892490299019E-2"/>
    <n v="2.8775784056123615E-2"/>
  </r>
  <r>
    <s v="El Batroun"/>
    <x v="22"/>
    <s v="North"/>
    <n v="34155"/>
    <n v="1923"/>
    <n v="257"/>
    <n v="0.41922272343795741"/>
    <n v="0.13364534581383256"/>
    <n v="5.6027165846882505E-2"/>
  </r>
  <r>
    <s v="El Koura"/>
    <x v="23"/>
    <s v="North"/>
    <n v="32111"/>
    <n v="7172"/>
    <n v="200"/>
    <n v="0.24897695237729567"/>
    <n v="2.7886224205242609E-2"/>
    <n v="6.9430271159312785E-3"/>
  </r>
  <r>
    <s v="El Meten"/>
    <x v="19"/>
    <s v="Mount Lebanon"/>
    <n v="22659"/>
    <n v="6269"/>
    <n v="279"/>
    <n v="0.56121410080521605"/>
    <n v="4.4504705694688146E-2"/>
    <n v="2.4976668388045187E-2"/>
  </r>
  <r>
    <s v="El Minieh-Dennie"/>
    <x v="20"/>
    <s v="North"/>
    <n v="37381"/>
    <n v="2534"/>
    <n v="327"/>
    <n v="0.16468038094319248"/>
    <n v="0.12904498816101026"/>
    <n v="2.1251177809164933E-2"/>
  </r>
  <r>
    <s v="Chouf"/>
    <x v="21"/>
    <s v="Mount Lebanon"/>
    <n v="23259"/>
    <n v="1786"/>
    <n v="20000"/>
    <n v="0.25289064977941089"/>
    <n v="11.198208286674133"/>
    <n v="2.8319221699822048"/>
  </r>
  <r>
    <s v="El Koura"/>
    <x v="23"/>
    <s v="North"/>
    <n v="32113"/>
    <n v="5161"/>
    <n v="31"/>
    <n v="0.2374997333333333"/>
    <n v="6.0065878705677193E-3"/>
    <n v="1.4265630175030676E-3"/>
  </r>
  <r>
    <s v="El Koura"/>
    <x v="23"/>
    <s v="North"/>
    <n v="32191"/>
    <n v="3154"/>
    <n v="495"/>
    <n v="0.32748716906453335"/>
    <n v="0.15694356372859861"/>
    <n v="5.1397003388377938E-2"/>
  </r>
  <r>
    <s v="El Koura"/>
    <x v="23"/>
    <s v="North"/>
    <n v="32137"/>
    <n v="6422"/>
    <n v="288"/>
    <n v="0.3888734888882498"/>
    <n v="4.4845842416692622E-2"/>
    <n v="1.7439359202711918E-2"/>
  </r>
  <r>
    <s v="El Meten"/>
    <x v="19"/>
    <s v="Mount Lebanon"/>
    <n v="22757"/>
    <n v="3416"/>
    <n v="117"/>
    <n v="0.54032157014710913"/>
    <n v="3.425058548009368E-2"/>
    <n v="1.8506330125061993E-2"/>
  </r>
  <r>
    <s v="Chouf"/>
    <x v="21"/>
    <s v="Mount Lebanon"/>
    <n v="23215"/>
    <n v="5008"/>
    <n v="180"/>
    <n v="8.5060000636611566E-2"/>
    <n v="3.5942492012779555E-2"/>
    <n v="3.0572683934884351E-3"/>
  </r>
  <r>
    <s v="El Minieh-Dennie"/>
    <x v="20"/>
    <s v="North"/>
    <n v="37365"/>
    <n v="3253"/>
    <n v="100"/>
    <n v="0.49228293801939038"/>
    <n v="3.0740854595757761E-2"/>
    <n v="1.5133198217626509E-2"/>
  </r>
  <r>
    <s v="El Meten"/>
    <x v="19"/>
    <s v="Mount Lebanon"/>
    <n v="22375"/>
    <n v="4996"/>
    <n v="459"/>
    <n v="0.4981095080666299"/>
    <n v="9.1873498799039235E-2"/>
    <n v="4.5763063291149549E-2"/>
  </r>
  <r>
    <s v="Chouf"/>
    <x v="21"/>
    <s v="Mount Lebanon"/>
    <n v="23331"/>
    <n v="4413"/>
    <n v="7966"/>
    <n v="0.46838429777372392"/>
    <n v="1.8051212327215047"/>
    <n v="0.84549044098470083"/>
  </r>
  <r>
    <s v="El Meten"/>
    <x v="19"/>
    <s v="Mount Lebanon"/>
    <n v="22327"/>
    <n v="10507"/>
    <n v="270"/>
    <n v="0.63634284689219089"/>
    <n v="2.5697154278100313E-2"/>
    <n v="1.6352200310354194E-2"/>
  </r>
  <r>
    <s v="Chouf"/>
    <x v="21"/>
    <s v="Mount Lebanon"/>
    <n v="23243"/>
    <n v="8466"/>
    <n v="7807"/>
    <n v="0.38253836631518268"/>
    <n v="0.92215922513583748"/>
    <n v="0.35276128346593799"/>
  </r>
  <r>
    <s v="El Nabatieh"/>
    <x v="24"/>
    <s v="El Nabatieh"/>
    <n v="71144"/>
    <n v="1634"/>
    <n v="0"/>
    <n v="4.9391770734968032E-2"/>
    <n v="0"/>
    <n v="0"/>
  </r>
  <r>
    <s v="El Nabatieh"/>
    <x v="24"/>
    <s v="El Nabatieh"/>
    <n v="71281"/>
    <n v="4412"/>
    <n v="315"/>
    <n v="6.2730307266754437E-2"/>
    <n v="7.1396192203082506E-2"/>
    <n v="4.4787050745756229E-3"/>
  </r>
  <r>
    <s v="El Minieh-Dennie"/>
    <x v="20"/>
    <s v="North"/>
    <n v="37377"/>
    <n v="1704"/>
    <n v="170"/>
    <n v="4.0898715443936862E-2"/>
    <n v="9.9765258215962438E-2"/>
    <n v="4.0802709069655317E-3"/>
  </r>
  <r>
    <s v="Chouf"/>
    <x v="21"/>
    <s v="Mount Lebanon"/>
    <n v="23336"/>
    <n v="3998"/>
    <n v="270"/>
    <n v="0.71417256671972518"/>
    <n v="6.7533766883441718E-2"/>
    <n v="4.8230763635399146E-2"/>
  </r>
  <r>
    <s v="El Meten"/>
    <x v="19"/>
    <s v="Mount Lebanon"/>
    <n v="22351"/>
    <n v="14077"/>
    <n v="315"/>
    <n v="0.66043100186519277"/>
    <n v="2.2376926902038786E-2"/>
    <n v="1.4778416252577659E-2"/>
  </r>
  <r>
    <s v="El Meten"/>
    <x v="19"/>
    <s v="Mount Lebanon"/>
    <n v="22475"/>
    <n v="6415"/>
    <n v="180"/>
    <n v="0.33589465656341888"/>
    <n v="2.8059236165237724E-2"/>
    <n v="9.4249474951543875E-3"/>
  </r>
  <r>
    <s v="El Batroun"/>
    <x v="22"/>
    <s v="North"/>
    <n v="34386"/>
    <n v="2529"/>
    <n v="5"/>
    <n v="0.15222820603272891"/>
    <n v="1.9770660340055358E-3"/>
    <n v="3.0096521556490489E-4"/>
  </r>
  <r>
    <s v="El Nabatieh"/>
    <x v="24"/>
    <s v="El Nabatieh"/>
    <n v="71256"/>
    <n v="7429"/>
    <n v="0"/>
    <n v="4.8508188698873633E-2"/>
    <n v="0"/>
    <n v="0"/>
  </r>
  <r>
    <s v="Bcharre"/>
    <x v="25"/>
    <s v="North"/>
    <n v="36111"/>
    <n v="1042"/>
    <n v="237"/>
    <n v="0.12422759932375305"/>
    <n v="0.22744721689059502"/>
    <n v="2.8255221727187595E-2"/>
  </r>
  <r>
    <s v="El Minieh-Dennie"/>
    <x v="20"/>
    <s v="North"/>
    <n v="37317"/>
    <n v="2670"/>
    <n v="293"/>
    <n v="6.3809079446156547E-3"/>
    <n v="0.1097378277153558"/>
    <n v="7.002269766937778E-4"/>
  </r>
  <r>
    <s v="El Meten"/>
    <x v="19"/>
    <s v="Mount Lebanon"/>
    <n v="22667"/>
    <n v="10486"/>
    <n v="450"/>
    <n v="0.61326891122053118"/>
    <n v="4.2914362006484838E-2"/>
    <n v="2.6318044063440686E-2"/>
  </r>
  <r>
    <s v="El Meten"/>
    <x v="19"/>
    <s v="Mount Lebanon"/>
    <n v="22797"/>
    <n v="4396"/>
    <n v="164"/>
    <n v="0.56176565322727456"/>
    <n v="3.7306642402183801E-2"/>
    <n v="2.0957590338779121E-2"/>
  </r>
  <r>
    <s v="Chouf"/>
    <x v="21"/>
    <s v="Mount Lebanon"/>
    <n v="23439"/>
    <n v="3461"/>
    <n v="600"/>
    <n v="3.5855898622355387E-2"/>
    <n v="0.17336030049118753"/>
    <n v="6.2159893595530868E-3"/>
  </r>
  <r>
    <s v="El Minieh-Dennie"/>
    <x v="20"/>
    <s v="North"/>
    <n v="37363"/>
    <n v="1929"/>
    <n v="90"/>
    <n v="9.2647290457744336E-2"/>
    <n v="4.6656298600311043E-2"/>
    <n v="4.3225796481062674E-3"/>
  </r>
  <r>
    <s v="El Koura"/>
    <x v="23"/>
    <s v="North"/>
    <n v="32131"/>
    <n v="2977"/>
    <n v="80"/>
    <n v="0.16701896832846208"/>
    <n v="2.6872690628149145E-2"/>
    <n v="4.4882490649234014E-3"/>
  </r>
  <r>
    <s v="El Nabatieh"/>
    <x v="24"/>
    <s v="El Nabatieh"/>
    <n v="71397"/>
    <n v="4498"/>
    <n v="0"/>
    <n v="3.398874251605899E-2"/>
    <n v="0"/>
    <n v="0"/>
  </r>
  <r>
    <s v="Akkar"/>
    <x v="4"/>
    <s v="Akkar"/>
    <n v="35465"/>
    <n v="536"/>
    <n v="0"/>
    <n v="0.2178646921977776"/>
    <n v="0"/>
    <n v="0"/>
  </r>
  <r>
    <s v="Chouf"/>
    <x v="21"/>
    <s v="Mount Lebanon"/>
    <n v="23311"/>
    <n v="1264"/>
    <n v="504"/>
    <n v="0.36354001640528932"/>
    <n v="0.39873417721518989"/>
    <n v="0.14495582932615966"/>
  </r>
  <r>
    <s v="Chouf"/>
    <x v="21"/>
    <s v="Mount Lebanon"/>
    <n v="23341"/>
    <n v="3912"/>
    <n v="1150"/>
    <n v="0.31046033053050937"/>
    <n v="0.29396728016359919"/>
    <n v="9.1265178964745855E-2"/>
  </r>
  <r>
    <s v="El Koura"/>
    <x v="23"/>
    <s v="North"/>
    <n v="32125"/>
    <n v="2128"/>
    <n v="46"/>
    <n v="0.51345211971050986"/>
    <n v="2.1616541353383457E-2"/>
    <n v="1.109905897870463E-2"/>
  </r>
  <r>
    <s v="Chouf"/>
    <x v="21"/>
    <s v="Mount Lebanon"/>
    <n v="23413"/>
    <n v="5893"/>
    <n v="450"/>
    <n v="0.43664980149422916"/>
    <n v="7.6361785168844398E-2"/>
    <n v="3.3343358335720878E-2"/>
  </r>
  <r>
    <s v="Chouf"/>
    <x v="21"/>
    <s v="Mount Lebanon"/>
    <n v="23417"/>
    <n v="4905"/>
    <n v="900"/>
    <n v="3.9810044130706101E-2"/>
    <n v="0.1834862385321101"/>
    <n v="7.3045952533405695E-3"/>
  </r>
  <r>
    <s v="Chouf"/>
    <x v="21"/>
    <s v="Mount Lebanon"/>
    <n v="23239"/>
    <n v="6115"/>
    <n v="770"/>
    <n v="7.2603566036825828E-2"/>
    <n v="0.1259198691741619"/>
    <n v="9.1422315369347317E-3"/>
  </r>
  <r>
    <s v="El Nabatieh"/>
    <x v="24"/>
    <s v="El Nabatieh"/>
    <n v="71331"/>
    <n v="10519"/>
    <n v="22"/>
    <n v="3.7062975778546559E-2"/>
    <n v="2.0914535602243561E-3"/>
    <n v="7.7515492644550282E-5"/>
  </r>
  <r>
    <s v="El Meten"/>
    <x v="19"/>
    <s v="Mount Lebanon"/>
    <n v="22359"/>
    <n v="3774"/>
    <n v="842"/>
    <n v="0.54535201117066778"/>
    <n v="0.22310545839957605"/>
    <n v="0.12167101044136255"/>
  </r>
  <r>
    <s v="El Meten"/>
    <x v="19"/>
    <s v="Mount Lebanon"/>
    <n v="22733"/>
    <n v="1636"/>
    <n v="90"/>
    <n v="0.4067965698971453"/>
    <n v="5.5012224938875302E-2"/>
    <n v="2.2378784407544667E-2"/>
  </r>
  <r>
    <s v="El Meten"/>
    <x v="19"/>
    <s v="Mount Lebanon"/>
    <n v="22427"/>
    <n v="3027"/>
    <n v="90"/>
    <n v="0.54058084652594296"/>
    <n v="2.973240832507433E-2"/>
    <n v="1.6072770461623677E-2"/>
  </r>
  <r>
    <s v="El Nabatieh"/>
    <x v="24"/>
    <s v="El Nabatieh"/>
    <n v="71391"/>
    <n v="7591"/>
    <n v="0"/>
    <n v="3.2744230268021202E-2"/>
    <n v="0"/>
    <n v="0"/>
  </r>
  <r>
    <s v="Chouf"/>
    <x v="21"/>
    <s v="Mount Lebanon"/>
    <n v="23255"/>
    <n v="4920"/>
    <n v="2800"/>
    <n v="8.4663819893819992E-2"/>
    <n v="0.56910569105691056"/>
    <n v="4.8182661728190239E-2"/>
  </r>
  <r>
    <s v="El Minieh-Dennie"/>
    <x v="20"/>
    <s v="North"/>
    <n v="37319"/>
    <n v="3340"/>
    <n v="85"/>
    <n v="1.7802955938848841E-2"/>
    <n v="2.5449101796407185E-2"/>
    <n v="4.5306923796471603E-4"/>
  </r>
  <r>
    <s v="El Koura"/>
    <x v="23"/>
    <s v="North"/>
    <n v="32127"/>
    <n v="1382"/>
    <n v="49"/>
    <n v="0.52761651654969888"/>
    <n v="3.5455861070911719E-2"/>
    <n v="1.8707097909504516E-2"/>
  </r>
  <r>
    <s v="El Nabatieh"/>
    <x v="24"/>
    <s v="El Nabatieh"/>
    <n v="71246"/>
    <n v="4318"/>
    <n v="99"/>
    <n v="5.7491160386995865E-2"/>
    <n v="2.2927281148679944E-2"/>
    <n v="1.3181159977565054E-3"/>
  </r>
  <r>
    <s v="El Meten"/>
    <x v="19"/>
    <s v="Mount Lebanon"/>
    <n v="22423"/>
    <n v="5541"/>
    <n v="600"/>
    <n v="0.58970483118568429"/>
    <n v="0.10828370330265295"/>
    <n v="6.3855422976251686E-2"/>
  </r>
  <r>
    <s v="El Nabatieh"/>
    <x v="24"/>
    <s v="El Nabatieh"/>
    <n v="71381"/>
    <n v="6327"/>
    <n v="22"/>
    <n v="3.8294372702422308E-2"/>
    <n v="3.4771613718982139E-3"/>
    <n v="1.3315571352193626E-4"/>
  </r>
  <r>
    <s v="El Minieh-Dennie"/>
    <x v="20"/>
    <s v="North"/>
    <n v="37313"/>
    <n v="2433"/>
    <n v="135"/>
    <n v="0.46217086620706194"/>
    <n v="5.5487053020961775E-2"/>
    <n v="2.5644499357975078E-2"/>
  </r>
  <r>
    <s v="El Meten"/>
    <x v="19"/>
    <s v="Mount Lebanon"/>
    <n v="22531"/>
    <n v="5120"/>
    <n v="90"/>
    <n v="0.21440334890074153"/>
    <n v="1.7578125E-2"/>
    <n v="3.7688088673958472E-3"/>
  </r>
  <r>
    <s v="El Batroun"/>
    <x v="22"/>
    <s v="North"/>
    <n v="34144"/>
    <n v="10422"/>
    <n v="360"/>
    <n v="0.15102144928342354"/>
    <n v="3.4542314335060449E-2"/>
    <n v="5.2166303724844052E-3"/>
  </r>
  <r>
    <s v="El Koura"/>
    <x v="23"/>
    <s v="North"/>
    <n v="32169"/>
    <n v="1962"/>
    <n v="54"/>
    <n v="3.6037297239547406E-2"/>
    <n v="2.7522935779816515E-2"/>
    <n v="9.9185221760222215E-4"/>
  </r>
  <r>
    <s v="El Koura"/>
    <x v="23"/>
    <s v="North"/>
    <n v="32121"/>
    <n v="1637"/>
    <n v="319"/>
    <n v="0.58610293874153374"/>
    <n v="0.19486866218692731"/>
    <n v="0.11421309557638928"/>
  </r>
  <r>
    <s v="El Batroun"/>
    <x v="22"/>
    <s v="North"/>
    <n v="34269"/>
    <n v="1875"/>
    <n v="540"/>
    <n v="0.14933584154409429"/>
    <n v="0.28799999999999998"/>
    <n v="4.3008722364699152E-2"/>
  </r>
  <r>
    <s v="Chouf"/>
    <x v="21"/>
    <s v="Mount Lebanon"/>
    <n v="23675"/>
    <n v="3043"/>
    <n v="108"/>
    <n v="0.20413921166406912"/>
    <n v="3.5491291488662507E-2"/>
    <n v="7.2451642654352503E-3"/>
  </r>
  <r>
    <s v="El Meten"/>
    <x v="19"/>
    <s v="Mount Lebanon"/>
    <n v="22675"/>
    <n v="2465"/>
    <n v="260"/>
    <n v="0.31069787387492753"/>
    <n v="0.10547667342799188"/>
    <n v="3.2771378177477141E-2"/>
  </r>
  <r>
    <s v="El Meten"/>
    <x v="19"/>
    <s v="Mount Lebanon"/>
    <n v="22335"/>
    <n v="10947"/>
    <n v="279"/>
    <n v="0.66767619604355688"/>
    <n v="2.5486434639627294E-2"/>
    <n v="1.7016685730899091E-2"/>
  </r>
  <r>
    <s v="El Batroun"/>
    <x v="22"/>
    <s v="North"/>
    <n v="34177"/>
    <n v="1368"/>
    <n v="450"/>
    <n v="0.25674436205597606"/>
    <n v="0.32894736842105265"/>
    <n v="8.4455382255255285E-2"/>
  </r>
  <r>
    <s v="Chouf"/>
    <x v="21"/>
    <s v="Mount Lebanon"/>
    <n v="23447"/>
    <n v="2356"/>
    <n v="630"/>
    <n v="6.1296738603812795E-2"/>
    <n v="0.267402376910017"/>
    <n v="1.639089359949154E-2"/>
  </r>
  <r>
    <s v="El Koura"/>
    <x v="23"/>
    <s v="North"/>
    <n v="32171"/>
    <n v="1472"/>
    <n v="250"/>
    <n v="0.23711739577511526"/>
    <n v="0.16983695652173914"/>
    <n v="4.0271296836806261E-2"/>
  </r>
  <r>
    <s v="El Nabatieh"/>
    <x v="24"/>
    <s v="El Nabatieh"/>
    <n v="71344"/>
    <n v="6659"/>
    <n v="0"/>
    <n v="5.7206426876626693E-2"/>
    <n v="0"/>
    <n v="0"/>
  </r>
  <r>
    <s v="El Batroun"/>
    <x v="22"/>
    <s v="North"/>
    <n v="34221"/>
    <n v="879"/>
    <n v="70"/>
    <n v="0.13889979215865444"/>
    <n v="7.9635949943117179E-2"/>
    <n v="1.1061416895455985E-2"/>
  </r>
  <r>
    <s v="El Batroun"/>
    <x v="22"/>
    <s v="North"/>
    <n v="34287"/>
    <n v="2446"/>
    <n v="180"/>
    <n v="0.23945978046674943"/>
    <n v="7.3589533932951756E-2"/>
    <n v="1.7621733640235036E-2"/>
  </r>
  <r>
    <s v="El Meten"/>
    <x v="19"/>
    <s v="Mount Lebanon"/>
    <n v="22447"/>
    <n v="5165"/>
    <n v="76"/>
    <n v="0.43265943877551016"/>
    <n v="1.4714424007744434E-2"/>
    <n v="6.3663344330955997E-3"/>
  </r>
  <r>
    <s v="El Batroun"/>
    <x v="22"/>
    <s v="North"/>
    <n v="34284"/>
    <n v="1645"/>
    <n v="32"/>
    <n v="7.0167900300998065E-2"/>
    <n v="1.9452887537993922E-2"/>
    <n v="1.3649682733324852E-3"/>
  </r>
  <r>
    <s v="El Koura"/>
    <x v="23"/>
    <s v="North"/>
    <n v="32159"/>
    <n v="1644"/>
    <n v="190"/>
    <n v="0.2009475634083786"/>
    <n v="0.11557177615571776"/>
    <n v="2.3223866817270032E-2"/>
  </r>
  <r>
    <s v="El Minieh-Dennie"/>
    <x v="20"/>
    <s v="North"/>
    <n v="37341"/>
    <n v="3393"/>
    <n v="396"/>
    <n v="7.745402399457757E-3"/>
    <n v="0.11671087533156499"/>
    <n v="9.0397269383591858E-4"/>
  </r>
  <r>
    <s v="El Meten"/>
    <x v="19"/>
    <s v="Mount Lebanon"/>
    <n v="22547"/>
    <n v="1419"/>
    <n v="23"/>
    <n v="0.19903649126843548"/>
    <n v="1.620859760394644E-2"/>
    <n v="3.2261023954714696E-3"/>
  </r>
  <r>
    <s v="El Nabatieh"/>
    <x v="24"/>
    <s v="El Nabatieh"/>
    <n v="71327"/>
    <n v="4264"/>
    <n v="22"/>
    <n v="6.4092362397351388E-2"/>
    <n v="5.1594746716697934E-3"/>
    <n v="3.3068292043661598E-4"/>
  </r>
  <r>
    <s v="El Batroun"/>
    <x v="22"/>
    <s v="North"/>
    <n v="34311"/>
    <n v="1839"/>
    <n v="76"/>
    <n v="0.63553213754818283"/>
    <n v="4.1326808047852097E-2"/>
    <n v="2.6264514656694889E-2"/>
  </r>
  <r>
    <s v="El Nabatieh"/>
    <x v="24"/>
    <s v="El Nabatieh"/>
    <n v="71367"/>
    <n v="2931"/>
    <n v="0"/>
    <n v="2.562008038443031E-2"/>
    <n v="0"/>
    <n v="0"/>
  </r>
  <r>
    <s v="Chouf"/>
    <x v="21"/>
    <s v="Mount Lebanon"/>
    <n v="23445"/>
    <n v="2379"/>
    <n v="0"/>
    <n v="0.1571534026586372"/>
    <n v="0"/>
    <n v="0"/>
  </r>
  <r>
    <s v="El Koura"/>
    <x v="23"/>
    <s v="North"/>
    <n v="32117"/>
    <n v="2595"/>
    <n v="127"/>
    <n v="0.35417862360429919"/>
    <n v="4.8940269749518303E-2"/>
    <n v="1.7333597378707512E-2"/>
  </r>
  <r>
    <s v="El Meten"/>
    <x v="19"/>
    <s v="Mount Lebanon"/>
    <n v="22483"/>
    <n v="956"/>
    <n v="23"/>
    <n v="0.14471914518184459"/>
    <n v="2.4058577405857741E-2"/>
    <n v="3.4817367564669724E-3"/>
  </r>
  <r>
    <s v="El Nabatieh"/>
    <x v="24"/>
    <s v="El Nabatieh"/>
    <n v="71337"/>
    <n v="10456"/>
    <n v="0"/>
    <n v="2.5937976832823173E-2"/>
    <n v="0"/>
    <n v="0"/>
  </r>
  <r>
    <s v="El Meten"/>
    <x v="19"/>
    <s v="Mount Lebanon"/>
    <n v="22455"/>
    <n v="8947"/>
    <n v="338"/>
    <n v="0.36744796363206689"/>
    <n v="3.777802615401811E-2"/>
    <n v="1.3881458780332917E-2"/>
  </r>
  <r>
    <s v="Chouf"/>
    <x v="21"/>
    <s v="Mount Lebanon"/>
    <n v="23655"/>
    <n v="4739"/>
    <n v="450"/>
    <n v="0.53477610860102787"/>
    <n v="9.4956741928676938E-2"/>
    <n v="5.0780596934049918E-2"/>
  </r>
  <r>
    <s v="El Meten"/>
    <x v="19"/>
    <s v="Mount Lebanon"/>
    <n v="22619"/>
    <n v="1600"/>
    <n v="50"/>
    <n v="0.49534723853527007"/>
    <n v="3.125E-2"/>
    <n v="1.547960120422719E-2"/>
  </r>
  <r>
    <s v="El Meten"/>
    <x v="19"/>
    <s v="Mount Lebanon"/>
    <n v="22711"/>
    <n v="1642"/>
    <n v="279"/>
    <n v="0.56666239316491795"/>
    <n v="0.16991473812423874"/>
    <n v="9.6284292139471442E-2"/>
  </r>
  <r>
    <s v="Chouf"/>
    <x v="21"/>
    <s v="Mount Lebanon"/>
    <n v="23566"/>
    <n v="3687"/>
    <n v="135"/>
    <n v="0.15119441436045977"/>
    <n v="3.6615134255492267E-2"/>
    <n v="5.5360037804887624E-3"/>
  </r>
  <r>
    <s v="Bcharre"/>
    <x v="25"/>
    <s v="North"/>
    <n v="36171"/>
    <n v="2630"/>
    <n v="33"/>
    <n v="0.12582157182143672"/>
    <n v="1.2547528517110267E-2"/>
    <n v="1.5787497604971147E-3"/>
  </r>
  <r>
    <s v="El Nabatieh"/>
    <x v="24"/>
    <s v="El Nabatieh"/>
    <n v="71351"/>
    <n v="6283"/>
    <n v="0"/>
    <n v="0.4150757915117318"/>
    <n v="0"/>
    <n v="0"/>
  </r>
  <r>
    <s v="Chouf"/>
    <x v="21"/>
    <s v="Mount Lebanon"/>
    <n v="23651"/>
    <n v="3139"/>
    <n v="100"/>
    <n v="0.43916272716940608"/>
    <n v="3.1857279388340237E-2"/>
    <n v="1.3990529696381208E-2"/>
  </r>
  <r>
    <s v="El Nabatieh"/>
    <x v="24"/>
    <s v="El Nabatieh"/>
    <n v="71321"/>
    <n v="3610"/>
    <n v="0"/>
    <n v="4.940850110306727E-2"/>
    <n v="0"/>
    <n v="0"/>
  </r>
  <r>
    <s v="El Koura"/>
    <x v="23"/>
    <s v="North"/>
    <n v="32147"/>
    <n v="1944"/>
    <n v="158"/>
    <n v="0.28657380557505718"/>
    <n v="8.1275720164609058E-2"/>
    <n v="2.3291492428425431E-2"/>
  </r>
  <r>
    <s v="Chouf"/>
    <x v="21"/>
    <s v="Mount Lebanon"/>
    <n v="23463"/>
    <n v="1807"/>
    <n v="297"/>
    <n v="1.3664812380834279E-2"/>
    <n v="0.16436081903707803"/>
    <n v="2.2459597549019262E-3"/>
  </r>
  <r>
    <s v="El Nabatieh"/>
    <x v="24"/>
    <s v="El Nabatieh"/>
    <n v="71261"/>
    <n v="2537"/>
    <n v="63"/>
    <n v="6.6495433789954372E-2"/>
    <n v="2.4832479306267245E-2"/>
    <n v="1.6512464835503058E-3"/>
  </r>
  <r>
    <s v="Chouf"/>
    <x v="21"/>
    <s v="Mount Lebanon"/>
    <n v="23459"/>
    <n v="1772"/>
    <n v="220"/>
    <n v="0.5712420744348049"/>
    <n v="0.12415349887133183"/>
    <n v="7.0921702243598797E-2"/>
  </r>
  <r>
    <s v="Chouf"/>
    <x v="21"/>
    <s v="Mount Lebanon"/>
    <n v="23381"/>
    <n v="1440"/>
    <n v="292"/>
    <n v="0.344756950079111"/>
    <n v="0.20277777777777778"/>
    <n v="6.9909048210486394E-2"/>
  </r>
  <r>
    <s v="El Meten"/>
    <x v="19"/>
    <s v="Mount Lebanon"/>
    <n v="22439"/>
    <n v="2222"/>
    <n v="135"/>
    <n v="0.58888969777367939"/>
    <n v="6.0756075607560758E-2"/>
    <n v="3.5778627002451269E-2"/>
  </r>
  <r>
    <s v="El Meten"/>
    <x v="19"/>
    <s v="Mount Lebanon"/>
    <n v="22731"/>
    <n v="1247"/>
    <n v="45"/>
    <n v="0.62248409454484954"/>
    <n v="3.6086607858861267E-2"/>
    <n v="2.2463339418218306E-2"/>
  </r>
  <r>
    <s v="El Koura"/>
    <x v="23"/>
    <s v="North"/>
    <n v="32175"/>
    <n v="478"/>
    <n v="0"/>
    <n v="0.19104591836734697"/>
    <n v="0"/>
    <n v="0"/>
  </r>
  <r>
    <s v="El Meten"/>
    <x v="19"/>
    <s v="Mount Lebanon"/>
    <n v="22279"/>
    <n v="1215"/>
    <n v="26"/>
    <n v="0.59929074347866551"/>
    <n v="2.1399176954732511E-2"/>
    <n v="1.2824328667033171E-2"/>
  </r>
  <r>
    <s v="El Koura"/>
    <x v="23"/>
    <s v="North"/>
    <n v="32129"/>
    <n v="613"/>
    <n v="0"/>
    <n v="0.31044169505707975"/>
    <n v="0"/>
    <n v="0"/>
  </r>
  <r>
    <s v="Chouf"/>
    <x v="21"/>
    <s v="Mount Lebanon"/>
    <n v="23219"/>
    <n v="2712"/>
    <n v="315"/>
    <n v="8.1602760106242234E-2"/>
    <n v="0.11615044247787611"/>
    <n v="9.4781966937560122E-3"/>
  </r>
  <r>
    <s v="El Koura"/>
    <x v="23"/>
    <s v="North"/>
    <n v="32163"/>
    <n v="480"/>
    <n v="7"/>
    <n v="7.187453545413991E-2"/>
    <n v="1.4583333333333334E-2"/>
    <n v="1.048170308706207E-3"/>
  </r>
  <r>
    <s v="El Nabatieh"/>
    <x v="24"/>
    <s v="El Nabatieh"/>
    <n v="71266"/>
    <n v="2320"/>
    <n v="171"/>
    <n v="6.1628806218861798E-2"/>
    <n v="7.3706896551724133E-2"/>
    <n v="4.5424680445798997E-3"/>
  </r>
  <r>
    <s v="Chouf"/>
    <x v="21"/>
    <s v="Mount Lebanon"/>
    <n v="23469"/>
    <n v="2577"/>
    <n v="350"/>
    <n v="0.62101570533696626"/>
    <n v="0.13581684128831975"/>
    <n v="8.4344391489304685E-2"/>
  </r>
  <r>
    <s v="El Nabatieh"/>
    <x v="24"/>
    <s v="El Nabatieh"/>
    <n v="71387"/>
    <n v="2301"/>
    <n v="0"/>
    <n v="3.0178197415961727E-2"/>
    <n v="0"/>
    <n v="0"/>
  </r>
  <r>
    <s v="El Batroun"/>
    <x v="22"/>
    <s v="North"/>
    <n v="34263"/>
    <n v="1032"/>
    <n v="39"/>
    <n v="0.21493060172681777"/>
    <n v="3.7790697674418602E-2"/>
    <n v="8.1223773908390435E-3"/>
  </r>
  <r>
    <s v="Chouf"/>
    <x v="21"/>
    <s v="Mount Lebanon"/>
    <n v="23423"/>
    <n v="2447"/>
    <n v="135"/>
    <n v="1.9754237991534085E-2"/>
    <n v="5.5169595422966899E-2"/>
    <n v="1.0898333178819377E-3"/>
  </r>
  <r>
    <s v="El Meten"/>
    <x v="19"/>
    <s v="Mount Lebanon"/>
    <n v="22551"/>
    <n v="1281"/>
    <n v="0"/>
    <n v="0.3418445864033518"/>
    <n v="0"/>
    <n v="0"/>
  </r>
  <r>
    <s v="Chouf"/>
    <x v="21"/>
    <s v="Mount Lebanon"/>
    <n v="23588"/>
    <n v="1218"/>
    <n v="641"/>
    <n v="0.32494705075445818"/>
    <n v="0.5262725779967159"/>
    <n v="0.17101072211297838"/>
  </r>
  <r>
    <s v="El Minieh-Dennie"/>
    <x v="20"/>
    <s v="North"/>
    <n v="37261"/>
    <n v="2178"/>
    <n v="450"/>
    <n v="9.9185323584933816E-3"/>
    <n v="0.20661157024793389"/>
    <n v="2.0492835451432607E-3"/>
  </r>
  <r>
    <s v="El Nabatieh"/>
    <x v="24"/>
    <s v="El Nabatieh"/>
    <n v="71226"/>
    <n v="3069"/>
    <n v="0"/>
    <n v="6.1750035411481385E-2"/>
    <n v="0"/>
    <n v="0"/>
  </r>
  <r>
    <s v="Chouf"/>
    <x v="21"/>
    <s v="Mount Lebanon"/>
    <n v="23577"/>
    <n v="3602"/>
    <n v="650"/>
    <n v="2.442177750798602E-2"/>
    <n v="0.18045530260966131"/>
    <n v="4.4070392504694375E-3"/>
  </r>
  <r>
    <s v="Chouf"/>
    <x v="21"/>
    <s v="Mount Lebanon"/>
    <n v="23615"/>
    <n v="1694"/>
    <n v="125"/>
    <n v="0.43757554465856274"/>
    <n v="7.3789846517119242E-2"/>
    <n v="3.2288632280000201E-2"/>
  </r>
  <r>
    <s v="Chouf"/>
    <x v="21"/>
    <s v="Mount Lebanon"/>
    <n v="23679"/>
    <n v="3787"/>
    <n v="180"/>
    <n v="0.47438233255204931"/>
    <n v="4.7531027198310011E-2"/>
    <n v="2.2547879550929201E-2"/>
  </r>
  <r>
    <s v="El Minieh-Dennie"/>
    <x v="20"/>
    <s v="North"/>
    <n v="37333"/>
    <n v="949"/>
    <n v="16"/>
    <n v="4.4223205777714769E-3"/>
    <n v="1.6859852476290831E-2"/>
    <n v="7.4559672544092332E-5"/>
  </r>
  <r>
    <s v="El Batroun"/>
    <x v="22"/>
    <s v="North"/>
    <n v="34276"/>
    <n v="538"/>
    <n v="1440"/>
    <n v="0.16231632463264911"/>
    <n v="2.6765799256505578"/>
    <n v="0.43445261611712777"/>
  </r>
  <r>
    <s v="Chouf"/>
    <x v="21"/>
    <s v="Mount Lebanon"/>
    <n v="23663"/>
    <n v="2942"/>
    <n v="635"/>
    <n v="6.5614855440672581E-2"/>
    <n v="0.21583956492182188"/>
    <n v="1.4162281850723006E-2"/>
  </r>
  <r>
    <s v="El Meten"/>
    <x v="19"/>
    <s v="Mount Lebanon"/>
    <n v="22741"/>
    <n v="609"/>
    <n v="140"/>
    <n v="0.10633528559352734"/>
    <n v="0.22988505747126436"/>
    <n v="2.4444893239891342E-2"/>
  </r>
  <r>
    <s v="Chouf"/>
    <x v="21"/>
    <s v="Mount Lebanon"/>
    <n v="23171"/>
    <n v="932"/>
    <n v="306"/>
    <n v="0.1457464160937979"/>
    <n v="0.3283261802575107"/>
    <n v="4.7852364082298447E-2"/>
  </r>
  <r>
    <s v="El Batroun"/>
    <x v="22"/>
    <s v="North"/>
    <n v="34217"/>
    <n v="736"/>
    <n v="54"/>
    <n v="0.15859043639575099"/>
    <n v="7.3369565217391311E-2"/>
    <n v="1.1635711365992601E-2"/>
  </r>
  <r>
    <s v="El Nabatieh"/>
    <x v="24"/>
    <s v="El Nabatieh"/>
    <n v="71377"/>
    <n v="977"/>
    <n v="0"/>
    <n v="5.3780278318394048E-2"/>
    <n v="0"/>
    <n v="0"/>
  </r>
  <r>
    <s v="El Koura"/>
    <x v="23"/>
    <s v="North"/>
    <n v="32153"/>
    <n v="841"/>
    <n v="23"/>
    <n v="0.24136580781580397"/>
    <n v="2.7348394768133173E-2"/>
    <n v="6.6009673956759704E-3"/>
  </r>
  <r>
    <s v="El Batroun"/>
    <x v="22"/>
    <s v="North"/>
    <n v="34321"/>
    <n v="556"/>
    <n v="17"/>
    <n v="0.15914840010078124"/>
    <n v="3.0575539568345324E-2"/>
    <n v="4.86604820452029E-3"/>
  </r>
  <r>
    <s v="El Batroun"/>
    <x v="22"/>
    <s v="North"/>
    <n v="34277"/>
    <n v="791"/>
    <n v="28"/>
    <n v="0.19682797376155647"/>
    <n v="3.5398230088495575E-2"/>
    <n v="6.9673619030639457E-3"/>
  </r>
  <r>
    <s v="El Minieh-Dennie"/>
    <x v="20"/>
    <s v="North"/>
    <n v="37323"/>
    <n v="1873"/>
    <n v="32"/>
    <n v="5.3775006652243551E-3"/>
    <n v="1.7084890549919914E-2"/>
    <n v="9.1874010297479634E-5"/>
  </r>
  <r>
    <s v="Chouf"/>
    <x v="21"/>
    <s v="Mount Lebanon"/>
    <n v="23247"/>
    <n v="2521"/>
    <n v="2131"/>
    <n v="0.46742901568415351"/>
    <n v="0.84529948433161439"/>
    <n v="0.39511750591944905"/>
  </r>
  <r>
    <s v="El Batroun"/>
    <x v="22"/>
    <s v="North"/>
    <n v="34224"/>
    <n v="348"/>
    <n v="17"/>
    <n v="9.4819300269127327E-2"/>
    <n v="4.8850574712643681E-2"/>
    <n v="4.6319773119975994E-3"/>
  </r>
  <r>
    <s v="El Meten"/>
    <x v="19"/>
    <s v="Mount Lebanon"/>
    <n v="22784"/>
    <n v="532"/>
    <n v="5"/>
    <n v="0.22577598219379225"/>
    <n v="9.3984962406015032E-3"/>
    <n v="2.1219547198664682E-3"/>
  </r>
  <r>
    <s v="El Koura"/>
    <x v="23"/>
    <s v="North"/>
    <n v="32189"/>
    <n v="1325"/>
    <n v="8"/>
    <n v="0.55265766175562248"/>
    <n v="6.0377358490566035E-3"/>
    <n v="3.3368009766377204E-3"/>
  </r>
  <r>
    <s v="El Batroun"/>
    <x v="22"/>
    <s v="North"/>
    <n v="34356"/>
    <n v="1125"/>
    <n v="33"/>
    <n v="0.17196527391363325"/>
    <n v="2.9333333333333333E-2"/>
    <n v="5.0443147014665752E-3"/>
  </r>
  <r>
    <s v="El Meten"/>
    <x v="19"/>
    <s v="Mount Lebanon"/>
    <n v="22459"/>
    <n v="4026"/>
    <n v="69"/>
    <n v="0.46033648552276329"/>
    <n v="1.7138599105812221E-2"/>
    <n v="7.8895224791531715E-3"/>
  </r>
  <r>
    <s v="Chouf"/>
    <x v="21"/>
    <s v="Mount Lebanon"/>
    <n v="23631"/>
    <n v="2253"/>
    <n v="14"/>
    <n v="0.47092960643783777"/>
    <n v="6.2139369729249886E-3"/>
    <n v="2.9263268930890939E-3"/>
  </r>
  <r>
    <s v="El Batroun"/>
    <x v="22"/>
    <s v="North"/>
    <n v="34266"/>
    <n v="644"/>
    <n v="95"/>
    <n v="0.16382620510396995"/>
    <n v="0.14751552795031056"/>
    <n v="2.4166909138007991E-2"/>
  </r>
  <r>
    <s v="El Meten"/>
    <x v="19"/>
    <s v="Mount Lebanon"/>
    <n v="22571"/>
    <n v="722"/>
    <n v="27"/>
    <n v="0.18499070378927551"/>
    <n v="3.7396121883656507E-2"/>
    <n v="6.9179349062471448E-3"/>
  </r>
  <r>
    <s v="Chouf"/>
    <x v="21"/>
    <s v="Mount Lebanon"/>
    <n v="23326"/>
    <n v="98"/>
    <n v="6"/>
    <n v="0.67651525843600768"/>
    <n v="6.1224489795918366E-2"/>
    <n v="4.1419301536898427E-2"/>
  </r>
  <r>
    <s v="El Batroun"/>
    <x v="22"/>
    <s v="North"/>
    <n v="34133"/>
    <n v="635"/>
    <n v="200"/>
    <n v="0.12175861803631893"/>
    <n v="0.31496062992125984"/>
    <n v="3.834917103506108E-2"/>
  </r>
  <r>
    <s v="Chouf"/>
    <x v="21"/>
    <s v="Mount Lebanon"/>
    <n v="23533"/>
    <n v="1220"/>
    <n v="31"/>
    <n v="0.34527047090138951"/>
    <n v="2.540983606557377E-2"/>
    <n v="8.7732660638877667E-3"/>
  </r>
  <r>
    <s v="El Batroun"/>
    <x v="22"/>
    <s v="North"/>
    <n v="34366"/>
    <n v="111"/>
    <n v="0"/>
    <n v="0.1709241285968971"/>
    <n v="0"/>
    <n v="0"/>
  </r>
  <r>
    <s v="Chouf"/>
    <x v="21"/>
    <s v="Mount Lebanon"/>
    <n v="23544"/>
    <n v="815"/>
    <n v="36"/>
    <n v="0.10611208703155817"/>
    <n v="4.4171779141104296E-2"/>
    <n v="4.6871596725596249E-3"/>
  </r>
  <r>
    <s v="El Batroun"/>
    <x v="22"/>
    <s v="North"/>
    <n v="34233"/>
    <n v="566"/>
    <n v="203"/>
    <n v="0.36555283878257183"/>
    <n v="0.35865724381625441"/>
    <n v="0.13110817362696481"/>
  </r>
  <r>
    <s v="El Minieh-Dennie"/>
    <x v="20"/>
    <s v="North"/>
    <n v="37382"/>
    <n v="720"/>
    <n v="100"/>
    <n v="4.7477593771074744E-3"/>
    <n v="0.1388888888888889"/>
    <n v="6.5941102459826032E-4"/>
  </r>
  <r>
    <s v="Chouf"/>
    <x v="21"/>
    <s v="Mount Lebanon"/>
    <n v="23366"/>
    <n v="439"/>
    <n v="0"/>
    <n v="0.2543839685346313"/>
    <n v="0"/>
    <n v="0"/>
  </r>
  <r>
    <s v="El Minieh-Dennie"/>
    <x v="20"/>
    <s v="North"/>
    <n v="37369"/>
    <n v="845"/>
    <n v="0"/>
    <n v="8.387669688699817E-2"/>
    <n v="0"/>
    <n v="0"/>
  </r>
  <r>
    <s v="El Meten"/>
    <x v="19"/>
    <s v="Mount Lebanon"/>
    <n v="22761"/>
    <n v="1142"/>
    <n v="30"/>
    <n v="0.21308992346938749"/>
    <n v="2.6269702276707531E-2"/>
    <n v="5.5978088477072023E-3"/>
  </r>
  <r>
    <s v="Chouf"/>
    <x v="21"/>
    <s v="Mount Lebanon"/>
    <n v="23627"/>
    <n v="1850"/>
    <n v="135"/>
    <n v="1.4100174503432816E-2"/>
    <n v="7.2972972972972977E-2"/>
    <n v="1.0289316529532055E-3"/>
  </r>
  <r>
    <s v="El Minieh-Dennie"/>
    <x v="20"/>
    <s v="North"/>
    <n v="37351"/>
    <n v="1387"/>
    <n v="180"/>
    <n v="1.6771805721226385E-2"/>
    <n v="0.12977649603460706"/>
    <n v="2.1765861786739358E-3"/>
  </r>
  <r>
    <s v="El Minieh-Dennie"/>
    <x v="20"/>
    <s v="North"/>
    <n v="37361"/>
    <n v="1184"/>
    <n v="144"/>
    <n v="1.0648216425438117E-2"/>
    <n v="0.12162162162162163"/>
    <n v="1.295053349039771E-3"/>
  </r>
  <r>
    <s v="El Batroun"/>
    <x v="22"/>
    <s v="North"/>
    <n v="34234"/>
    <n v="607"/>
    <n v="70"/>
    <n v="0.14712247324613559"/>
    <n v="0.11532125205930807"/>
    <n v="1.6966347820806409E-2"/>
  </r>
  <r>
    <s v="El Nabatieh"/>
    <x v="24"/>
    <s v="El Nabatieh"/>
    <n v="71276"/>
    <n v="1946"/>
    <n v="450"/>
    <n v="0.18570733385502003"/>
    <n v="0.23124357656731759"/>
    <n v="4.2943628075415734E-2"/>
  </r>
  <r>
    <s v="El Nabatieh"/>
    <x v="24"/>
    <s v="El Nabatieh"/>
    <n v="71231"/>
    <n v="2485"/>
    <n v="63"/>
    <n v="0.42143444407977393"/>
    <n v="2.5352112676056339E-2"/>
    <n v="1.0684253511881592E-2"/>
  </r>
  <r>
    <s v="El Meten"/>
    <x v="19"/>
    <s v="Mount Lebanon"/>
    <n v="22747"/>
    <n v="2269"/>
    <n v="95"/>
    <n v="0.49517009921654975"/>
    <n v="4.1868664609960332E-2"/>
    <n v="2.0732110808978504E-2"/>
  </r>
  <r>
    <s v="El Minieh-Dennie"/>
    <x v="20"/>
    <s v="North"/>
    <n v="37343"/>
    <n v="1952"/>
    <n v="158"/>
    <n v="3.230567258096162E-2"/>
    <n v="8.0942622950819679E-2"/>
    <n v="2.6149058748934102E-3"/>
  </r>
  <r>
    <s v="El Koura"/>
    <x v="23"/>
    <s v="North"/>
    <n v="32157"/>
    <n v="719"/>
    <n v="40"/>
    <n v="0.52229289192326145"/>
    <n v="5.5632823365785816E-2"/>
    <n v="2.9056628201572267E-2"/>
  </r>
  <r>
    <s v="Bcharre"/>
    <x v="25"/>
    <s v="North"/>
    <n v="36131"/>
    <n v="1004"/>
    <n v="0"/>
    <n v="0.15450706911209455"/>
    <n v="0"/>
    <n v="0"/>
  </r>
  <r>
    <s v="Chouf"/>
    <x v="21"/>
    <s v="Mount Lebanon"/>
    <n v="23411"/>
    <n v="310"/>
    <n v="158"/>
    <n v="0.30966854839225788"/>
    <n v="0.50967741935483868"/>
    <n v="0.15783106659992496"/>
  </r>
  <r>
    <s v="Chouf"/>
    <x v="21"/>
    <s v="Mount Lebanon"/>
    <n v="23611"/>
    <n v="1131"/>
    <n v="0"/>
    <n v="0.62842503066890498"/>
    <n v="0"/>
    <n v="0"/>
  </r>
  <r>
    <s v="El Batroun"/>
    <x v="22"/>
    <s v="North"/>
    <n v="34264"/>
    <n v="1157"/>
    <n v="180"/>
    <n v="0.13697374949157248"/>
    <n v="0.15557476231633535"/>
    <n v="2.130965852072865E-2"/>
  </r>
  <r>
    <s v="El Batroun"/>
    <x v="22"/>
    <s v="North"/>
    <n v="34219"/>
    <n v="198"/>
    <n v="23"/>
    <n v="9.4732598763773157E-2"/>
    <n v="0.11616161616161616"/>
    <n v="1.1004291775589811E-2"/>
  </r>
  <r>
    <s v="Chouf"/>
    <x v="21"/>
    <s v="Mount Lebanon"/>
    <n v="23671"/>
    <n v="1258"/>
    <n v="90"/>
    <n v="0.42098503966572998"/>
    <n v="7.1542130365659776E-2"/>
    <n v="3.0118166589758105E-2"/>
  </r>
  <r>
    <s v="El Meten"/>
    <x v="19"/>
    <s v="Mount Lebanon"/>
    <n v="22415"/>
    <n v="685"/>
    <n v="30"/>
    <n v="0.27544581618655695"/>
    <n v="4.3795620437956206E-2"/>
    <n v="1.2063320416929502E-2"/>
  </r>
  <r>
    <s v="Chouf"/>
    <x v="21"/>
    <s v="Mount Lebanon"/>
    <n v="23522"/>
    <n v="98"/>
    <n v="0"/>
    <n v="0.20991662333003636"/>
    <n v="0"/>
    <n v="0"/>
  </r>
  <r>
    <s v="El Koura"/>
    <x v="23"/>
    <s v="North"/>
    <n v="32135"/>
    <n v="198"/>
    <n v="0"/>
    <n v="0.14074955485437324"/>
    <n v="0"/>
    <n v="0"/>
  </r>
  <r>
    <s v="El Nabatieh"/>
    <x v="24"/>
    <s v="El Nabatieh"/>
    <n v="71221"/>
    <n v="2043"/>
    <n v="13"/>
    <n v="8.028418768439971E-2"/>
    <n v="6.3631913852178167E-3"/>
    <n v="5.1086365144258257E-4"/>
  </r>
  <r>
    <s v="Bcharre"/>
    <x v="25"/>
    <s v="North"/>
    <n v="36137"/>
    <n v="745"/>
    <n v="42"/>
    <n v="8.4179045855601764E-2"/>
    <n v="5.6375838926174496E-2"/>
    <n v="4.7456643301144619E-3"/>
  </r>
  <r>
    <s v="El Batroun"/>
    <x v="22"/>
    <s v="North"/>
    <n v="34166"/>
    <n v="523"/>
    <n v="20"/>
    <n v="0.33676097110483616"/>
    <n v="3.8240917782026769E-2"/>
    <n v="1.2878048608215531E-2"/>
  </r>
  <r>
    <s v="El Meten"/>
    <x v="19"/>
    <s v="Mount Lebanon"/>
    <n v="22431"/>
    <n v="2586"/>
    <n v="45"/>
    <n v="0.54902972509524284"/>
    <n v="1.7401392111368909E-2"/>
    <n v="9.5538815271793993E-3"/>
  </r>
  <r>
    <s v="El Batroun"/>
    <x v="22"/>
    <s v="North"/>
    <n v="34316"/>
    <n v="516"/>
    <n v="13"/>
    <n v="0.13978400000000002"/>
    <n v="2.5193798449612403E-2"/>
    <n v="3.5216899224806207E-3"/>
  </r>
  <r>
    <s v="El Meten"/>
    <x v="19"/>
    <s v="Mount Lebanon"/>
    <n v="22744"/>
    <n v="1092"/>
    <n v="0"/>
    <n v="0.17788501685499425"/>
    <n v="0"/>
    <n v="0"/>
  </r>
  <r>
    <s v="Bcharre"/>
    <x v="25"/>
    <s v="North"/>
    <n v="36177"/>
    <n v="3590"/>
    <n v="0"/>
    <n v="8.7404945525168865E-2"/>
    <n v="0"/>
    <n v="0"/>
  </r>
  <r>
    <s v="El Koura"/>
    <x v="23"/>
    <s v="North"/>
    <n v="32145"/>
    <n v="745"/>
    <n v="0"/>
    <n v="0.36687557625199863"/>
    <n v="0"/>
    <n v="0"/>
  </r>
  <r>
    <s v="El Meten"/>
    <x v="19"/>
    <s v="Mount Lebanon"/>
    <n v="22535"/>
    <n v="1852"/>
    <n v="50"/>
    <n v="0.23669603544028484"/>
    <n v="2.6997840172786176E-2"/>
    <n v="6.3902817343489422E-3"/>
  </r>
  <r>
    <s v="Chouf"/>
    <x v="21"/>
    <s v="Mount Lebanon"/>
    <n v="23279"/>
    <n v="369"/>
    <n v="320"/>
    <n v="9.7464474463594741E-2"/>
    <n v="0.86720867208672092"/>
    <n v="8.452203747520412E-2"/>
  </r>
  <r>
    <s v="Chouf"/>
    <x v="21"/>
    <s v="Mount Lebanon"/>
    <n v="23437"/>
    <n v="1210"/>
    <n v="160"/>
    <n v="0.53788330195481504"/>
    <n v="0.13223140495867769"/>
    <n v="7.1125064721297857E-2"/>
  </r>
  <r>
    <s v="El Batroun"/>
    <x v="22"/>
    <s v="North"/>
    <n v="34374"/>
    <n v="767"/>
    <n v="64"/>
    <n v="0.41530955989590779"/>
    <n v="8.344198174706649E-2"/>
    <n v="3.4654252716216555E-2"/>
  </r>
  <r>
    <s v="El Batroun"/>
    <x v="22"/>
    <s v="North"/>
    <n v="34246"/>
    <n v="784"/>
    <n v="35"/>
    <n v="0.12945057502245449"/>
    <n v="4.4642857142857144E-2"/>
    <n v="5.7790435277881476E-3"/>
  </r>
  <r>
    <s v="El Batroun"/>
    <x v="22"/>
    <s v="North"/>
    <n v="34239"/>
    <n v="414"/>
    <n v="105"/>
    <n v="0.16688855822695592"/>
    <n v="0.25362318840579712"/>
    <n v="4.2326808245967081E-2"/>
  </r>
  <r>
    <s v="El Meten"/>
    <x v="19"/>
    <s v="Mount Lebanon"/>
    <n v="22595"/>
    <n v="2292"/>
    <n v="39"/>
    <n v="0.23847033060941081"/>
    <n v="1.7015706806282723E-2"/>
    <n v="4.0577412276470428E-3"/>
  </r>
  <r>
    <s v="El Batroun"/>
    <x v="22"/>
    <s v="North"/>
    <n v="34274"/>
    <n v="287"/>
    <n v="9"/>
    <n v="0.20552552388992518"/>
    <n v="3.1358885017421602E-2"/>
    <n v="6.4450512718095005E-3"/>
  </r>
  <r>
    <s v="El Batroun"/>
    <x v="22"/>
    <s v="North"/>
    <n v="34331"/>
    <n v="517"/>
    <n v="15"/>
    <n v="0.36523606151835508"/>
    <n v="2.9013539651837523E-2"/>
    <n v="1.0596790953143764E-2"/>
  </r>
  <r>
    <s v="El Nabatieh"/>
    <x v="24"/>
    <s v="El Nabatieh"/>
    <n v="71364"/>
    <n v="1497"/>
    <n v="0"/>
    <n v="2.554754015332128E-2"/>
    <n v="0"/>
    <n v="0"/>
  </r>
  <r>
    <s v="El Batroun"/>
    <x v="22"/>
    <s v="North"/>
    <n v="34271"/>
    <n v="578"/>
    <n v="6"/>
    <n v="0.41168791585436704"/>
    <n v="1.0380622837370242E-2"/>
    <n v="4.2735769811872012E-3"/>
  </r>
  <r>
    <s v="El Batroun"/>
    <x v="22"/>
    <s v="North"/>
    <n v="34236"/>
    <n v="445"/>
    <n v="15"/>
    <n v="0.32139095166921039"/>
    <n v="3.3707865168539325E-2"/>
    <n v="1.0833402865254282E-2"/>
  </r>
  <r>
    <s v="El Minieh-Dennie"/>
    <x v="20"/>
    <s v="North"/>
    <n v="37251"/>
    <n v="624"/>
    <n v="17"/>
    <n v="1.1952920423871971E-2"/>
    <n v="2.7243589743589744E-2"/>
    <n v="3.2564046026574282E-4"/>
  </r>
  <r>
    <s v="El Minieh-Dennie"/>
    <x v="20"/>
    <s v="North"/>
    <n v="37339"/>
    <n v="2342"/>
    <n v="120"/>
    <n v="5.6847301288552865E-3"/>
    <n v="5.1238257899231428E-2"/>
    <n v="2.912756684298183E-4"/>
  </r>
  <r>
    <s v="Chouf"/>
    <x v="21"/>
    <s v="Mount Lebanon"/>
    <n v="23316"/>
    <n v="161"/>
    <n v="158"/>
    <n v="0.72661971895017752"/>
    <n v="0.98136645962732916"/>
    <n v="0.71308022108154068"/>
  </r>
  <r>
    <s v="Chouf"/>
    <x v="21"/>
    <s v="Mount Lebanon"/>
    <n v="23365"/>
    <n v="56"/>
    <n v="31"/>
    <n v="0.17512430081531483"/>
    <n v="0.5535714285714286"/>
    <n v="9.6943809379906432E-2"/>
  </r>
  <r>
    <s v="El Meten"/>
    <x v="19"/>
    <s v="Mount Lebanon"/>
    <n v="22539"/>
    <n v="622"/>
    <n v="35"/>
    <n v="0.13339458651542768"/>
    <n v="5.6270096463022508E-2"/>
    <n v="7.5061262508681172E-3"/>
  </r>
  <r>
    <s v="Chouf"/>
    <x v="21"/>
    <s v="Mount Lebanon"/>
    <n v="23647"/>
    <n v="585"/>
    <n v="0"/>
    <n v="6.8012123104419064E-2"/>
    <n v="0"/>
    <n v="0"/>
  </r>
  <r>
    <s v="Chouf"/>
    <x v="21"/>
    <s v="Mount Lebanon"/>
    <n v="23443"/>
    <n v="1194"/>
    <n v="0"/>
    <n v="0.17642472712640189"/>
    <n v="0"/>
    <n v="0"/>
  </r>
  <r>
    <s v="El Meten"/>
    <x v="19"/>
    <s v="Mount Lebanon"/>
    <n v="22575"/>
    <n v="141"/>
    <n v="0"/>
    <n v="0.25396825396825395"/>
    <n v="0"/>
    <n v="0"/>
  </r>
  <r>
    <s v="El Meten"/>
    <x v="19"/>
    <s v="Mount Lebanon"/>
    <n v="22463"/>
    <n v="1722"/>
    <n v="60"/>
    <n v="0.32416284052647659"/>
    <n v="3.484320557491289E-2"/>
    <n v="1.1294872492211727E-2"/>
  </r>
  <r>
    <s v="El Koura"/>
    <x v="23"/>
    <s v="North"/>
    <n v="32151"/>
    <n v="685"/>
    <n v="0"/>
    <n v="0.233299181602864"/>
    <n v="0"/>
    <n v="0"/>
  </r>
  <r>
    <s v="Chouf"/>
    <x v="21"/>
    <s v="Mount Lebanon"/>
    <n v="23687"/>
    <n v="244"/>
    <n v="0"/>
    <n v="0.20788641577283185"/>
    <n v="0"/>
    <n v="0"/>
  </r>
  <r>
    <s v="El Minieh-Dennie"/>
    <x v="20"/>
    <s v="North"/>
    <n v="37315"/>
    <n v="1196"/>
    <n v="9"/>
    <n v="0.33856803110364353"/>
    <n v="7.525083612040134E-3"/>
    <n v="2.5477527424187223E-3"/>
  </r>
  <r>
    <s v="El Meten"/>
    <x v="19"/>
    <s v="Mount Lebanon"/>
    <n v="22579"/>
    <n v="167"/>
    <n v="0"/>
    <n v="0.16408317580340281"/>
    <n v="0"/>
    <n v="0"/>
  </r>
  <r>
    <s v="El Batroun"/>
    <x v="22"/>
    <s v="North"/>
    <n v="34341"/>
    <n v="425"/>
    <n v="0"/>
    <n v="0.5295318615073854"/>
    <n v="0"/>
    <n v="0"/>
  </r>
  <r>
    <s v="El Koura"/>
    <x v="23"/>
    <s v="North"/>
    <n v="32141"/>
    <n v="296"/>
    <n v="354"/>
    <n v="0.17036011080332403"/>
    <n v="1.1959459459459461"/>
    <n v="0.20374148386613755"/>
  </r>
  <r>
    <s v="El Meten"/>
    <x v="19"/>
    <s v="Mount Lebanon"/>
    <n v="22555"/>
    <n v="889"/>
    <n v="118"/>
    <n v="0.60324115444994564"/>
    <n v="0.1327334083239595"/>
    <n v="8.0070254471421354E-2"/>
  </r>
  <r>
    <s v="El Nabatieh"/>
    <x v="24"/>
    <s v="El Nabatieh"/>
    <n v="71271"/>
    <n v="717"/>
    <n v="49"/>
    <n v="0.65816375580836395"/>
    <n v="6.8340306834030681E-2"/>
    <n v="4.4979113018981637E-2"/>
  </r>
  <r>
    <s v="El Meten"/>
    <x v="19"/>
    <s v="Mount Lebanon"/>
    <n v="22319"/>
    <n v="1937"/>
    <n v="22"/>
    <n v="0.77826988071998005"/>
    <n v="1.1357769747031492E-2"/>
    <n v="8.8394101062671971E-3"/>
  </r>
  <r>
    <s v="El Meten"/>
    <x v="19"/>
    <s v="Mount Lebanon"/>
    <n v="22767"/>
    <n v="403"/>
    <n v="10"/>
    <n v="0.28307794057251356"/>
    <n v="2.4813895781637719E-2"/>
    <n v="7.0242665154469875E-3"/>
  </r>
  <r>
    <s v="Chouf"/>
    <x v="21"/>
    <s v="Mount Lebanon"/>
    <n v="23429"/>
    <n v="1012"/>
    <n v="113"/>
    <n v="2.2852552184970065E-2"/>
    <n v="0.11166007905138339"/>
    <n v="2.5517177834996217E-3"/>
  </r>
  <r>
    <s v="El Meten"/>
    <x v="19"/>
    <s v="Mount Lebanon"/>
    <n v="22559"/>
    <n v="565"/>
    <n v="0"/>
    <n v="0.2284088493080656"/>
    <n v="0"/>
    <n v="0"/>
  </r>
  <r>
    <s v="El Batroun"/>
    <x v="22"/>
    <s v="North"/>
    <n v="34237"/>
    <n v="182"/>
    <n v="0"/>
    <n v="0.18047176737208337"/>
    <n v="0"/>
    <n v="0"/>
  </r>
  <r>
    <s v="El Batroun"/>
    <x v="22"/>
    <s v="North"/>
    <n v="34122"/>
    <n v="283"/>
    <n v="0"/>
    <n v="0.14118723899239149"/>
    <n v="0"/>
    <n v="0"/>
  </r>
  <r>
    <s v="El Meten"/>
    <x v="19"/>
    <s v="Mount Lebanon"/>
    <n v="22627"/>
    <n v="1129"/>
    <n v="81"/>
    <n v="0.23555788819306089"/>
    <n v="7.1744906997342775E-2"/>
    <n v="1.690007878090162E-2"/>
  </r>
  <r>
    <s v="Chouf"/>
    <x v="21"/>
    <s v="Mount Lebanon"/>
    <n v="23421"/>
    <n v="1262"/>
    <n v="118"/>
    <n v="0.23265407288756101"/>
    <n v="9.3502377179080817E-2"/>
    <n v="2.175370887538209E-2"/>
  </r>
  <r>
    <s v="El Batroun"/>
    <x v="22"/>
    <s v="North"/>
    <n v="34218"/>
    <n v="196"/>
    <n v="0"/>
    <n v="8.347915784044635E-2"/>
    <n v="0"/>
    <n v="0"/>
  </r>
  <r>
    <s v="El Batroun"/>
    <x v="22"/>
    <s v="North"/>
    <n v="34214"/>
    <n v="121"/>
    <n v="0"/>
    <n v="0.20841942148760328"/>
    <n v="0"/>
    <n v="0"/>
  </r>
  <r>
    <s v="El Minieh-Dennie"/>
    <x v="20"/>
    <s v="North"/>
    <n v="37371"/>
    <n v="470"/>
    <n v="0"/>
    <n v="0.11302040050398077"/>
    <n v="0"/>
    <n v="0"/>
  </r>
  <r>
    <s v="El Minieh-Dennie"/>
    <x v="20"/>
    <s v="North"/>
    <n v="37331"/>
    <n v="319"/>
    <n v="0"/>
    <n v="0.47501079861195361"/>
    <n v="0"/>
    <n v="0"/>
  </r>
  <r>
    <s v="El Koura"/>
    <x v="23"/>
    <s v="North"/>
    <n v="32133"/>
    <n v="586"/>
    <n v="970"/>
    <n v="0.50452466489554393"/>
    <n v="1.6552901023890785"/>
    <n v="0.83513468421276038"/>
  </r>
  <r>
    <s v="Chouf"/>
    <x v="21"/>
    <s v="Mount Lebanon"/>
    <n v="23435"/>
    <n v="976"/>
    <n v="157"/>
    <n v="1.6506447352296449E-2"/>
    <n v="0.16086065573770492"/>
    <n v="2.6552379449903099E-3"/>
  </r>
  <r>
    <s v="Chouf"/>
    <x v="21"/>
    <s v="Mount Lebanon"/>
    <n v="23455"/>
    <n v="1096"/>
    <n v="5"/>
    <n v="0.23608397607408993"/>
    <n v="4.5620437956204376E-3"/>
    <n v="1.0770254382942057E-3"/>
  </r>
  <r>
    <s v="El Batroun"/>
    <x v="22"/>
    <s v="North"/>
    <n v="34267"/>
    <n v="271"/>
    <n v="8"/>
    <n v="0.13993498317346198"/>
    <n v="2.9520295202952029E-2"/>
    <n v="4.1309220125007222E-3"/>
  </r>
  <r>
    <s v="El Koura"/>
    <x v="23"/>
    <s v="North"/>
    <n v="32161"/>
    <n v="299"/>
    <n v="0"/>
    <n v="5.043043894143906E-2"/>
    <n v="0"/>
    <n v="0"/>
  </r>
  <r>
    <s v="El Minieh-Dennie"/>
    <x v="20"/>
    <s v="North"/>
    <n v="37355"/>
    <n v="484"/>
    <n v="9"/>
    <n v="0.13158841916946951"/>
    <n v="1.859504132231405E-2"/>
    <n v="2.4468920919942677E-3"/>
  </r>
  <r>
    <s v="El Koura"/>
    <x v="23"/>
    <s v="North"/>
    <n v="32139"/>
    <n v="1409"/>
    <n v="0"/>
    <n v="0.14112489694142227"/>
    <n v="0"/>
    <n v="0"/>
  </r>
  <r>
    <s v="El Meten"/>
    <x v="19"/>
    <s v="Mount Lebanon"/>
    <n v="22774"/>
    <n v="345"/>
    <n v="113"/>
    <n v="0.12199467465748604"/>
    <n v="0.32753623188405795"/>
    <n v="3.9957676047234554E-2"/>
  </r>
  <r>
    <s v="Bcharre"/>
    <x v="25"/>
    <s v="North"/>
    <n v="36181"/>
    <n v="731"/>
    <n v="0"/>
    <n v="0.12324506498151822"/>
    <n v="0"/>
    <n v="0"/>
  </r>
  <r>
    <s v="Chouf"/>
    <x v="21"/>
    <s v="Mount Lebanon"/>
    <n v="23371"/>
    <n v="79"/>
    <n v="45"/>
    <n v="0.13194444444444431"/>
    <n v="0.569620253164557"/>
    <n v="7.5158227848101195E-2"/>
  </r>
  <r>
    <s v="El Meten"/>
    <x v="19"/>
    <s v="Mount Lebanon"/>
    <n v="22451"/>
    <n v="1518"/>
    <n v="0"/>
    <n v="0.46822636458892841"/>
    <n v="0"/>
    <n v="0"/>
  </r>
  <r>
    <s v="El Minieh-Dennie"/>
    <x v="20"/>
    <s v="North"/>
    <n v="37347"/>
    <n v="803"/>
    <n v="6"/>
    <n v="3.8967601345938352E-2"/>
    <n v="7.4719800747198011E-3"/>
    <n v="2.9116514081647585E-4"/>
  </r>
  <r>
    <s v="Bcharre"/>
    <x v="25"/>
    <s v="North"/>
    <n v="36164"/>
    <n v="232"/>
    <n v="111"/>
    <n v="0.32254560408438782"/>
    <n v="0.47844827586206895"/>
    <n v="0.15432138816106486"/>
  </r>
  <r>
    <s v="Chouf"/>
    <x v="21"/>
    <s v="Mount Lebanon"/>
    <n v="23235"/>
    <n v="104"/>
    <n v="23"/>
    <n v="0.1720060466079909"/>
    <n v="0.22115384615384615"/>
    <n v="3.8039798769074908E-2"/>
  </r>
  <r>
    <s v="El Batroun"/>
    <x v="22"/>
    <s v="North"/>
    <n v="34231"/>
    <n v="283"/>
    <n v="0"/>
    <n v="0.25148166329426136"/>
    <n v="0"/>
    <n v="0"/>
  </r>
  <r>
    <s v="El Minieh-Dennie"/>
    <x v="20"/>
    <s v="North"/>
    <n v="37329"/>
    <n v="2214"/>
    <n v="180"/>
    <n v="6.7954459048840121E-3"/>
    <n v="8.1300813008130079E-2"/>
    <n v="5.524752768198384E-4"/>
  </r>
  <r>
    <s v="El Batroun"/>
    <x v="22"/>
    <s v="North"/>
    <n v="34229"/>
    <n v="166"/>
    <n v="40"/>
    <n v="0.15942099858183778"/>
    <n v="0.24096385542168675"/>
    <n v="3.8414698453454889E-2"/>
  </r>
  <r>
    <s v="Bcharre"/>
    <x v="25"/>
    <s v="North"/>
    <n v="36184"/>
    <n v="1048"/>
    <n v="0"/>
    <n v="0.12628625220317258"/>
    <n v="0"/>
    <n v="0"/>
  </r>
  <r>
    <s v="El Batroun"/>
    <x v="22"/>
    <s v="North"/>
    <n v="34351"/>
    <n v="467"/>
    <n v="0"/>
    <n v="0.12021249999999994"/>
    <n v="0"/>
    <n v="0"/>
  </r>
  <r>
    <s v="El Batroun"/>
    <x v="22"/>
    <s v="North"/>
    <n v="34254"/>
    <n v="93"/>
    <n v="0"/>
    <n v="0.13486922726795292"/>
    <n v="0"/>
    <n v="0"/>
  </r>
  <r>
    <s v="El Meten"/>
    <x v="19"/>
    <s v="Mount Lebanon"/>
    <n v="22734"/>
    <n v="578"/>
    <n v="32"/>
    <n v="0.31873610441407796"/>
    <n v="5.536332179930796E-2"/>
    <n v="1.764628951773442E-2"/>
  </r>
  <r>
    <s v="Chouf"/>
    <x v="21"/>
    <s v="Mount Lebanon"/>
    <n v="23376"/>
    <n v="50"/>
    <n v="0"/>
    <n v="0.25350837483024014"/>
    <n v="0"/>
    <n v="0"/>
  </r>
  <r>
    <s v="El Minieh-Dennie"/>
    <x v="20"/>
    <s v="North"/>
    <n v="37373"/>
    <n v="528"/>
    <n v="0"/>
    <n v="7.7051715574102841E-2"/>
    <n v="0"/>
    <n v="0"/>
  </r>
  <r>
    <s v="El Batroun"/>
    <x v="22"/>
    <s v="North"/>
    <n v="34251"/>
    <n v="198"/>
    <n v="0"/>
    <n v="0.19094130039260737"/>
    <n v="0"/>
    <n v="0"/>
  </r>
  <r>
    <s v="El Batroun"/>
    <x v="22"/>
    <s v="North"/>
    <n v="34215"/>
    <n v="314"/>
    <n v="27"/>
    <n v="0.11766314112078002"/>
    <n v="8.598726114649681E-2"/>
    <n v="1.0117531242869619E-2"/>
  </r>
  <r>
    <s v="Chouf"/>
    <x v="21"/>
    <s v="Mount Lebanon"/>
    <n v="23639"/>
    <n v="2439"/>
    <n v="46"/>
    <n v="0.30587737339459642"/>
    <n v="1.886018860188602E-2"/>
    <n v="5.7689049512716015E-3"/>
  </r>
  <r>
    <s v="El Meten"/>
    <x v="19"/>
    <s v="Mount Lebanon"/>
    <n v="22737"/>
    <n v="298"/>
    <n v="0"/>
    <n v="0.50415027225339126"/>
    <n v="0"/>
    <n v="0"/>
  </r>
  <r>
    <s v="El Meten"/>
    <x v="19"/>
    <s v="Mount Lebanon"/>
    <n v="22717"/>
    <n v="189"/>
    <n v="9"/>
    <n v="0.21031084663482513"/>
    <n v="4.7619047619047616E-2"/>
    <n v="1.0014802220705958E-2"/>
  </r>
  <r>
    <s v="Bcharre"/>
    <x v="25"/>
    <s v="North"/>
    <n v="36161"/>
    <n v="254"/>
    <n v="0"/>
    <n v="5.9381380438096487E-2"/>
    <n v="0"/>
    <n v="0"/>
  </r>
  <r>
    <s v="El Meten"/>
    <x v="19"/>
    <s v="Mount Lebanon"/>
    <n v="22391"/>
    <n v="1052"/>
    <n v="45"/>
    <n v="0.64508921446583045"/>
    <n v="4.2775665399239542E-2"/>
    <n v="2.7594120390648638E-2"/>
  </r>
  <r>
    <s v="El Meten"/>
    <x v="19"/>
    <s v="Mount Lebanon"/>
    <n v="22643"/>
    <n v="1023"/>
    <n v="45"/>
    <n v="0.44678307061819433"/>
    <n v="4.398826979472141E-2"/>
    <n v="1.9653214250067202E-2"/>
  </r>
  <r>
    <s v="El Minieh-Dennie"/>
    <x v="20"/>
    <s v="North"/>
    <n v="37395"/>
    <n v="787"/>
    <n v="12"/>
    <n v="1.1027645741789494E-2"/>
    <n v="1.5247776365946633E-2"/>
    <n v="1.6814707611368987E-4"/>
  </r>
  <r>
    <s v="El Batroun"/>
    <x v="22"/>
    <s v="North"/>
    <n v="34273"/>
    <n v="75"/>
    <n v="0"/>
    <n v="0.18028741471911747"/>
    <n v="0"/>
    <n v="0"/>
  </r>
  <r>
    <s v="El Hermel"/>
    <x v="15"/>
    <s v="Baalbek-El Hermel"/>
    <n v="54114"/>
    <n v="27"/>
    <n v="0"/>
    <n v="0.84625004159297879"/>
    <n v="0"/>
    <n v="0"/>
  </r>
  <r>
    <s v="El Meten"/>
    <x v="19"/>
    <s v="Mount Lebanon"/>
    <n v="22777"/>
    <n v="308"/>
    <n v="2"/>
    <n v="0.58774670573851617"/>
    <n v="6.4935064935064939E-3"/>
    <n v="3.8165370502501053E-3"/>
  </r>
  <r>
    <s v="Chouf"/>
    <x v="21"/>
    <s v="Mount Lebanon"/>
    <n v="23453"/>
    <n v="168"/>
    <n v="10"/>
    <n v="0.15698934911242612"/>
    <n v="5.9523809523809521E-2"/>
    <n v="9.3446041138348871E-3"/>
  </r>
  <r>
    <s v="Bcharre"/>
    <x v="25"/>
    <s v="North"/>
    <n v="36144"/>
    <n v="109"/>
    <n v="0"/>
    <n v="0.53045906508264473"/>
    <n v="0"/>
    <n v="0"/>
  </r>
  <r>
    <s v="El Batroun"/>
    <x v="22"/>
    <s v="North"/>
    <n v="34257"/>
    <n v="96"/>
    <n v="0"/>
    <n v="0.12469766191883891"/>
    <n v="0"/>
    <n v="0"/>
  </r>
  <r>
    <s v="El Batroun"/>
    <x v="22"/>
    <s v="North"/>
    <n v="34261"/>
    <n v="421"/>
    <n v="0"/>
    <n v="0.14179126143126719"/>
    <n v="0"/>
    <n v="0"/>
  </r>
  <r>
    <s v="El Meten"/>
    <x v="19"/>
    <s v="Mount Lebanon"/>
    <n v="22527"/>
    <n v="635"/>
    <n v="4"/>
    <n v="0.18912249864791753"/>
    <n v="6.2992125984251968E-3"/>
    <n v="1.1913228261286144E-3"/>
  </r>
  <r>
    <s v="El Meten"/>
    <x v="19"/>
    <s v="Mount Lebanon"/>
    <n v="22794"/>
    <n v="302"/>
    <n v="0"/>
    <n v="0.43843821307711639"/>
    <n v="0"/>
    <n v="0"/>
  </r>
  <r>
    <s v="Chouf"/>
    <x v="21"/>
    <s v="Mount Lebanon"/>
    <n v="23346"/>
    <n v="107"/>
    <n v="45"/>
    <n v="0.48141798720949303"/>
    <n v="0.42056074766355139"/>
    <n v="0.20246550863950641"/>
  </r>
  <r>
    <s v="Chouf"/>
    <x v="21"/>
    <s v="Mount Lebanon"/>
    <n v="23361"/>
    <n v="619"/>
    <n v="54"/>
    <n v="0.26760959104739934"/>
    <n v="8.723747980613894E-2"/>
    <n v="2.3345586294926599E-2"/>
  </r>
  <r>
    <s v="El Meten"/>
    <x v="19"/>
    <s v="Mount Lebanon"/>
    <n v="22727"/>
    <n v="530"/>
    <n v="23"/>
    <n v="0.38525665143778554"/>
    <n v="4.3396226415094337E-2"/>
    <n v="1.6718684873715219E-2"/>
  </r>
  <r>
    <s v="Chouf"/>
    <x v="21"/>
    <s v="Mount Lebanon"/>
    <n v="23659"/>
    <n v="1459"/>
    <n v="90"/>
    <n v="1.3669366587028664E-2"/>
    <n v="6.1686086360520906E-2"/>
    <n v="8.4320972778106906E-4"/>
  </r>
  <r>
    <s v="Chouf"/>
    <x v="21"/>
    <s v="Mount Lebanon"/>
    <n v="23555"/>
    <n v="227"/>
    <n v="63"/>
    <n v="0.31336801942421078"/>
    <n v="0.27753303964757708"/>
    <n v="8.69699789591422E-2"/>
  </r>
  <r>
    <s v="El Batroun"/>
    <x v="22"/>
    <s v="North"/>
    <n v="34286"/>
    <n v="458"/>
    <n v="0"/>
    <n v="0.28470166839475919"/>
    <n v="0"/>
    <n v="0"/>
  </r>
  <r>
    <s v="El Batroun"/>
    <x v="22"/>
    <s v="North"/>
    <n v="34226"/>
    <n v="132"/>
    <n v="12"/>
    <n v="0.14253320375769352"/>
    <n v="9.0909090909090912E-2"/>
    <n v="1.2957563977972137E-2"/>
  </r>
  <r>
    <s v="El Minieh-Dennie"/>
    <x v="20"/>
    <s v="North"/>
    <n v="37357"/>
    <n v="464"/>
    <n v="9"/>
    <n v="4.1343569563931926E-3"/>
    <n v="1.9396551724137932E-2"/>
    <n v="8.0192268550730028E-5"/>
  </r>
  <r>
    <s v="El Meten"/>
    <x v="19"/>
    <s v="Mount Lebanon"/>
    <n v="22683"/>
    <n v="169"/>
    <n v="0"/>
    <n v="0.19606659624767364"/>
    <n v="0"/>
    <n v="0"/>
  </r>
  <r>
    <s v="El Batroun"/>
    <x v="22"/>
    <s v="North"/>
    <n v="34361"/>
    <n v="122"/>
    <n v="0"/>
    <n v="0.1476113769508568"/>
    <n v="0"/>
    <n v="0"/>
  </r>
  <r>
    <s v="El Meten"/>
    <x v="19"/>
    <s v="Mount Lebanon"/>
    <n v="22563"/>
    <n v="372"/>
    <n v="0"/>
    <n v="0.29351740696278505"/>
    <n v="0"/>
    <n v="0"/>
  </r>
  <r>
    <s v="El Meten"/>
    <x v="19"/>
    <s v="Mount Lebanon"/>
    <n v="22587"/>
    <n v="508"/>
    <n v="0"/>
    <n v="0.70615697358352514"/>
    <n v="0"/>
    <n v="0"/>
  </r>
  <r>
    <s v="El Minieh-Dennie"/>
    <x v="20"/>
    <s v="North"/>
    <n v="37358"/>
    <n v="556"/>
    <n v="0"/>
    <n v="0"/>
    <n v="0"/>
    <n v="0"/>
  </r>
  <r>
    <s v="Bcharre"/>
    <x v="25"/>
    <s v="North"/>
    <n v="36147"/>
    <n v="636"/>
    <n v="0"/>
    <n v="4.1686272059044072E-2"/>
    <n v="0"/>
    <n v="0"/>
  </r>
  <r>
    <s v="Bcharre"/>
    <x v="25"/>
    <s v="North"/>
    <n v="36157"/>
    <n v="54"/>
    <n v="0"/>
    <n v="0.11689597225312864"/>
    <n v="0"/>
    <n v="0"/>
  </r>
  <r>
    <s v="Chouf"/>
    <x v="21"/>
    <s v="Mount Lebanon"/>
    <n v="23667"/>
    <n v="2678"/>
    <n v="162"/>
    <n v="0.58730777573885062"/>
    <n v="6.0492905153099324E-2"/>
    <n v="3.5527953573448019E-2"/>
  </r>
  <r>
    <s v="El Batroun"/>
    <x v="22"/>
    <s v="North"/>
    <n v="34256"/>
    <n v="308"/>
    <n v="36"/>
    <n v="0.10467863894139884"/>
    <n v="0.11688311688311688"/>
    <n v="1.2235165590553111E-2"/>
  </r>
  <r>
    <s v="El Meten"/>
    <x v="19"/>
    <s v="Mount Lebanon"/>
    <n v="22567"/>
    <n v="496"/>
    <n v="34"/>
    <n v="6.8909938504264967E-2"/>
    <n v="6.8548387096774188E-2"/>
    <n v="4.7236651394052592E-3"/>
  </r>
  <r>
    <s v="El Minieh-Dennie"/>
    <x v="20"/>
    <s v="North"/>
    <n v="37325"/>
    <n v="3224"/>
    <n v="135"/>
    <n v="6.4740980168903617E-3"/>
    <n v="4.1873449131513647E-2"/>
    <n v="2.7109281398269192E-4"/>
  </r>
  <r>
    <s v="Bcharre"/>
    <x v="25"/>
    <s v="North"/>
    <n v="36121"/>
    <n v="801"/>
    <n v="0"/>
    <n v="9.5111268939393923E-2"/>
    <n v="0"/>
    <n v="0"/>
  </r>
  <r>
    <s v="Bcharre"/>
    <x v="25"/>
    <s v="North"/>
    <n v="36191"/>
    <n v="543"/>
    <n v="0"/>
    <n v="0.11525005461955029"/>
    <n v="0"/>
    <n v="0"/>
  </r>
  <r>
    <s v="El Meten"/>
    <x v="19"/>
    <s v="Mount Lebanon"/>
    <n v="22471"/>
    <n v="1338"/>
    <n v="9"/>
    <n v="0.38633704699883464"/>
    <n v="6.7264573991031393E-3"/>
    <n v="2.5986796883329688E-3"/>
  </r>
  <r>
    <s v="Bcharre"/>
    <x v="25"/>
    <s v="North"/>
    <n v="36187"/>
    <n v="6119"/>
    <n v="0"/>
    <n v="0.13151097235012688"/>
    <n v="0"/>
    <n v="0"/>
  </r>
  <r>
    <s v="Bcharre"/>
    <x v="25"/>
    <s v="North"/>
    <n v="36124"/>
    <n v="601"/>
    <n v="30"/>
    <n v="5.1211375421161942E-2"/>
    <n v="4.9916805324459232E-2"/>
    <n v="2.5563082572959369E-3"/>
  </r>
  <r>
    <s v="El Meten"/>
    <x v="19"/>
    <s v="Mount Lebanon"/>
    <n v="22591"/>
    <n v="426"/>
    <n v="9"/>
    <n v="0.31701893488466126"/>
    <n v="2.1126760563380281E-2"/>
    <n v="6.697583131366083E-3"/>
  </r>
  <r>
    <s v="El Meten"/>
    <x v="19"/>
    <s v="Mount Lebanon"/>
    <n v="22722"/>
    <n v="47"/>
    <n v="0"/>
    <n v="0.20764970757207168"/>
    <n v="0"/>
    <n v="0"/>
  </r>
  <r>
    <s v="Chouf"/>
    <x v="21"/>
    <s v="Mount Lebanon"/>
    <n v="23619"/>
    <n v="1414"/>
    <n v="141"/>
    <n v="0.10730243583382892"/>
    <n v="9.9717114568599718E-2"/>
    <n v="1.0699889287531739E-2"/>
  </r>
  <r>
    <s v="El Batroun"/>
    <x v="22"/>
    <s v="North"/>
    <n v="34279"/>
    <n v="85"/>
    <n v="270"/>
    <n v="0.19362067154511386"/>
    <n v="3.1764705882352939"/>
    <n v="0.61503036843742043"/>
  </r>
  <r>
    <s v="El Meten"/>
    <x v="19"/>
    <s v="Mount Lebanon"/>
    <n v="22543"/>
    <n v="1009"/>
    <n v="0"/>
    <n v="0.19700173057275683"/>
    <n v="0"/>
    <n v="0"/>
  </r>
  <r>
    <s v="El Minieh-Dennie"/>
    <x v="20"/>
    <s v="North"/>
    <n v="37344"/>
    <n v="458"/>
    <n v="0"/>
    <n v="1.0858347749259423E-2"/>
    <n v="0"/>
    <n v="0"/>
  </r>
  <r>
    <s v="Bcharre"/>
    <x v="25"/>
    <s v="North"/>
    <n v="36151"/>
    <n v="538"/>
    <n v="0"/>
    <n v="3.6798041963344685E-2"/>
    <n v="0"/>
    <n v="0"/>
  </r>
  <r>
    <s v="Bcharre"/>
    <x v="25"/>
    <s v="North"/>
    <n v="36141"/>
    <n v="105"/>
    <n v="10"/>
    <n v="4.6091493383742743E-2"/>
    <n v="9.5238095238095233E-2"/>
    <n v="4.3896660365469273E-3"/>
  </r>
  <r>
    <s v="Bcharre"/>
    <x v="25"/>
    <s v="North"/>
    <n v="36114"/>
    <n v="138"/>
    <n v="0"/>
    <n v="0.1254975079780557"/>
    <n v="0"/>
    <n v="0"/>
  </r>
  <r>
    <s v="Chouf"/>
    <x v="21"/>
    <s v="Mount Lebanon"/>
    <n v="23441"/>
    <n v="563"/>
    <n v="0"/>
    <n v="0.5615045013850416"/>
    <n v="0"/>
    <n v="0"/>
  </r>
  <r>
    <s v="El Batroun"/>
    <x v="22"/>
    <s v="North"/>
    <n v="34244"/>
    <n v="88"/>
    <n v="0"/>
    <n v="8.7990210360701537E-2"/>
    <n v="0"/>
    <n v="0"/>
  </r>
  <r>
    <s v="El Batroun"/>
    <x v="22"/>
    <s v="North"/>
    <n v="34381"/>
    <n v="794"/>
    <n v="0"/>
    <n v="0.16799130864197531"/>
    <n v="0"/>
    <n v="0"/>
  </r>
  <r>
    <s v="El Koura"/>
    <x v="23"/>
    <s v="North"/>
    <n v="32195"/>
    <n v="36"/>
    <n v="135"/>
    <n v="0.22476586888657657"/>
    <n v="3.75"/>
    <n v="0.84287200832466214"/>
  </r>
  <r>
    <s v="El Meten"/>
    <x v="19"/>
    <s v="Mount Lebanon"/>
    <n v="22714"/>
    <n v="94"/>
    <n v="0"/>
    <n v="0.13748150887573973"/>
    <n v="0"/>
    <n v="0"/>
  </r>
  <r>
    <s v="El Meten"/>
    <x v="19"/>
    <s v="Mount Lebanon"/>
    <n v="22787"/>
    <n v="72"/>
    <n v="18"/>
    <n v="0.64871458059673492"/>
    <n v="0.25"/>
    <n v="0.16217864514918373"/>
  </r>
  <r>
    <s v="El Meten"/>
    <x v="19"/>
    <s v="Mount Lebanon"/>
    <n v="22519"/>
    <n v="73"/>
    <n v="0"/>
    <n v="0.21854912764003676"/>
    <n v="0"/>
    <n v="0"/>
  </r>
  <r>
    <s v="El Meten"/>
    <x v="19"/>
    <s v="Mount Lebanon"/>
    <n v="22791"/>
    <n v="264"/>
    <n v="0"/>
    <n v="0.58686250000000006"/>
    <n v="0"/>
    <n v="0"/>
  </r>
  <r>
    <s v="El Minieh-Dennie"/>
    <x v="20"/>
    <s v="North"/>
    <n v="37367"/>
    <n v="394"/>
    <n v="0"/>
    <n v="5.0968825184949496E-2"/>
    <n v="0"/>
    <n v="0"/>
  </r>
  <r>
    <s v="El Minieh-Dennie"/>
    <x v="20"/>
    <s v="North"/>
    <n v="37327"/>
    <n v="1220"/>
    <n v="19"/>
    <n v="0.14515834245952419"/>
    <n v="1.5573770491803279E-2"/>
    <n v="2.2606627104352129E-3"/>
  </r>
  <r>
    <s v="El Minieh-Dennie"/>
    <x v="20"/>
    <s v="North"/>
    <n v="37345"/>
    <n v="970"/>
    <n v="96"/>
    <n v="5.7388333937167246E-3"/>
    <n v="9.8969072164948449E-2"/>
    <n v="5.6796701628536656E-4"/>
  </r>
  <r>
    <s v="El Minieh-Dennie"/>
    <x v="20"/>
    <s v="North"/>
    <n v="37335"/>
    <n v="421"/>
    <n v="0"/>
    <n v="0.1345817492485416"/>
    <n v="0"/>
    <n v="0"/>
  </r>
  <r>
    <s v="Tripoli"/>
    <x v="13"/>
    <s v="North"/>
    <n v="31111"/>
    <n v="11995"/>
    <n v="135"/>
    <n v="0.2634269870438668"/>
    <n v="1.1254689453939141E-2"/>
    <n v="2.9647889329655706E-3"/>
  </r>
  <r>
    <s v="El Minieh-Dennie"/>
    <x v="20"/>
    <s v="North"/>
    <n v="37291"/>
    <n v="10806"/>
    <n v="1985"/>
    <n v="0.26021689927080782"/>
    <n v="0.18369424393855266"/>
    <n v="4.7800346571585557E-2"/>
  </r>
  <r>
    <s v="Akkar"/>
    <x v="4"/>
    <s v="Akkar"/>
    <n v="35211"/>
    <n v="8388"/>
    <n v="77"/>
    <n v="0.25368873086436833"/>
    <n v="9.1797806390081071E-3"/>
    <n v="2.3288068999232667E-3"/>
  </r>
  <r>
    <s v="Zahle"/>
    <x v="9"/>
    <s v="Bekaa"/>
    <n v="51125"/>
    <n v="8896"/>
    <n v="399"/>
    <n v="0.25506024019045243"/>
    <n v="4.485161870503597E-2"/>
    <n v="1.1439864639837063E-2"/>
  </r>
  <r>
    <s v="Akkar"/>
    <x v="4"/>
    <s v="Akkar"/>
    <n v="35416"/>
    <n v="7454"/>
    <n v="202"/>
    <n v="0.25116709757585942"/>
    <n v="2.7099543869063589E-2"/>
    <n v="6.8065137792223777E-3"/>
  </r>
  <r>
    <s v="Akkar"/>
    <x v="4"/>
    <s v="Akkar"/>
    <n v="35269"/>
    <n v="6377"/>
    <n v="0"/>
    <n v="0.2482593898117009"/>
    <n v="0"/>
    <n v="0"/>
  </r>
  <r>
    <s v="Zahle"/>
    <x v="9"/>
    <s v="Bekaa"/>
    <n v="51281"/>
    <n v="8385"/>
    <n v="180"/>
    <n v="0.2536806313998442"/>
    <n v="2.1466905187835419E-2"/>
    <n v="5.4457380622506798E-3"/>
  </r>
  <r>
    <s v="Akkar"/>
    <x v="4"/>
    <s v="Akkar"/>
    <n v="35511"/>
    <n v="3449"/>
    <n v="0"/>
    <n v="0.24035431243616126"/>
    <n v="0"/>
    <n v="0"/>
  </r>
  <r>
    <s v="Baalbek"/>
    <x v="3"/>
    <s v="Baalbek-El Hermel"/>
    <n v="53127"/>
    <n v="1661"/>
    <n v="40"/>
    <n v="0.23552703157978663"/>
    <n v="2.4081878386514148E-2"/>
    <n v="5.6719333312410993E-3"/>
  </r>
  <r>
    <s v="Chouf"/>
    <x v="21"/>
    <s v="Mount Lebanon"/>
    <n v="23623"/>
    <n v="8142"/>
    <n v="315"/>
    <n v="0.25302457477339063"/>
    <n v="3.8688282977155493E-2"/>
    <n v="9.7890863490073757E-3"/>
  </r>
  <r>
    <s v="Sour"/>
    <x v="12"/>
    <s v="South"/>
    <n v="62243"/>
    <n v="5741"/>
    <n v="0"/>
    <n v="0.24654230333258778"/>
    <n v="0"/>
    <n v="0"/>
  </r>
  <r>
    <s v="Akkar"/>
    <x v="4"/>
    <s v="Akkar"/>
    <n v="35515"/>
    <n v="1803"/>
    <n v="0"/>
    <n v="0.23591040623392825"/>
    <n v="0"/>
    <n v="0"/>
  </r>
  <r>
    <s v="Akkar"/>
    <x v="4"/>
    <s v="Akkar"/>
    <n v="35231"/>
    <n v="3226"/>
    <n v="53"/>
    <n v="0.23975225223986846"/>
    <n v="1.6429014259144451E-2"/>
    <n v="3.9388931707107959E-3"/>
  </r>
  <r>
    <s v="Chouf"/>
    <x v="21"/>
    <s v="Mount Lebanon"/>
    <n v="23227"/>
    <n v="5736"/>
    <n v="690"/>
    <n v="0.24652880422504758"/>
    <n v="0.1202928870292887"/>
    <n v="2.965566159610928E-2"/>
  </r>
  <r>
    <s v="Baabda"/>
    <x v="1"/>
    <s v="Mount Lebanon"/>
    <n v="21133"/>
    <n v="12221"/>
    <n v="889"/>
    <n v="0.26403714670468376"/>
    <n v="7.2743638000163646E-2"/>
    <n v="1.9207022618481617E-2"/>
  </r>
  <r>
    <s v="Akkar"/>
    <x v="4"/>
    <s v="Akkar"/>
    <n v="35233"/>
    <n v="2393"/>
    <n v="0"/>
    <n v="0.23750330092367156"/>
    <n v="0"/>
    <n v="0"/>
  </r>
  <r>
    <s v="Akkar"/>
    <x v="4"/>
    <s v="Akkar"/>
    <n v="35219"/>
    <n v="2207"/>
    <n v="18"/>
    <n v="0.23700113412317619"/>
    <n v="8.155867693701857E-3"/>
    <n v="1.9329498931659136E-3"/>
  </r>
  <r>
    <s v="Marjaayoun"/>
    <x v="11"/>
    <s v="El Nabatieh"/>
    <n v="73111"/>
    <n v="3137"/>
    <n v="0"/>
    <n v="0.23951196812565292"/>
    <n v="0"/>
    <n v="0"/>
  </r>
  <r>
    <s v="Hasbaya"/>
    <x v="5"/>
    <s v="El Nabatieh"/>
    <n v="74141"/>
    <n v="1085"/>
    <n v="0"/>
    <n v="0.23397193439115588"/>
    <n v="0"/>
    <n v="0"/>
  </r>
  <r>
    <s v="Aley"/>
    <x v="2"/>
    <s v="Mount Lebanon"/>
    <n v="24414"/>
    <n v="1602"/>
    <n v="900"/>
    <n v="0.23536774211081229"/>
    <n v="0.5617977528089888"/>
    <n v="0.13222906860157996"/>
  </r>
  <r>
    <s v="Baalbek"/>
    <x v="3"/>
    <s v="Baalbek-El Hermel"/>
    <n v="53183"/>
    <n v="3241"/>
    <n v="585"/>
    <n v="0.23979274956248905"/>
    <n v="0.18049984572662758"/>
    <n v="4.3282554302393118E-2"/>
  </r>
  <r>
    <s v="Tripoli"/>
    <x v="13"/>
    <s v="North"/>
    <n v="31186"/>
    <n v="12806"/>
    <n v="113"/>
    <n v="0.26561654228688686"/>
    <n v="8.8239887552709669E-3"/>
    <n v="2.3437973823534448E-3"/>
  </r>
  <r>
    <s v="El Batroun"/>
    <x v="22"/>
    <s v="North"/>
    <n v="34336"/>
    <n v="1332"/>
    <n v="0"/>
    <n v="0.23463879030364165"/>
    <n v="0"/>
    <n v="0"/>
  </r>
  <r>
    <s v="Hasbaya"/>
    <x v="5"/>
    <s v="El Nabatieh"/>
    <n v="74111"/>
    <n v="7001"/>
    <n v="789"/>
    <n v="0.24994407843271754"/>
    <n v="0.11269818597343237"/>
    <n v="2.8168244234168568E-2"/>
  </r>
  <r>
    <s v="Saida"/>
    <x v="16"/>
    <s v="South"/>
    <n v="61496"/>
    <n v="2078"/>
    <n v="0"/>
    <n v="0.2366528571486391"/>
    <n v="0"/>
    <n v="0"/>
  </r>
  <r>
    <s v="El Nabatieh"/>
    <x v="24"/>
    <s v="El Nabatieh"/>
    <n v="71122"/>
    <n v="6688"/>
    <n v="0"/>
    <n v="0.24909903430070118"/>
    <n v="0"/>
    <n v="0"/>
  </r>
  <r>
    <s v="Rachaya"/>
    <x v="8"/>
    <s v="Bekaa"/>
    <n v="55111"/>
    <n v="5817"/>
    <n v="850"/>
    <n v="0.24674748976719879"/>
    <n v="0.14612343132198727"/>
    <n v="3.605558987487003E-2"/>
  </r>
  <r>
    <s v="El Koura"/>
    <x v="23"/>
    <s v="North"/>
    <n v="32123"/>
    <n v="3174"/>
    <n v="0"/>
    <n v="0.23961186152145039"/>
    <n v="0"/>
    <n v="0"/>
  </r>
  <r>
    <s v="Zahle"/>
    <x v="9"/>
    <s v="Bekaa"/>
    <n v="51184"/>
    <n v="1617"/>
    <n v="450"/>
    <n v="0.23540823943343289"/>
    <n v="0.2782931354359926"/>
    <n v="6.5512497059396907E-2"/>
  </r>
  <r>
    <s v="Jbeil"/>
    <x v="10"/>
    <s v="Mount Lebanon"/>
    <n v="26117"/>
    <n v="1118"/>
    <n v="450"/>
    <n v="0.2340610285009212"/>
    <n v="0.40250447227191416"/>
    <n v="9.421061075618474E-2"/>
  </r>
  <r>
    <s v="Zgharta"/>
    <x v="14"/>
    <s v="North"/>
    <n v="33211"/>
    <n v="568"/>
    <n v="900"/>
    <n v="0.23257612667149946"/>
    <n v="1.5845070422535212"/>
    <n v="0.3685185105710379"/>
  </r>
  <r>
    <s v="El Nabatieh"/>
    <x v="24"/>
    <s v="El Nabatieh"/>
    <n v="71117"/>
    <n v="2048"/>
    <n v="0"/>
    <n v="0.23657186250339793"/>
    <n v="0"/>
    <n v="0"/>
  </r>
  <r>
    <s v="Zahle"/>
    <x v="9"/>
    <s v="Bekaa"/>
    <n v="51177"/>
    <n v="1360"/>
    <n v="22"/>
    <n v="0.23471438530586675"/>
    <n v="1.6176470588235296E-2"/>
    <n v="3.7968503505360802E-3"/>
  </r>
  <r>
    <s v="Sour"/>
    <x v="12"/>
    <s v="South"/>
    <n v="62245"/>
    <n v="4696"/>
    <n v="0"/>
    <n v="0.2437209898566865"/>
    <n v="0"/>
    <n v="0"/>
  </r>
  <r>
    <s v="Zgharta"/>
    <x v="14"/>
    <s v="North"/>
    <n v="33115"/>
    <n v="4084"/>
    <n v="0"/>
    <n v="0.24206869909376633"/>
    <n v="0"/>
    <n v="0"/>
  </r>
  <r>
    <s v="Baalbek"/>
    <x v="3"/>
    <s v="Baalbek-El Hermel"/>
    <n v="53257"/>
    <n v="852"/>
    <n v="113"/>
    <n v="0.23334287597978268"/>
    <n v="0.13262910798122066"/>
    <n v="3.0948057494971176E-2"/>
  </r>
  <r>
    <s v="Zahle"/>
    <x v="9"/>
    <s v="Bekaa"/>
    <n v="51133"/>
    <n v="4328"/>
    <n v="0"/>
    <n v="0.24272745554172798"/>
    <n v="0"/>
    <n v="0"/>
  </r>
  <r>
    <s v="Akkar"/>
    <x v="4"/>
    <s v="Akkar"/>
    <n v="35259"/>
    <n v="535"/>
    <n v="23"/>
    <n v="0.23248703256173417"/>
    <n v="4.2990654205607479E-2"/>
    <n v="9.9947696241493196E-3"/>
  </r>
  <r>
    <s v="Zahle"/>
    <x v="9"/>
    <s v="Bekaa"/>
    <n v="51354"/>
    <n v="1153"/>
    <n v="0"/>
    <n v="0.23415552225370256"/>
    <n v="0"/>
    <n v="0"/>
  </r>
  <r>
    <s v="Kesrwane"/>
    <x v="6"/>
    <s v="Mount Lebanon"/>
    <n v="25415"/>
    <n v="4543"/>
    <n v="32"/>
    <n v="0.24330791716595646"/>
    <n v="7.0438036539731451E-3"/>
    <n v="1.7138131959741594E-3"/>
  </r>
  <r>
    <s v="El Nabatieh"/>
    <x v="24"/>
    <s v="El Nabatieh"/>
    <n v="71374"/>
    <n v="5855"/>
    <n v="0"/>
    <n v="0.24685008298450428"/>
    <n v="0"/>
    <n v="0"/>
  </r>
  <r>
    <s v="El Nabatieh"/>
    <x v="24"/>
    <s v="El Nabatieh"/>
    <n v="71211"/>
    <n v="3835"/>
    <n v="0"/>
    <n v="0.2413964435382645"/>
    <n v="0"/>
    <n v="0"/>
  </r>
  <r>
    <s v="Saida"/>
    <x v="16"/>
    <s v="South"/>
    <n v="61469"/>
    <n v="646"/>
    <n v="0"/>
    <n v="0.23278671274912655"/>
    <n v="0"/>
    <n v="0"/>
  </r>
  <r>
    <s v="Baalbek"/>
    <x v="3"/>
    <s v="Baalbek-El Hermel"/>
    <n v="53115"/>
    <n v="929"/>
    <n v="0"/>
    <n v="0.23355076223590171"/>
    <n v="0"/>
    <n v="0"/>
  </r>
  <r>
    <s v="Akkar"/>
    <x v="4"/>
    <s v="Akkar"/>
    <n v="35411"/>
    <n v="1964"/>
    <n v="0"/>
    <n v="0.23634507749672259"/>
    <n v="0"/>
    <n v="0"/>
  </r>
  <r>
    <s v="Saida"/>
    <x v="16"/>
    <s v="South"/>
    <n v="61412"/>
    <n v="694"/>
    <n v="40"/>
    <n v="0.23291630418151243"/>
    <n v="5.7636887608069162E-2"/>
    <n v="1.3424570846196682E-2"/>
  </r>
  <r>
    <s v="Beirut"/>
    <x v="0"/>
    <s v="Beirut"/>
    <n v="10999"/>
    <n v="272"/>
    <n v="45"/>
    <n v="0.23177697950511977"/>
    <n v="0.16544117647058823"/>
    <n v="3.8345456168126429E-2"/>
  </r>
  <r>
    <s v="El Koura"/>
    <x v="23"/>
    <s v="North"/>
    <n v="32167"/>
    <n v="814"/>
    <n v="45"/>
    <n v="0.23324028276247719"/>
    <n v="5.5282555282555282E-2"/>
    <n v="1.2894118825935471E-2"/>
  </r>
  <r>
    <s v="Zgharta"/>
    <x v="14"/>
    <s v="North"/>
    <n v="33121"/>
    <n v="1748"/>
    <n v="0"/>
    <n v="0.23576191605098606"/>
    <n v="0"/>
    <n v="0"/>
  </r>
  <r>
    <s v="El Nabatieh"/>
    <x v="24"/>
    <s v="El Nabatieh"/>
    <n v="71177"/>
    <n v="2962"/>
    <n v="0"/>
    <n v="0.23903949936174601"/>
    <n v="0"/>
    <n v="0"/>
  </r>
  <r>
    <s v="El Koura"/>
    <x v="23"/>
    <s v="North"/>
    <n v="32115"/>
    <n v="1420"/>
    <n v="135"/>
    <n v="0.23487637459634911"/>
    <n v="9.5070422535211266E-2"/>
    <n v="2.232979617641347E-2"/>
  </r>
  <r>
    <s v="Chouf"/>
    <x v="21"/>
    <s v="Mount Lebanon"/>
    <n v="23433"/>
    <n v="2839"/>
    <n v="641"/>
    <n v="0.23870742131625716"/>
    <n v="0.22578372666431842"/>
    <n v="5.3896251167214103E-2"/>
  </r>
  <r>
    <s v="Akkar"/>
    <x v="4"/>
    <s v="Akkar"/>
    <n v="35445"/>
    <n v="774"/>
    <n v="117"/>
    <n v="0.23313228990215559"/>
    <n v="0.15116279069767441"/>
    <n v="3.52409275433491E-2"/>
  </r>
  <r>
    <s v="West Bekaa"/>
    <x v="17"/>
    <s v="Bekaa"/>
    <n v="52244"/>
    <n v="3702"/>
    <n v="0"/>
    <n v="0.24103736727769526"/>
    <n v="0"/>
    <n v="0"/>
  </r>
  <r>
    <s v="Chouf"/>
    <x v="21"/>
    <s v="Mount Lebanon"/>
    <n v="23461"/>
    <n v="202"/>
    <n v="0"/>
    <n v="0.23158799199955701"/>
    <n v="0"/>
    <n v="0"/>
  </r>
  <r>
    <s v="El Meten"/>
    <x v="19"/>
    <s v="Mount Lebanon"/>
    <n v="22343"/>
    <n v="3678"/>
    <n v="90"/>
    <n v="0.24097257156150231"/>
    <n v="2.4469820554649267E-2"/>
    <n v="5.8965555847023407E-3"/>
  </r>
  <r>
    <s v="Akkar"/>
    <x v="4"/>
    <s v="Akkar"/>
    <n v="35158"/>
    <n v="1165"/>
    <n v="0"/>
    <n v="0.23418792011179904"/>
    <n v="0"/>
    <n v="0"/>
  </r>
  <r>
    <s v="Akkar"/>
    <x v="4"/>
    <s v="Akkar"/>
    <n v="35223"/>
    <n v="500"/>
    <n v="0"/>
    <n v="0.23239253880895278"/>
    <n v="0"/>
    <n v="0"/>
  </r>
  <r>
    <s v="Akkar"/>
    <x v="4"/>
    <s v="Akkar"/>
    <n v="35518"/>
    <n v="828"/>
    <n v="293"/>
    <n v="0.23327808026358973"/>
    <n v="0.35386473429951693"/>
    <n v="8.2548885890376567E-2"/>
  </r>
  <r>
    <s v="Jbeil"/>
    <x v="10"/>
    <s v="Mount Lebanon"/>
    <n v="26284"/>
    <n v="1727"/>
    <n v="270"/>
    <n v="0.23570521979931724"/>
    <n v="0.1563404748118124"/>
    <n v="3.6850265979047864E-2"/>
  </r>
  <r>
    <s v="Saida"/>
    <x v="16"/>
    <s v="South"/>
    <n v="61415"/>
    <n v="530"/>
    <n v="0"/>
    <n v="0.23247353345419397"/>
    <n v="0"/>
    <n v="0"/>
  </r>
  <r>
    <s v="Jezzine"/>
    <x v="7"/>
    <s v="South"/>
    <n v="63319"/>
    <n v="1215"/>
    <n v="0"/>
    <n v="0.23432291118720103"/>
    <n v="0"/>
    <n v="0"/>
  </r>
  <r>
    <s v="El Koura"/>
    <x v="23"/>
    <s v="North"/>
    <n v="32177"/>
    <n v="1714"/>
    <n v="45"/>
    <n v="0.23567012211971272"/>
    <n v="2.6254375729288213E-2"/>
    <n v="6.187371934298175E-3"/>
  </r>
  <r>
    <s v="Rachaya"/>
    <x v="8"/>
    <s v="Bekaa"/>
    <n v="55161"/>
    <n v="564"/>
    <n v="0"/>
    <n v="0.23256532738546731"/>
    <n v="0"/>
    <n v="0"/>
  </r>
  <r>
    <s v="El Batroun"/>
    <x v="22"/>
    <s v="North"/>
    <n v="34259"/>
    <n v="819"/>
    <n v="0"/>
    <n v="0.23325378187001738"/>
    <n v="0"/>
    <n v="0"/>
  </r>
  <r>
    <s v="West Bekaa"/>
    <x v="17"/>
    <s v="Bekaa"/>
    <n v="52281"/>
    <n v="1943"/>
    <n v="0"/>
    <n v="0.23628838124505377"/>
    <n v="0"/>
    <n v="0"/>
  </r>
  <r>
    <s v="El Hermel"/>
    <x v="15"/>
    <s v="Baalbek-El Hermel"/>
    <n v="54159"/>
    <n v="126"/>
    <n v="0"/>
    <n v="0.231382805564946"/>
    <n v="0"/>
    <n v="0"/>
  </r>
  <r>
    <s v="Jezzine"/>
    <x v="7"/>
    <s v="South"/>
    <n v="63214"/>
    <n v="628"/>
    <n v="222"/>
    <n v="0.23273811596198182"/>
    <n v="0.35350318471337577"/>
    <n v="8.2273665196751528E-2"/>
  </r>
  <r>
    <s v="Saida"/>
    <x v="16"/>
    <s v="South"/>
    <n v="61426"/>
    <n v="1559"/>
    <n v="0"/>
    <n v="0.2352516497859666"/>
    <n v="0"/>
    <n v="0"/>
  </r>
  <r>
    <s v="Saida"/>
    <x v="16"/>
    <s v="South"/>
    <n v="61437"/>
    <n v="899"/>
    <n v="0"/>
    <n v="0.23346976759066054"/>
    <n v="0"/>
    <n v="0"/>
  </r>
  <r>
    <s v="El Koura"/>
    <x v="23"/>
    <s v="North"/>
    <n v="32143"/>
    <n v="778"/>
    <n v="58"/>
    <n v="0.23314308918818777"/>
    <n v="7.4550128534704371E-2"/>
    <n v="1.7380847265957441E-2"/>
  </r>
  <r>
    <s v="Aley"/>
    <x v="2"/>
    <s v="Mount Lebanon"/>
    <n v="24369"/>
    <n v="1727"/>
    <n v="330"/>
    <n v="0.23570521979931724"/>
    <n v="0.19108280254777071"/>
    <n v="4.5039213974391833E-2"/>
  </r>
  <r>
    <s v="Akkar"/>
    <x v="4"/>
    <s v="Akkar"/>
    <n v="35125"/>
    <n v="2607"/>
    <n v="0"/>
    <n v="0.23808106272639201"/>
    <n v="0"/>
    <n v="0"/>
  </r>
  <r>
    <s v="El Koura"/>
    <x v="23"/>
    <s v="North"/>
    <n v="32149"/>
    <n v="620"/>
    <n v="23"/>
    <n v="0.23271651738991753"/>
    <n v="3.7096774193548385E-2"/>
    <n v="8.6330320967227467E-3"/>
  </r>
  <r>
    <s v="Saida"/>
    <x v="16"/>
    <s v="South"/>
    <n v="61414"/>
    <n v="1344"/>
    <n v="0"/>
    <n v="0.23467118816173813"/>
    <n v="0"/>
    <n v="0"/>
  </r>
  <r>
    <s v="Akkar"/>
    <x v="4"/>
    <s v="Akkar"/>
    <n v="35247"/>
    <n v="180"/>
    <n v="13"/>
    <n v="0.23152859592638014"/>
    <n v="7.2222222222222215E-2"/>
    <n v="1.672150970579412E-2"/>
  </r>
  <r>
    <s v="Aley"/>
    <x v="2"/>
    <s v="Mount Lebanon"/>
    <n v="24441"/>
    <n v="346"/>
    <n v="206"/>
    <n v="0.23197676629671471"/>
    <n v="0.59537572254335258"/>
    <n v="0.13811333484717697"/>
  </r>
  <r>
    <s v="Tripoli"/>
    <x v="13"/>
    <s v="North"/>
    <n v="31141"/>
    <n v="7658"/>
    <n v="0"/>
    <n v="0.25171786116349948"/>
    <n v="0"/>
    <n v="0"/>
  </r>
  <r>
    <s v="Zahle"/>
    <x v="9"/>
    <s v="Bekaa"/>
    <n v="51237"/>
    <n v="85"/>
    <n v="0"/>
    <n v="0.23127211288311639"/>
    <n v="0"/>
    <n v="0"/>
  </r>
  <r>
    <s v="Zgharta"/>
    <x v="14"/>
    <s v="North"/>
    <n v="33151"/>
    <n v="352"/>
    <n v="0"/>
    <n v="0.23199296522576293"/>
    <n v="0"/>
    <n v="0"/>
  </r>
  <r>
    <s v="Chouf"/>
    <x v="21"/>
    <s v="Mount Lebanon"/>
    <n v="23427"/>
    <n v="100"/>
    <n v="0"/>
    <n v="0.23131261020573698"/>
    <n v="0"/>
    <n v="0"/>
  </r>
  <r>
    <s v="Baabda"/>
    <x v="1"/>
    <s v="Mount Lebanon"/>
    <n v="21283"/>
    <n v="960"/>
    <n v="21"/>
    <n v="0.23363445670265096"/>
    <n v="2.1874999999999999E-2"/>
    <n v="5.1107537403704897E-3"/>
  </r>
  <r>
    <s v="Baalbek"/>
    <x v="3"/>
    <s v="Baalbek-El Hermel"/>
    <n v="53227"/>
    <n v="72"/>
    <n v="0"/>
    <n v="0.23123701520351186"/>
    <n v="0"/>
    <n v="0"/>
  </r>
  <r>
    <s v="Zgharta"/>
    <x v="14"/>
    <s v="North"/>
    <n v="33139"/>
    <n v="280"/>
    <n v="0"/>
    <n v="0.2317985780771841"/>
    <n v="0"/>
    <n v="0"/>
  </r>
  <r>
    <s v="Zgharta"/>
    <x v="14"/>
    <s v="North"/>
    <n v="33155"/>
    <n v="1465"/>
    <n v="0"/>
    <n v="0.2349978665642109"/>
    <n v="0"/>
    <n v="0"/>
  </r>
  <r>
    <s v="El Hermel"/>
    <x v="15"/>
    <s v="Baalbek-El Hermel"/>
    <n v="54151"/>
    <n v="245"/>
    <n v="0"/>
    <n v="0.2317040843244027"/>
    <n v="0"/>
    <n v="0"/>
  </r>
  <r>
    <s v="El Batroun"/>
    <x v="22"/>
    <s v="North"/>
    <n v="34283"/>
    <n v="66"/>
    <n v="0"/>
    <n v="0.23122081627446364"/>
    <n v="0"/>
    <n v="0"/>
  </r>
  <r>
    <s v="Jezzine"/>
    <x v="7"/>
    <s v="South"/>
    <n v="63144"/>
    <n v="744"/>
    <n v="267"/>
    <n v="0.23305129525691443"/>
    <n v="0.3588709677419355"/>
    <n v="8.363534386236042E-2"/>
  </r>
  <r>
    <s v="El Meten"/>
    <x v="19"/>
    <s v="Mount Lebanon"/>
    <n v="22771"/>
    <n v="416"/>
    <n v="19"/>
    <n v="0.23216575380227747"/>
    <n v="4.567307692307692E-2"/>
    <n v="1.0603724332315557E-2"/>
  </r>
  <r>
    <s v="Chouf"/>
    <x v="21"/>
    <s v="Mount Lebanon"/>
    <n v="23635"/>
    <n v="1926"/>
    <n v="182"/>
    <n v="0.2362424842794171"/>
    <n v="9.4496365524402909E-2"/>
    <n v="2.2324056146860807E-2"/>
  </r>
  <r>
    <s v="El Hermel"/>
    <x v="15"/>
    <s v="Baalbek-El Hermel"/>
    <n v="54167"/>
    <n v="102"/>
    <n v="0"/>
    <n v="0.23131800984875306"/>
    <n v="0"/>
    <n v="0"/>
  </r>
  <r>
    <s v="Jbeil"/>
    <x v="10"/>
    <s v="Mount Lebanon"/>
    <n v="26224"/>
    <n v="364"/>
    <n v="0"/>
    <n v="0.2320253630838594"/>
    <n v="0"/>
    <n v="0"/>
  </r>
  <r>
    <s v="Saida"/>
    <x v="16"/>
    <s v="South"/>
    <n v="61487"/>
    <n v="424"/>
    <n v="236"/>
    <n v="0.23218735237434177"/>
    <n v="0.55660377358490565"/>
    <n v="0.12923635651024684"/>
  </r>
  <r>
    <s v="West Bekaa"/>
    <x v="17"/>
    <s v="Bekaa"/>
    <n v="52221"/>
    <n v="348"/>
    <n v="45"/>
    <n v="0.23198216593973078"/>
    <n v="0.12931034482758622"/>
    <n v="2.9997693871516913E-2"/>
  </r>
  <r>
    <s v="Akkar"/>
    <x v="4"/>
    <s v="Akkar"/>
    <n v="35263"/>
    <n v="180"/>
    <n v="0"/>
    <n v="0.23152859592638014"/>
    <n v="0"/>
    <n v="0"/>
  </r>
  <r>
    <s v="El Koura"/>
    <x v="23"/>
    <s v="North"/>
    <n v="32165"/>
    <n v="550"/>
    <n v="180"/>
    <n v="0.23252752988435477"/>
    <n v="0.32727272727272727"/>
    <n v="7.6099918871243372E-2"/>
  </r>
  <r>
    <s v="Baalbek"/>
    <x v="3"/>
    <s v="Baalbek-El Hermel"/>
    <n v="53159"/>
    <n v="73"/>
    <n v="0"/>
    <n v="0.23123971502501992"/>
    <n v="0"/>
    <n v="0"/>
  </r>
  <r>
    <s v="Akkar"/>
    <x v="4"/>
    <s v="Akkar"/>
    <n v="35421"/>
    <n v="265"/>
    <n v="0"/>
    <n v="0.2317580807545635"/>
    <n v="0"/>
    <n v="0"/>
  </r>
  <r>
    <s v="Saida"/>
    <x v="16"/>
    <s v="South"/>
    <n v="61431"/>
    <n v="73"/>
    <n v="0"/>
    <n v="0.23123971502501992"/>
    <n v="0"/>
    <n v="0"/>
  </r>
  <r>
    <s v="El Minieh-Dennie"/>
    <x v="20"/>
    <s v="North"/>
    <n v="37359"/>
    <n v="51"/>
    <n v="24"/>
    <n v="0.23118031895184304"/>
    <n v="0.47058823529411764"/>
    <n v="0.10879073833027908"/>
  </r>
  <r>
    <s v="Jbeil"/>
    <x v="10"/>
    <s v="Mount Lebanon"/>
    <n v="26123"/>
    <n v="3875"/>
    <n v="100"/>
    <n v="0.2415044363985861"/>
    <n v="2.5806451612903226E-2"/>
    <n v="6.2323725522215765E-3"/>
  </r>
  <r>
    <s v="Jezzine"/>
    <x v="7"/>
    <s v="South"/>
    <n v="63131"/>
    <n v="658"/>
    <n v="42"/>
    <n v="0.23281911060722302"/>
    <n v="6.3829787234042548E-2"/>
    <n v="1.4860794294078064E-2"/>
  </r>
  <r>
    <s v="Zahle"/>
    <x v="9"/>
    <s v="Bekaa"/>
    <n v="51131"/>
    <n v="4830"/>
    <n v="442"/>
    <n v="0.2440827659387638"/>
    <n v="9.1511387163561081E-2"/>
    <n v="2.2336352493775073E-2"/>
  </r>
  <r>
    <s v="Zgharta"/>
    <x v="14"/>
    <s v="North"/>
    <n v="33149"/>
    <n v="459"/>
    <n v="0"/>
    <n v="0.23228184612712316"/>
    <n v="0"/>
    <n v="0"/>
  </r>
  <r>
    <s v="El Hermel"/>
    <x v="15"/>
    <s v="Baalbek-El Hermel"/>
    <n v="54135"/>
    <n v="128"/>
    <n v="90"/>
    <n v="0.23138820520796208"/>
    <n v="0.703125"/>
    <n v="0.16269483178684835"/>
  </r>
  <r>
    <s v="Saida"/>
    <x v="16"/>
    <s v="South"/>
    <n v="61483"/>
    <n v="724"/>
    <n v="90"/>
    <n v="0.23299729882675363"/>
    <n v="0.12430939226519337"/>
    <n v="2.8963752616585396E-2"/>
  </r>
  <r>
    <s v="Zahle"/>
    <x v="9"/>
    <s v="Bekaa"/>
    <n v="51335"/>
    <n v="50"/>
    <n v="0"/>
    <n v="0.23117761913033499"/>
    <n v="0"/>
    <n v="0"/>
  </r>
  <r>
    <s v="Bcharre"/>
    <x v="25"/>
    <s v="North"/>
    <n v="36154"/>
    <n v="190"/>
    <n v="0"/>
    <n v="0.23155559414146054"/>
    <n v="0"/>
    <n v="0"/>
  </r>
  <r>
    <s v="Baalbek"/>
    <x v="3"/>
    <s v="Baalbek-El Hermel"/>
    <n v="53221"/>
    <n v="490"/>
    <n v="0"/>
    <n v="0.23236554059387238"/>
    <n v="0"/>
    <n v="0"/>
  </r>
  <r>
    <s v="El Nabatieh"/>
    <x v="24"/>
    <s v="El Nabatieh"/>
    <n v="71236"/>
    <n v="1260"/>
    <n v="346"/>
    <n v="0.23444440315506279"/>
    <n v="0.27460317460317463"/>
    <n v="6.4379177374326774E-2"/>
  </r>
  <r>
    <s v="Baalbek"/>
    <x v="3"/>
    <s v="Baalbek-El Hermel"/>
    <n v="53131"/>
    <n v="46"/>
    <n v="0"/>
    <n v="0.23116681984430285"/>
    <n v="0"/>
    <n v="0"/>
  </r>
  <r>
    <s v="Jbeil"/>
    <x v="10"/>
    <s v="Mount Lebanon"/>
    <n v="26253"/>
    <n v="607"/>
    <n v="114"/>
    <n v="0.232681419710313"/>
    <n v="0.18780889621087316"/>
    <n v="4.3699640604572793E-2"/>
  </r>
  <r>
    <s v="Marjaayoun"/>
    <x v="11"/>
    <s v="El Nabatieh"/>
    <n v="73256"/>
    <n v="258"/>
    <n v="0"/>
    <n v="0.23173918200400723"/>
    <n v="0"/>
    <n v="0"/>
  </r>
  <r>
    <s v="Saida"/>
    <x v="16"/>
    <s v="South"/>
    <n v="61443"/>
    <n v="276"/>
    <n v="0"/>
    <n v="0.23178777879115192"/>
    <n v="0"/>
    <n v="0"/>
  </r>
  <r>
    <s v="El Batroun"/>
    <x v="22"/>
    <s v="North"/>
    <n v="34249"/>
    <n v="614"/>
    <n v="0"/>
    <n v="0.23270031846086928"/>
    <n v="0"/>
    <n v="0"/>
  </r>
  <r>
    <s v="El Koura"/>
    <x v="23"/>
    <s v="North"/>
    <n v="32183"/>
    <n v="196"/>
    <n v="0"/>
    <n v="0.23157179307050876"/>
    <n v="0"/>
    <n v="0"/>
  </r>
  <r>
    <s v="Chouf"/>
    <x v="21"/>
    <s v="Mount Lebanon"/>
    <n v="23419"/>
    <n v="1004"/>
    <n v="70"/>
    <n v="0.2337532488490047"/>
    <n v="6.9721115537848599E-2"/>
    <n v="1.6297537270348932E-2"/>
  </r>
  <r>
    <s v="Akkar"/>
    <x v="4"/>
    <s v="Akkar"/>
    <n v="35318"/>
    <n v="5965"/>
    <n v="0"/>
    <n v="0.24714706335038863"/>
    <n v="0"/>
    <n v="0"/>
  </r>
  <r>
    <s v="Baalbek"/>
    <x v="3"/>
    <s v="Baalbek-El Hermel"/>
    <n v="53267"/>
    <n v="713"/>
    <n v="0"/>
    <n v="0.23296760079016518"/>
    <n v="0"/>
    <n v="0"/>
  </r>
  <r>
    <s v="Chouf"/>
    <x v="21"/>
    <s v="Mount Lebanon"/>
    <n v="23457"/>
    <n v="38"/>
    <n v="0"/>
    <n v="0.23114522127223852"/>
    <n v="0"/>
    <n v="0"/>
  </r>
  <r>
    <s v="Akkar"/>
    <x v="4"/>
    <s v="Akkar"/>
    <n v="35255"/>
    <n v="308"/>
    <n v="0"/>
    <n v="0.23187417307940919"/>
    <n v="0"/>
    <n v="0"/>
  </r>
  <r>
    <s v="West Bekaa"/>
    <x v="17"/>
    <s v="Bekaa"/>
    <n v="52291"/>
    <n v="760"/>
    <n v="0"/>
    <n v="0.23309449240104305"/>
    <n v="0"/>
    <n v="0"/>
  </r>
  <r>
    <s v="Akkar"/>
    <x v="4"/>
    <s v="Akkar"/>
    <n v="35157"/>
    <n v="325"/>
    <n v="0"/>
    <n v="0.23192007004504586"/>
    <n v="0"/>
    <n v="0"/>
  </r>
  <r>
    <s v="Bcharre"/>
    <x v="25"/>
    <s v="North"/>
    <n v="36127"/>
    <n v="730"/>
    <n v="0"/>
    <n v="0.23301349775580185"/>
    <n v="0"/>
    <n v="0"/>
  </r>
  <r>
    <s v="West Bekaa"/>
    <x v="17"/>
    <s v="Bekaa"/>
    <n v="52241"/>
    <n v="72"/>
    <n v="0"/>
    <n v="0.23123701520351186"/>
    <n v="0"/>
    <n v="0"/>
  </r>
  <r>
    <s v="Baalbek"/>
    <x v="3"/>
    <s v="Baalbek-El Hermel"/>
    <n v="53473"/>
    <n v="37"/>
    <n v="135"/>
    <n v="0.2311425214507305"/>
    <n v="3.6486486486486487"/>
    <n v="0.84335784853644913"/>
  </r>
  <r>
    <s v="Akkar"/>
    <x v="4"/>
    <s v="Akkar"/>
    <n v="35408"/>
    <n v="154"/>
    <n v="40"/>
    <n v="0.23145840056717112"/>
    <n v="0.25974025974025972"/>
    <n v="6.0119065082382107E-2"/>
  </r>
  <r>
    <s v="Jbeil"/>
    <x v="10"/>
    <s v="Mount Lebanon"/>
    <n v="26183"/>
    <n v="709"/>
    <n v="165"/>
    <n v="0.23295680150413303"/>
    <n v="0.23272214386459802"/>
    <n v="5.4214206273881453E-2"/>
  </r>
  <r>
    <s v="Chouf"/>
    <x v="21"/>
    <s v="Mount Lebanon"/>
    <n v="23223"/>
    <n v="225"/>
    <n v="9"/>
    <n v="0.23165008789424191"/>
    <n v="0.04"/>
    <n v="9.2660035157696771E-3"/>
  </r>
  <r>
    <s v="El Meten"/>
    <x v="19"/>
    <s v="Mount Lebanon"/>
    <n v="22781"/>
    <n v="499"/>
    <n v="0"/>
    <n v="0.23238983898744475"/>
    <n v="0"/>
    <n v="0"/>
  </r>
  <r>
    <s v="Akkar"/>
    <x v="4"/>
    <s v="Akkar"/>
    <n v="35430"/>
    <n v="152"/>
    <n v="0"/>
    <n v="0.23145300092415502"/>
    <n v="0"/>
    <n v="0"/>
  </r>
  <r>
    <s v="Saida"/>
    <x v="16"/>
    <s v="South"/>
    <n v="61441"/>
    <n v="131"/>
    <n v="0"/>
    <n v="0.2313963046724862"/>
    <n v="0"/>
    <n v="0"/>
  </r>
  <r>
    <s v="El Meten"/>
    <x v="19"/>
    <s v="Mount Lebanon"/>
    <n v="22751"/>
    <n v="1675"/>
    <n v="400"/>
    <n v="0.23556482908089918"/>
    <n v="0.23880597014925373"/>
    <n v="5.6254287541707262E-2"/>
  </r>
  <r>
    <s v="El Nabatieh"/>
    <x v="24"/>
    <s v="El Nabatieh"/>
    <n v="71216"/>
    <n v="771"/>
    <n v="0"/>
    <n v="0.2331241904376315"/>
    <n v="0"/>
    <n v="0"/>
  </r>
  <r>
    <s v="Chouf"/>
    <x v="21"/>
    <s v="Mount Lebanon"/>
    <n v="23449"/>
    <n v="796"/>
    <n v="0"/>
    <n v="0.23319168597533246"/>
    <n v="0"/>
    <n v="0"/>
  </r>
  <r>
    <s v="El Meten"/>
    <x v="19"/>
    <s v="Mount Lebanon"/>
    <n v="22724"/>
    <n v="182"/>
    <n v="60"/>
    <n v="0.23153399556939622"/>
    <n v="0.32967032967032966"/>
    <n v="7.6329888649251498E-2"/>
  </r>
  <r>
    <s v="El Batroun"/>
    <x v="22"/>
    <s v="North"/>
    <n v="34241"/>
    <n v="400"/>
    <n v="149"/>
    <n v="0.23212255665814882"/>
    <n v="0.3725"/>
    <n v="8.6465652355160433E-2"/>
  </r>
  <r>
    <s v="El Minieh-Dennie"/>
    <x v="20"/>
    <s v="North"/>
    <n v="37387"/>
    <n v="245"/>
    <n v="0"/>
    <n v="0.2317040843244027"/>
    <n v="0"/>
    <n v="0"/>
  </r>
  <r>
    <s v="Akkar"/>
    <x v="4"/>
    <s v="Akkar"/>
    <n v="35281"/>
    <n v="1134"/>
    <n v="0"/>
    <n v="0.23410422564504982"/>
    <n v="0"/>
    <n v="0"/>
  </r>
  <r>
    <s v="Aley"/>
    <x v="2"/>
    <s v="Mount Lebanon"/>
    <n v="24341"/>
    <n v="304"/>
    <n v="0"/>
    <n v="0.23186337379337704"/>
    <n v="0"/>
    <n v="0"/>
  </r>
  <r>
    <s v="El Meten"/>
    <x v="19"/>
    <s v="Mount Lebanon"/>
    <n v="22635"/>
    <n v="652"/>
    <n v="45"/>
    <n v="0.2328029116781748"/>
    <n v="6.9018404907975464E-2"/>
    <n v="1.6067685621959919E-2"/>
  </r>
  <r>
    <s v="El Batroun"/>
    <x v="22"/>
    <s v="North"/>
    <n v="34376"/>
    <n v="225"/>
    <n v="0"/>
    <n v="0.23165008789424191"/>
    <n v="0"/>
    <n v="0"/>
  </r>
  <r>
    <s v="Zahle"/>
    <x v="9"/>
    <s v="Bekaa"/>
    <n v="51115"/>
    <n v="2553"/>
    <n v="0"/>
    <n v="0.23793527236495787"/>
    <n v="0"/>
    <n v="0"/>
  </r>
  <r>
    <s v="Zgharta"/>
    <x v="14"/>
    <s v="North"/>
    <n v="33231"/>
    <n v="61"/>
    <n v="0"/>
    <n v="0.23120731716692344"/>
    <n v="0"/>
    <n v="0"/>
  </r>
  <r>
    <s v="El Koura"/>
    <x v="23"/>
    <s v="North"/>
    <n v="32173"/>
    <n v="28"/>
    <n v="0"/>
    <n v="0.23111822305715812"/>
    <n v="0"/>
    <n v="0"/>
  </r>
  <r>
    <s v="El Meten"/>
    <x v="19"/>
    <s v="Mount Lebanon"/>
    <n v="22515"/>
    <n v="1228"/>
    <n v="0"/>
    <n v="0.23435800886680552"/>
    <n v="0"/>
    <n v="0"/>
  </r>
  <r>
    <s v="El Minieh-Dennie"/>
    <x v="20"/>
    <s v="North"/>
    <n v="37281"/>
    <n v="220"/>
    <n v="0"/>
    <n v="0.23163658878670171"/>
    <n v="0"/>
    <n v="0"/>
  </r>
  <r>
    <s v="Hasbaya"/>
    <x v="5"/>
    <s v="El Nabatieh"/>
    <n v="74131"/>
    <n v="554"/>
    <n v="97"/>
    <n v="0.23253832917038691"/>
    <n v="0.17509025270758122"/>
    <n v="4.0715194818641748E-2"/>
  </r>
  <r>
    <s v="Aley"/>
    <x v="2"/>
    <s v="Mount Lebanon"/>
    <n v="24443"/>
    <n v="30"/>
    <n v="22"/>
    <n v="0.23112362270017422"/>
    <n v="0.73333333333333328"/>
    <n v="0.16949065664679441"/>
  </r>
  <r>
    <s v="Jezzine"/>
    <x v="7"/>
    <s v="South"/>
    <n v="63331"/>
    <n v="73"/>
    <n v="0"/>
    <n v="0.23123971502501992"/>
    <n v="0"/>
    <n v="0"/>
  </r>
  <r>
    <s v="Saida"/>
    <x v="16"/>
    <s v="South"/>
    <n v="61418"/>
    <n v="796"/>
    <n v="144"/>
    <n v="0.23319168597533246"/>
    <n v="0.18090452261306533"/>
    <n v="4.2185430628703363E-2"/>
  </r>
  <r>
    <s v="El Meten"/>
    <x v="19"/>
    <s v="Mount Lebanon"/>
    <n v="22245"/>
    <n v="1456"/>
    <n v="68"/>
    <n v="0.23497356817063855"/>
    <n v="4.6703296703296704E-2"/>
    <n v="1.0974040271705647E-2"/>
  </r>
  <r>
    <s v="Kesrwane"/>
    <x v="6"/>
    <s v="Mount Lebanon"/>
    <n v="25482"/>
    <n v="19"/>
    <n v="0"/>
    <n v="0.23109392466358578"/>
    <n v="0"/>
    <n v="0"/>
  </r>
  <r>
    <s v="El Minieh-Dennie"/>
    <x v="20"/>
    <s v="North"/>
    <n v="37349"/>
    <n v="519"/>
    <n v="15"/>
    <n v="0.23244383541760552"/>
    <n v="2.8901734104046242E-2"/>
    <n v="6.7180299253643211E-3"/>
  </r>
  <r>
    <s v="Baalbek"/>
    <x v="3"/>
    <s v="Baalbek-El Hermel"/>
    <n v="53244"/>
    <n v="83"/>
    <n v="0"/>
    <n v="0.23126671324010031"/>
    <n v="0"/>
    <n v="0"/>
  </r>
  <r>
    <s v="Chouf"/>
    <x v="21"/>
    <s v="Mount Lebanon"/>
    <n v="23425"/>
    <n v="173"/>
    <n v="0"/>
    <n v="0.23150969717582387"/>
    <n v="0"/>
    <n v="0"/>
  </r>
  <r>
    <s v="Chouf"/>
    <x v="21"/>
    <s v="Mount Lebanon"/>
    <n v="23351"/>
    <n v="16"/>
    <n v="0"/>
    <n v="0.23108582519906165"/>
    <n v="0"/>
    <n v="0"/>
  </r>
  <r>
    <s v="Kesrwane"/>
    <x v="6"/>
    <s v="Mount Lebanon"/>
    <n v="25361"/>
    <n v="690"/>
    <n v="60"/>
    <n v="0.23290550489548029"/>
    <n v="8.6956521739130432E-2"/>
    <n v="2.0252652599606982E-2"/>
  </r>
  <r>
    <s v="Akkar"/>
    <x v="4"/>
    <s v="Akkar"/>
    <n v="35251"/>
    <n v="269"/>
    <n v="0"/>
    <n v="0.23176888004059565"/>
    <n v="0"/>
    <n v="0"/>
  </r>
  <r>
    <s v="El Meten"/>
    <x v="19"/>
    <s v="Mount Lebanon"/>
    <n v="22479"/>
    <n v="1223"/>
    <n v="18"/>
    <n v="0.23434450975926532"/>
    <n v="1.4717906786590351E-2"/>
    <n v="3.4490606505860797E-3"/>
  </r>
  <r>
    <s v="El Meten"/>
    <x v="19"/>
    <s v="Mount Lebanon"/>
    <n v="22383"/>
    <n v="3611"/>
    <n v="117"/>
    <n v="0.24079168352046365"/>
    <n v="3.2400996953752426E-2"/>
    <n v="7.8018906042354608E-3"/>
  </r>
  <r>
    <s v="Sour"/>
    <x v="12"/>
    <s v="South"/>
    <n v="62249"/>
    <n v="134"/>
    <n v="0"/>
    <n v="0.23140440413701033"/>
    <n v="0"/>
    <n v="0"/>
  </r>
  <r>
    <s v="Baalbek"/>
    <x v="3"/>
    <s v="Baalbek-El Hermel"/>
    <n v="53421"/>
    <n v="239"/>
    <n v="0"/>
    <n v="0.23168788539535448"/>
    <n v="0"/>
    <n v="0"/>
  </r>
  <r>
    <s v="El Meten"/>
    <x v="19"/>
    <s v="Mount Lebanon"/>
    <n v="22367"/>
    <n v="2224"/>
    <n v="15"/>
    <n v="0.23704703108881287"/>
    <n v="6.7446043165467623E-3"/>
    <n v="1.5987884291062018E-3"/>
  </r>
  <r>
    <s v="El Minieh-Dennie"/>
    <x v="20"/>
    <s v="North"/>
    <n v="37375"/>
    <n v="69"/>
    <n v="0"/>
    <n v="0.23122891573898777"/>
    <n v="0"/>
    <n v="0"/>
  </r>
  <r>
    <s v="Hasbaya"/>
    <x v="5"/>
    <s v="El Nabatieh"/>
    <n v="74181"/>
    <n v="15"/>
    <n v="0"/>
    <n v="0.23108312537755363"/>
    <n v="0"/>
    <n v="0"/>
  </r>
  <r>
    <s v="Jezzine"/>
    <x v="7"/>
    <s v="South"/>
    <n v="63234"/>
    <n v="223"/>
    <n v="13"/>
    <n v="0.23164468825122583"/>
    <n v="5.829596412556054E-2"/>
    <n v="1.3503950436170116E-2"/>
  </r>
  <r>
    <s v="Sour"/>
    <x v="12"/>
    <s v="South"/>
    <n v="62318"/>
    <n v="11"/>
    <n v="0"/>
    <n v="0.23107232609152145"/>
    <n v="0"/>
    <n v="0"/>
  </r>
  <r>
    <s v="Kesrwane"/>
    <x v="6"/>
    <s v="Mount Lebanon"/>
    <n v="25176"/>
    <n v="3699"/>
    <n v="0"/>
    <n v="0.24102926781317113"/>
    <n v="0"/>
    <n v="0"/>
  </r>
  <r>
    <s v="Kesrwane"/>
    <x v="6"/>
    <s v="Mount Lebanon"/>
    <n v="25181"/>
    <n v="299"/>
    <n v="0"/>
    <n v="0.23184987468583684"/>
    <n v="0"/>
    <n v="0"/>
  </r>
  <r>
    <s v="Rachaya"/>
    <x v="8"/>
    <s v="Bekaa"/>
    <n v="55147"/>
    <n v="615"/>
    <n v="2"/>
    <n v="0.23270301828237733"/>
    <n v="3.2520325203252032E-3"/>
    <n v="7.5675778303212139E-4"/>
  </r>
  <r>
    <s v="Saida"/>
    <x v="16"/>
    <s v="South"/>
    <n v="61421"/>
    <n v="431"/>
    <n v="90"/>
    <n v="0.23220625112489807"/>
    <n v="0.20881670533642691"/>
    <n v="4.8488544318424191E-2"/>
  </r>
  <r>
    <s v="Sour"/>
    <x v="12"/>
    <s v="South"/>
    <n v="62299"/>
    <n v="21"/>
    <n v="0"/>
    <n v="0.23109932430660185"/>
    <n v="0"/>
    <n v="0"/>
  </r>
  <r>
    <s v="Zgharta"/>
    <x v="14"/>
    <s v="North"/>
    <n v="33263"/>
    <n v="10"/>
    <n v="0"/>
    <n v="0.23106962627001343"/>
    <n v="0"/>
    <n v="0"/>
  </r>
  <r>
    <s v="Baalbek"/>
    <x v="3"/>
    <s v="Baalbek-El Hermel"/>
    <n v="53254"/>
    <n v="512"/>
    <n v="0"/>
    <n v="0.23242493666704925"/>
    <n v="0"/>
    <n v="0"/>
  </r>
  <r>
    <s v="Jbeil"/>
    <x v="10"/>
    <s v="Mount Lebanon"/>
    <n v="26219"/>
    <n v="35"/>
    <n v="32"/>
    <n v="0.23113712180771442"/>
    <n v="0.91428571428571426"/>
    <n v="0.21132536850991032"/>
  </r>
  <r>
    <s v="Kesrwane"/>
    <x v="6"/>
    <s v="Mount Lebanon"/>
    <n v="25371"/>
    <n v="457"/>
    <n v="0"/>
    <n v="0.23227644648410709"/>
    <n v="0"/>
    <n v="0"/>
  </r>
  <r>
    <s v="Zahle"/>
    <x v="9"/>
    <s v="Bekaa"/>
    <n v="51341"/>
    <n v="35"/>
    <n v="0"/>
    <n v="0.23113712180771442"/>
    <n v="0"/>
    <n v="0"/>
  </r>
  <r>
    <s v="Akkar"/>
    <x v="4"/>
    <s v="Akkar"/>
    <n v="35451"/>
    <n v="67"/>
    <n v="0"/>
    <n v="0.23122351609597167"/>
    <n v="0"/>
    <n v="0"/>
  </r>
  <r>
    <s v="Jbeil"/>
    <x v="10"/>
    <s v="Mount Lebanon"/>
    <n v="26264"/>
    <n v="58"/>
    <n v="0"/>
    <n v="0.23119921770239932"/>
    <n v="0"/>
    <n v="0"/>
  </r>
  <r>
    <s v="Jezzine"/>
    <x v="7"/>
    <s v="South"/>
    <n v="63359"/>
    <n v="8"/>
    <n v="0"/>
    <n v="0.23106422662699735"/>
    <n v="0"/>
    <n v="0"/>
  </r>
  <r>
    <s v="Jezzine"/>
    <x v="7"/>
    <s v="South"/>
    <n v="63335"/>
    <n v="7"/>
    <n v="0"/>
    <n v="0.2310615268054893"/>
    <n v="0"/>
    <n v="0"/>
  </r>
  <r>
    <s v="Saida"/>
    <x v="16"/>
    <s v="South"/>
    <n v="61411"/>
    <n v="81"/>
    <n v="0"/>
    <n v="0.23126131359708424"/>
    <n v="0"/>
    <n v="0"/>
  </r>
  <r>
    <s v="Zgharta"/>
    <x v="14"/>
    <s v="North"/>
    <n v="33131"/>
    <n v="53"/>
    <n v="0"/>
    <n v="0.23118571859485912"/>
    <n v="0"/>
    <n v="0"/>
  </r>
  <r>
    <s v="Rachaya"/>
    <x v="8"/>
    <s v="Bekaa"/>
    <n v="55121"/>
    <n v="963"/>
    <n v="0"/>
    <n v="0.23364255616717505"/>
    <n v="0"/>
    <n v="0"/>
  </r>
  <r>
    <s v="Saida"/>
    <x v="16"/>
    <s v="South"/>
    <n v="61456"/>
    <n v="6"/>
    <n v="0"/>
    <n v="0.23105882698398128"/>
    <n v="0"/>
    <n v="0"/>
  </r>
  <r>
    <s v="Sour"/>
    <x v="12"/>
    <s v="South"/>
    <n v="62294"/>
    <n v="2264"/>
    <n v="0"/>
    <n v="0.23715502394913446"/>
    <n v="0"/>
    <n v="0"/>
  </r>
  <r>
    <s v="West Bekaa"/>
    <x v="17"/>
    <s v="Bekaa"/>
    <n v="52166"/>
    <n v="85"/>
    <n v="0"/>
    <n v="0.23127211288311639"/>
    <n v="0"/>
    <n v="0"/>
  </r>
  <r>
    <s v="West Bekaa"/>
    <x v="17"/>
    <s v="Bekaa"/>
    <n v="52271"/>
    <n v="116"/>
    <n v="23"/>
    <n v="0.23135580734986561"/>
    <n v="0.19827586206896552"/>
    <n v="4.5872272146956113E-2"/>
  </r>
  <r>
    <s v="Bcharre"/>
    <x v="25"/>
    <s v="North"/>
    <n v="36117"/>
    <n v="286"/>
    <n v="0"/>
    <n v="0.23181477700623232"/>
    <n v="0"/>
    <n v="0"/>
  </r>
  <r>
    <s v="El Batroun"/>
    <x v="22"/>
    <s v="North"/>
    <n v="34346"/>
    <n v="18"/>
    <n v="0"/>
    <n v="0.23109122484207775"/>
    <n v="0"/>
    <n v="0"/>
  </r>
  <r>
    <s v="El Meten"/>
    <x v="19"/>
    <s v="Mount Lebanon"/>
    <n v="22583"/>
    <n v="364"/>
    <n v="59"/>
    <n v="0.2320253630838594"/>
    <n v="0.16208791208791209"/>
    <n v="3.7608506653702488E-2"/>
  </r>
  <r>
    <s v="El Minieh-Dennie"/>
    <x v="20"/>
    <s v="North"/>
    <n v="37379"/>
    <n v="12"/>
    <n v="0"/>
    <n v="0.2310750259130295"/>
    <n v="0"/>
    <n v="0"/>
  </r>
  <r>
    <s v="El Minieh-Dennie"/>
    <x v="20"/>
    <s v="North"/>
    <n v="37356"/>
    <n v="556"/>
    <n v="0"/>
    <n v="0.23254372881340299"/>
    <n v="0"/>
    <n v="0"/>
  </r>
  <r>
    <s v="Hasbaya"/>
    <x v="5"/>
    <s v="El Nabatieh"/>
    <n v="74124"/>
    <n v="1793"/>
    <n v="113"/>
    <n v="0.23588340801884786"/>
    <n v="6.3022866703848296E-2"/>
    <n v="1.4866048581221309E-2"/>
  </r>
  <r>
    <s v="Jezzine"/>
    <x v="7"/>
    <s v="South"/>
    <n v="63378"/>
    <n v="21"/>
    <n v="0"/>
    <n v="0.23109932430660185"/>
    <n v="0"/>
    <n v="0"/>
  </r>
  <r>
    <s v="Marjaayoun"/>
    <x v="11"/>
    <s v="El Nabatieh"/>
    <n v="73191"/>
    <n v="5"/>
    <n v="0"/>
    <n v="0.23105612716247323"/>
    <n v="0"/>
    <n v="0"/>
  </r>
  <r>
    <s v="Zahle"/>
    <x v="9"/>
    <s v="Bekaa"/>
    <n v="51185"/>
    <n v="10"/>
    <n v="0"/>
    <n v="0.23106962627001343"/>
    <n v="0"/>
    <n v="0"/>
  </r>
  <r>
    <s v="Chouf"/>
    <x v="21"/>
    <s v="Mount Lebanon"/>
    <n v="23253"/>
    <n v="11"/>
    <n v="0"/>
    <n v="0.23107232609152145"/>
    <n v="0"/>
    <n v="0"/>
  </r>
  <r>
    <s v="El Batroun"/>
    <x v="22"/>
    <s v="North"/>
    <n v="34223"/>
    <n v="16"/>
    <n v="0"/>
    <n v="0.23108582519906165"/>
    <n v="0"/>
    <n v="0"/>
  </r>
  <r>
    <s v="Saida"/>
    <x v="16"/>
    <s v="South"/>
    <n v="61486"/>
    <n v="189"/>
    <n v="0"/>
    <n v="0.23155289431995249"/>
    <n v="0"/>
    <n v="0"/>
  </r>
  <r>
    <s v="West Bekaa"/>
    <x v="17"/>
    <s v="Bekaa"/>
    <n v="52247"/>
    <n v="5"/>
    <n v="134"/>
    <n v="0.23105612716247323"/>
    <n v="26.8"/>
    <n v="6.1923042079542823"/>
  </r>
  <r>
    <s v="Zahle"/>
    <x v="9"/>
    <s v="Bekaa"/>
    <n v="51251"/>
    <n v="9"/>
    <n v="0"/>
    <n v="0.23106692644850538"/>
    <n v="0"/>
    <n v="0"/>
  </r>
  <r>
    <s v="Zahle"/>
    <x v="9"/>
    <s v="Bekaa"/>
    <n v="51264"/>
    <n v="13"/>
    <n v="0"/>
    <n v="0.23107772573453755"/>
    <n v="0"/>
    <n v="0"/>
  </r>
  <r>
    <s v="Baalbek"/>
    <x v="3"/>
    <s v="Baalbek-El Hermel"/>
    <n v="53163"/>
    <n v="3"/>
    <n v="0"/>
    <n v="0.23105072751945716"/>
    <n v="0"/>
    <n v="0"/>
  </r>
  <r>
    <s v="El Meten"/>
    <x v="19"/>
    <s v="Mount Lebanon"/>
    <n v="22487"/>
    <n v="3"/>
    <n v="0"/>
    <n v="0.23105072751945716"/>
    <n v="0"/>
    <n v="0"/>
  </r>
  <r>
    <s v="El Nabatieh"/>
    <x v="24"/>
    <s v="El Nabatieh"/>
    <n v="71371"/>
    <n v="3"/>
    <n v="0"/>
    <n v="0.23105072751945716"/>
    <n v="0"/>
    <n v="0"/>
  </r>
  <r>
    <s v="Zahle"/>
    <x v="9"/>
    <s v="Bekaa"/>
    <n v="51271"/>
    <n v="346"/>
    <n v="0"/>
    <n v="0.23197676629671471"/>
    <n v="0"/>
    <n v="0"/>
  </r>
  <r>
    <s v="Baalbek"/>
    <x v="3"/>
    <s v="Baalbek-El Hermel"/>
    <n v="53469"/>
    <n v="2"/>
    <n v="0"/>
    <n v="0.2310480276979491"/>
    <n v="0"/>
    <n v="0"/>
  </r>
  <r>
    <s v="El Batroun"/>
    <x v="22"/>
    <s v="North"/>
    <n v="34253"/>
    <n v="33"/>
    <n v="0"/>
    <n v="0.23113172216469832"/>
    <n v="0"/>
    <n v="0"/>
  </r>
  <r>
    <s v="El Hermel"/>
    <x v="15"/>
    <s v="Baalbek-El Hermel"/>
    <n v="54143"/>
    <n v="21"/>
    <n v="0"/>
    <n v="0.23109932430660185"/>
    <n v="0"/>
    <n v="0"/>
  </r>
  <r>
    <s v="Kesrwane"/>
    <x v="6"/>
    <s v="Mount Lebanon"/>
    <n v="25485"/>
    <n v="2"/>
    <n v="0"/>
    <n v="0.2310480276979491"/>
    <n v="0"/>
    <n v="0"/>
  </r>
  <r>
    <s v="Hasbaya"/>
    <x v="5"/>
    <s v="El Nabatieh"/>
    <n v="74120"/>
    <n v="584"/>
    <n v="0"/>
    <n v="0.23261932381562811"/>
    <n v="0"/>
    <n v="0"/>
  </r>
  <r>
    <s v="Kesrwane"/>
    <x v="6"/>
    <s v="Mount Lebanon"/>
    <n v="25281"/>
    <n v="805"/>
    <n v="0"/>
    <n v="0.23321598436890484"/>
    <n v="0"/>
    <n v="0"/>
  </r>
  <r>
    <s v="Zgharta"/>
    <x v="14"/>
    <s v="North"/>
    <n v="33113"/>
    <n v="4042"/>
    <n v="250"/>
    <n v="0.24195530659042869"/>
    <n v="6.185056902523503E-2"/>
    <n v="1.4965073391293214E-2"/>
  </r>
  <r>
    <s v="Zgharta"/>
    <x v="14"/>
    <s v="North"/>
    <n v="33215"/>
    <n v="1"/>
    <n v="0"/>
    <n v="0.23104532787644108"/>
    <n v="0"/>
    <n v="0"/>
  </r>
  <r>
    <s v="Akkar"/>
    <x v="4"/>
    <s v="Akkar"/>
    <n v="35484"/>
    <n v="31"/>
    <n v="72"/>
    <n v="0.23112632252168225"/>
    <n v="2.3225806451612905"/>
    <n v="0.53680952327616527"/>
  </r>
  <r>
    <s v="Akkar"/>
    <x v="4"/>
    <s v="Akkar"/>
    <n v="35241"/>
    <n v="242"/>
    <n v="0"/>
    <n v="0.23169598485987858"/>
    <n v="0"/>
    <n v="0"/>
  </r>
  <r>
    <s v="Akkar"/>
    <x v="4"/>
    <s v="Akkar"/>
    <n v="35425"/>
    <n v="99"/>
    <n v="0"/>
    <n v="0.23130991038422893"/>
    <n v="0"/>
    <n v="0"/>
  </r>
  <r>
    <s v="Akkar"/>
    <x v="4"/>
    <s v="Akkar"/>
    <n v="35001"/>
    <n v="0"/>
    <n v="0"/>
    <n v="0.23104262805493303"/>
    <n v="0"/>
    <n v="0"/>
  </r>
  <r>
    <s v="Akkar"/>
    <x v="4"/>
    <s v="Akkar"/>
    <n v="35002"/>
    <n v="0"/>
    <n v="0"/>
    <n v="0.23104262805493303"/>
    <n v="0"/>
    <n v="0"/>
  </r>
  <r>
    <s v="Akkar"/>
    <x v="4"/>
    <s v="Akkar"/>
    <n v="35003"/>
    <n v="0"/>
    <n v="0"/>
    <n v="0.23104262805493303"/>
    <n v="0"/>
    <n v="0"/>
  </r>
  <r>
    <s v="Akkar"/>
    <x v="4"/>
    <s v="Akkar"/>
    <n v="35257"/>
    <n v="939"/>
    <n v="0"/>
    <n v="0.23357776045098211"/>
    <n v="0"/>
    <n v="0"/>
  </r>
  <r>
    <s v="Akkar"/>
    <x v="4"/>
    <s v="Akkar"/>
    <n v="35410"/>
    <n v="0"/>
    <n v="0"/>
    <n v="0.23104262805493303"/>
    <n v="0"/>
    <n v="0"/>
  </r>
  <r>
    <s v="Akkar"/>
    <x v="4"/>
    <s v="Akkar"/>
    <n v="35330"/>
    <n v="371"/>
    <n v="0"/>
    <n v="0.23204426183441568"/>
    <n v="0"/>
    <n v="0"/>
  </r>
  <r>
    <s v="Akkar"/>
    <x v="4"/>
    <s v="Akkar"/>
    <n v="35461"/>
    <n v="8"/>
    <n v="5"/>
    <n v="0.23106422662699735"/>
    <n v="0.625"/>
    <n v="0.14441514164187336"/>
  </r>
  <r>
    <s v="Akkar"/>
    <x v="4"/>
    <s v="Akkar"/>
    <n v="35327"/>
    <n v="46"/>
    <n v="0"/>
    <n v="0.23116681984430285"/>
    <n v="0"/>
    <n v="0"/>
  </r>
  <r>
    <s v="Akkar"/>
    <x v="4"/>
    <s v="Akkar"/>
    <n v="35173"/>
    <n v="595"/>
    <n v="0"/>
    <n v="0.23264902185221653"/>
    <n v="0"/>
    <n v="0"/>
  </r>
  <r>
    <s v="Aley"/>
    <x v="2"/>
    <s v="Mount Lebanon"/>
    <n v="24001"/>
    <n v="0"/>
    <n v="0"/>
    <n v="0.23104262805493303"/>
    <n v="0"/>
    <n v="0"/>
  </r>
  <r>
    <s v="Aley"/>
    <x v="2"/>
    <s v="Mount Lebanon"/>
    <n v="24002"/>
    <n v="0"/>
    <n v="0"/>
    <n v="0.23104262805493303"/>
    <n v="0"/>
    <n v="0"/>
  </r>
  <r>
    <s v="Aley"/>
    <x v="2"/>
    <s v="Mount Lebanon"/>
    <n v="24003"/>
    <n v="0"/>
    <n v="0"/>
    <n v="0.23104262805493303"/>
    <n v="0"/>
    <n v="0"/>
  </r>
  <r>
    <s v="Aley"/>
    <x v="2"/>
    <s v="Mount Lebanon"/>
    <n v="24004"/>
    <n v="0"/>
    <n v="0"/>
    <n v="0.23104262805493303"/>
    <n v="0"/>
    <n v="0"/>
  </r>
  <r>
    <s v="Aley"/>
    <x v="2"/>
    <s v="Mount Lebanon"/>
    <n v="24005"/>
    <n v="0"/>
    <n v="0"/>
    <n v="0.23104262805493303"/>
    <n v="0"/>
    <n v="0"/>
  </r>
  <r>
    <s v="Aley"/>
    <x v="2"/>
    <s v="Mount Lebanon"/>
    <n v="24006"/>
    <n v="0"/>
    <n v="0"/>
    <n v="0.23104262805493303"/>
    <n v="0"/>
    <n v="0"/>
  </r>
  <r>
    <s v="Aley"/>
    <x v="2"/>
    <s v="Mount Lebanon"/>
    <n v="24007"/>
    <n v="0"/>
    <n v="0"/>
    <n v="0.23104262805493303"/>
    <n v="0"/>
    <n v="0"/>
  </r>
  <r>
    <s v="Aley"/>
    <x v="2"/>
    <s v="Mount Lebanon"/>
    <n v="24008"/>
    <n v="0"/>
    <n v="0"/>
    <n v="0.23104262805493303"/>
    <n v="0"/>
    <n v="0"/>
  </r>
  <r>
    <s v="Aley"/>
    <x v="2"/>
    <s v="Mount Lebanon"/>
    <n v="24009"/>
    <n v="0"/>
    <n v="0"/>
    <n v="0.23104262805493303"/>
    <n v="0"/>
    <n v="0"/>
  </r>
  <r>
    <s v="Aley"/>
    <x v="2"/>
    <s v="Mount Lebanon"/>
    <n v="24437"/>
    <n v="0"/>
    <n v="0"/>
    <n v="0.23104262805493303"/>
    <n v="0"/>
    <n v="0"/>
  </r>
  <r>
    <s v="Baabda"/>
    <x v="1"/>
    <s v="Mount Lebanon"/>
    <n v="21347"/>
    <n v="1"/>
    <n v="0"/>
    <n v="0.23104532787644108"/>
    <n v="0"/>
    <n v="0"/>
  </r>
  <r>
    <s v="Baabda"/>
    <x v="1"/>
    <s v="Mount Lebanon"/>
    <n v="21321"/>
    <n v="12"/>
    <n v="16"/>
    <n v="0.2310750259130295"/>
    <n v="1.3333333333333333"/>
    <n v="0.308100034550706"/>
  </r>
  <r>
    <s v="Baalbek"/>
    <x v="3"/>
    <s v="Baalbek-El Hermel"/>
    <n v="53001"/>
    <n v="0"/>
    <n v="0"/>
    <n v="0.23104262805493303"/>
    <n v="0"/>
    <n v="0"/>
  </r>
  <r>
    <s v="Baalbek"/>
    <x v="3"/>
    <s v="Baalbek-El Hermel"/>
    <n v="53002"/>
    <n v="0"/>
    <n v="0"/>
    <n v="0.23104262805493303"/>
    <n v="0"/>
    <n v="0"/>
  </r>
  <r>
    <s v="Baalbek"/>
    <x v="3"/>
    <s v="Baalbek-El Hermel"/>
    <n v="53003"/>
    <n v="0"/>
    <n v="0"/>
    <n v="0.23104262805493303"/>
    <n v="0"/>
    <n v="0"/>
  </r>
  <r>
    <s v="Baalbek"/>
    <x v="3"/>
    <s v="Baalbek-El Hermel"/>
    <n v="54003"/>
    <n v="0"/>
    <n v="0"/>
    <n v="0.23104262805493303"/>
    <n v="0"/>
    <n v="0"/>
  </r>
  <r>
    <s v="Baalbek"/>
    <x v="3"/>
    <s v="Baalbek-El Hermel"/>
    <s v="0c10"/>
    <n v="0"/>
    <n v="0"/>
    <n v="0.23104262805493303"/>
    <n v="0"/>
    <n v="0"/>
  </r>
  <r>
    <s v="Baalbek"/>
    <x v="3"/>
    <s v="Baalbek-El Hermel"/>
    <s v="0c11"/>
    <n v="0"/>
    <n v="0"/>
    <n v="0.23104262805493303"/>
    <n v="0"/>
    <n v="0"/>
  </r>
  <r>
    <s v="Baalbek"/>
    <x v="3"/>
    <s v="Baalbek-El Hermel"/>
    <s v="0c2"/>
    <n v="0"/>
    <n v="0"/>
    <n v="0.23104262805493303"/>
    <n v="0"/>
    <n v="0"/>
  </r>
  <r>
    <s v="Baalbek"/>
    <x v="3"/>
    <s v="Baalbek-El Hermel"/>
    <s v="0c3"/>
    <n v="0"/>
    <n v="0"/>
    <n v="0.23104262805493303"/>
    <n v="0"/>
    <n v="0"/>
  </r>
  <r>
    <s v="Baalbek"/>
    <x v="3"/>
    <s v="Baalbek-El Hermel"/>
    <s v="0c4"/>
    <n v="0"/>
    <n v="0"/>
    <n v="0.23104262805493303"/>
    <n v="0"/>
    <n v="0"/>
  </r>
  <r>
    <s v="Baalbek"/>
    <x v="3"/>
    <s v="Baalbek-El Hermel"/>
    <s v="0c5"/>
    <n v="0"/>
    <n v="0"/>
    <n v="0.23104262805493303"/>
    <n v="0"/>
    <n v="0"/>
  </r>
  <r>
    <s v="Baalbek"/>
    <x v="3"/>
    <s v="Baalbek-El Hermel"/>
    <s v="0c6"/>
    <n v="0"/>
    <n v="0"/>
    <n v="0.23104262805493303"/>
    <n v="0"/>
    <n v="0"/>
  </r>
  <r>
    <s v="Baalbek"/>
    <x v="3"/>
    <s v="Baalbek-El Hermel"/>
    <s v="0c7"/>
    <n v="0"/>
    <n v="0"/>
    <n v="0.23104262805493303"/>
    <n v="0"/>
    <n v="0"/>
  </r>
  <r>
    <s v="Baalbek"/>
    <x v="3"/>
    <s v="Baalbek-El Hermel"/>
    <s v="0c8"/>
    <n v="0"/>
    <n v="0"/>
    <n v="0.23104262805493303"/>
    <n v="0"/>
    <n v="0"/>
  </r>
  <r>
    <s v="Baalbek"/>
    <x v="3"/>
    <s v="Baalbek-El Hermel"/>
    <s v="0c9"/>
    <n v="0"/>
    <n v="0"/>
    <n v="0.23104262805493303"/>
    <n v="0"/>
    <n v="0"/>
  </r>
  <r>
    <s v="Baalbek"/>
    <x v="3"/>
    <s v="Baalbek-El Hermel"/>
    <n v="54183"/>
    <n v="0"/>
    <n v="0"/>
    <n v="0.23104262805493303"/>
    <n v="0"/>
    <n v="0"/>
  </r>
  <r>
    <s v="Baalbek"/>
    <x v="3"/>
    <s v="Baalbek-El Hermel"/>
    <n v="53423"/>
    <n v="17"/>
    <n v="0"/>
    <n v="0.2310885250205697"/>
    <n v="0"/>
    <n v="0"/>
  </r>
  <r>
    <s v="Bcharre"/>
    <x v="25"/>
    <s v="North"/>
    <n v="36110"/>
    <n v="0"/>
    <n v="0"/>
    <n v="0.23104262805493303"/>
    <n v="0"/>
    <n v="0"/>
  </r>
  <r>
    <s v="Bent Jbeil"/>
    <x v="18"/>
    <s v="El Nabatieh"/>
    <n v="72175"/>
    <n v="0"/>
    <n v="0"/>
    <n v="0.23104262805493303"/>
    <n v="0"/>
    <n v="0"/>
  </r>
  <r>
    <s v="Bent Jbeil"/>
    <x v="18"/>
    <s v="El Nabatieh"/>
    <n v="72135"/>
    <n v="0"/>
    <n v="0"/>
    <n v="0.23104262805493303"/>
    <n v="0"/>
    <n v="0"/>
  </r>
  <r>
    <s v="Chouf"/>
    <x v="21"/>
    <s v="Mount Lebanon"/>
    <n v="23275"/>
    <n v="0"/>
    <n v="0"/>
    <n v="0.23104262805493303"/>
    <n v="0"/>
    <n v="0"/>
  </r>
  <r>
    <s v="Chouf"/>
    <x v="21"/>
    <s v="Mount Lebanon"/>
    <n v="23001"/>
    <n v="0"/>
    <n v="0"/>
    <n v="0.23104262805493303"/>
    <n v="0"/>
    <n v="0"/>
  </r>
  <r>
    <s v="Chouf"/>
    <x v="21"/>
    <s v="Mount Lebanon"/>
    <n v="23002"/>
    <n v="0"/>
    <n v="0"/>
    <n v="0.23104262805493303"/>
    <n v="0"/>
    <n v="0"/>
  </r>
  <r>
    <s v="Chouf"/>
    <x v="21"/>
    <s v="Mount Lebanon"/>
    <n v="23003"/>
    <n v="0"/>
    <n v="0"/>
    <n v="0.23104262805493303"/>
    <n v="0"/>
    <n v="0"/>
  </r>
  <r>
    <s v="Chouf"/>
    <x v="21"/>
    <s v="Mount Lebanon"/>
    <n v="23004"/>
    <n v="0"/>
    <n v="0"/>
    <n v="0.23104262805493303"/>
    <n v="0"/>
    <n v="0"/>
  </r>
  <r>
    <s v="Chouf"/>
    <x v="21"/>
    <s v="Mount Lebanon"/>
    <n v="23005"/>
    <n v="0"/>
    <n v="0"/>
    <n v="0.23104262805493303"/>
    <n v="0"/>
    <n v="0"/>
  </r>
  <r>
    <s v="Chouf"/>
    <x v="21"/>
    <s v="Mount Lebanon"/>
    <n v="23006"/>
    <n v="0"/>
    <n v="0"/>
    <n v="0.23104262805493303"/>
    <n v="0"/>
    <n v="0"/>
  </r>
  <r>
    <s v="Chouf"/>
    <x v="21"/>
    <s v="Mount Lebanon"/>
    <n v="23007"/>
    <n v="0"/>
    <n v="0"/>
    <n v="0.23104262805493303"/>
    <n v="0"/>
    <n v="0"/>
  </r>
  <r>
    <s v="Chouf"/>
    <x v="21"/>
    <s v="Mount Lebanon"/>
    <n v="23438"/>
    <n v="79"/>
    <n v="23"/>
    <n v="0.23125591395406814"/>
    <n v="0.29113924050632911"/>
    <n v="6.732767115118439E-2"/>
  </r>
  <r>
    <s v="Chouf"/>
    <x v="21"/>
    <s v="Mount Lebanon"/>
    <n v="23415"/>
    <n v="0"/>
    <n v="0"/>
    <n v="0.23104262805493303"/>
    <n v="0"/>
    <n v="0"/>
  </r>
  <r>
    <s v="Chouf"/>
    <x v="21"/>
    <s v="Mount Lebanon"/>
    <n v="23454"/>
    <n v="217"/>
    <n v="90"/>
    <n v="0.23162848932217761"/>
    <n v="0.41474654377880182"/>
    <n v="9.6067115387078267E-2"/>
  </r>
  <r>
    <s v="Chouf"/>
    <x v="21"/>
    <s v="Mount Lebanon"/>
    <n v="23431"/>
    <n v="0"/>
    <n v="0"/>
    <n v="0.23104262805493303"/>
    <n v="0"/>
    <n v="0"/>
  </r>
  <r>
    <s v="Chouf"/>
    <x v="21"/>
    <s v="Mount Lebanon"/>
    <n v="23237"/>
    <n v="1"/>
    <n v="0"/>
    <n v="0.23104532787644108"/>
    <n v="0"/>
    <n v="0"/>
  </r>
  <r>
    <s v="El Batroun"/>
    <x v="22"/>
    <s v="North"/>
    <n v="34371"/>
    <n v="52"/>
    <n v="0"/>
    <n v="0.2311830187733511"/>
    <n v="0"/>
    <n v="0"/>
  </r>
  <r>
    <s v="El Batroun"/>
    <x v="22"/>
    <s v="North"/>
    <n v="34001"/>
    <n v="0"/>
    <n v="0"/>
    <n v="0.23104262805493303"/>
    <n v="0"/>
    <n v="0"/>
  </r>
  <r>
    <s v="El Batroun"/>
    <x v="22"/>
    <s v="North"/>
    <n v="34002"/>
    <n v="0"/>
    <n v="0"/>
    <n v="0.23104262805493303"/>
    <n v="0"/>
    <n v="0"/>
  </r>
  <r>
    <s v="El Batroun"/>
    <x v="22"/>
    <s v="North"/>
    <n v="34326"/>
    <n v="0"/>
    <n v="0"/>
    <n v="0.23104262805493303"/>
    <n v="0"/>
    <n v="0"/>
  </r>
  <r>
    <s v="El Batroun"/>
    <x v="22"/>
    <s v="North"/>
    <n v="34227"/>
    <n v="0"/>
    <n v="0"/>
    <n v="0.23104262805493303"/>
    <n v="0"/>
    <n v="0"/>
  </r>
  <r>
    <s v="El Batroun"/>
    <x v="22"/>
    <s v="North"/>
    <n v="34281"/>
    <n v="67"/>
    <n v="0"/>
    <n v="0.23122351609597167"/>
    <n v="0"/>
    <n v="0"/>
  </r>
  <r>
    <s v="El Hermel"/>
    <x v="15"/>
    <s v="Baalbek-El Hermel"/>
    <n v="54001"/>
    <n v="0"/>
    <n v="0"/>
    <n v="0.23104262805493303"/>
    <n v="0"/>
    <n v="0"/>
  </r>
  <r>
    <s v="El Hermel"/>
    <x v="15"/>
    <s v="Baalbek-El Hermel"/>
    <n v="54002"/>
    <n v="0"/>
    <n v="0"/>
    <n v="0.23104262805493303"/>
    <n v="0"/>
    <n v="0"/>
  </r>
  <r>
    <s v="El Hermel"/>
    <x v="15"/>
    <s v="Baalbek-El Hermel"/>
    <s v="0c1"/>
    <n v="0"/>
    <n v="0"/>
    <n v="0.23104262805493303"/>
    <n v="0"/>
    <n v="0"/>
  </r>
  <r>
    <s v="El Meten"/>
    <x v="19"/>
    <s v="Mount Lebanon"/>
    <n v="22523"/>
    <n v="109"/>
    <n v="32"/>
    <n v="0.23133690859930933"/>
    <n v="0.29357798165137616"/>
    <n v="6.7915422708054118E-2"/>
  </r>
  <r>
    <s v="El Meten"/>
    <x v="19"/>
    <s v="Mount Lebanon"/>
    <n v="22691"/>
    <n v="177"/>
    <n v="0"/>
    <n v="0.23152049646185602"/>
    <n v="0"/>
    <n v="0"/>
  </r>
  <r>
    <s v="El Meten"/>
    <x v="19"/>
    <s v="Mount Lebanon"/>
    <n v="22001"/>
    <n v="0"/>
    <n v="0"/>
    <n v="0.23104262805493303"/>
    <n v="0"/>
    <n v="0"/>
  </r>
  <r>
    <s v="El Meten"/>
    <x v="19"/>
    <s v="Mount Lebanon"/>
    <n v="22002"/>
    <n v="0"/>
    <n v="0"/>
    <n v="0.23104262805493303"/>
    <n v="0"/>
    <n v="0"/>
  </r>
  <r>
    <s v="El Meten"/>
    <x v="19"/>
    <s v="Mount Lebanon"/>
    <n v="22435"/>
    <n v="1439"/>
    <n v="45"/>
    <n v="0.23492767120500188"/>
    <n v="3.1271716469770672E-2"/>
    <n v="7.3465915248263269E-3"/>
  </r>
  <r>
    <s v="El Meten"/>
    <x v="19"/>
    <s v="Mount Lebanon"/>
    <n v="22651"/>
    <n v="1568"/>
    <n v="135"/>
    <n v="0.23527594817953895"/>
    <n v="8.6096938775510209E-2"/>
    <n v="2.0256538905763878E-2"/>
  </r>
  <r>
    <s v="El Minieh-Dennie"/>
    <x v="20"/>
    <s v="North"/>
    <n v="37362"/>
    <n v="32"/>
    <n v="0"/>
    <n v="0.2311290223431903"/>
    <n v="0"/>
    <n v="0"/>
  </r>
  <r>
    <s v="El Minieh-Dennie"/>
    <x v="20"/>
    <s v="North"/>
    <n v="37001"/>
    <n v="0"/>
    <n v="0"/>
    <n v="0.23104262805493303"/>
    <n v="0"/>
    <n v="0"/>
  </r>
  <r>
    <s v="El Minieh-Dennie"/>
    <x v="20"/>
    <s v="North"/>
    <n v="37002"/>
    <n v="0"/>
    <n v="0"/>
    <n v="0.23104262805493303"/>
    <n v="0"/>
    <n v="0"/>
  </r>
  <r>
    <s v="El Minieh-Dennie"/>
    <x v="20"/>
    <s v="North"/>
    <n v="37003"/>
    <n v="0"/>
    <n v="0"/>
    <n v="0.23104262805493303"/>
    <n v="0"/>
    <n v="0"/>
  </r>
  <r>
    <s v="El Minieh-Dennie"/>
    <x v="20"/>
    <s v="North"/>
    <n v="37004"/>
    <n v="0"/>
    <n v="0"/>
    <n v="0.23104262805493303"/>
    <n v="0"/>
    <n v="0"/>
  </r>
  <r>
    <s v="El Minieh-Dennie"/>
    <x v="20"/>
    <s v="North"/>
    <n v="37005"/>
    <n v="0"/>
    <n v="0"/>
    <n v="0.23104262805493303"/>
    <n v="0"/>
    <n v="0"/>
  </r>
  <r>
    <s v="El Minieh-Dennie"/>
    <x v="20"/>
    <s v="North"/>
    <n v="37006"/>
    <n v="0"/>
    <n v="0"/>
    <n v="0.23104262805493303"/>
    <n v="0"/>
    <n v="0"/>
  </r>
  <r>
    <s v="El Minieh-Dennie"/>
    <x v="20"/>
    <s v="North"/>
    <n v="37389"/>
    <n v="0"/>
    <n v="0"/>
    <n v="0.23104262805493303"/>
    <n v="0"/>
    <n v="0"/>
  </r>
  <r>
    <s v="El Minieh-Dennie"/>
    <x v="20"/>
    <s v="North"/>
    <n v="37314"/>
    <n v="127"/>
    <n v="0"/>
    <n v="0.23138550538645405"/>
    <n v="0"/>
    <n v="0"/>
  </r>
  <r>
    <s v="El Minieh-Dennie"/>
    <x v="20"/>
    <s v="North"/>
    <n v="37385"/>
    <n v="0"/>
    <n v="0"/>
    <n v="0.23104262805493303"/>
    <n v="0"/>
    <n v="0"/>
  </r>
  <r>
    <s v="El Minieh-Dennie"/>
    <x v="20"/>
    <s v="North"/>
    <n v="37360"/>
    <n v="495"/>
    <n v="14"/>
    <n v="0.23237903970141258"/>
    <n v="2.8282828282828285E-2"/>
    <n v="6.5723364764035883E-3"/>
  </r>
  <r>
    <s v="El Minieh-Dennie"/>
    <x v="20"/>
    <s v="North"/>
    <n v="37383"/>
    <n v="127"/>
    <n v="0"/>
    <n v="0.23138550538645405"/>
    <n v="0"/>
    <n v="0"/>
  </r>
  <r>
    <s v="El Minieh-Dennie"/>
    <x v="20"/>
    <s v="North"/>
    <n v="37353"/>
    <n v="95"/>
    <n v="0"/>
    <n v="0.23129911109819679"/>
    <n v="0"/>
    <n v="0"/>
  </r>
  <r>
    <s v="El Nabatieh"/>
    <x v="24"/>
    <s v="El Nabatieh"/>
    <n v="71115"/>
    <n v="0"/>
    <n v="0"/>
    <n v="0.23104262805493303"/>
    <n v="0"/>
    <n v="0"/>
  </r>
  <r>
    <s v="El Nabatieh"/>
    <x v="24"/>
    <s v="El Nabatieh"/>
    <n v="71251"/>
    <n v="18"/>
    <n v="0"/>
    <n v="0.23109122484207775"/>
    <n v="0"/>
    <n v="0"/>
  </r>
  <r>
    <s v="El Nabatieh"/>
    <x v="24"/>
    <s v="El Nabatieh"/>
    <n v="71354"/>
    <n v="48"/>
    <n v="0"/>
    <n v="0.23117221948731892"/>
    <n v="0"/>
    <n v="0"/>
  </r>
  <r>
    <s v="El Nabatieh"/>
    <x v="24"/>
    <s v="El Nabatieh"/>
    <n v="71386"/>
    <n v="27"/>
    <n v="0"/>
    <n v="0.2311155232356501"/>
    <n v="0"/>
    <n v="0"/>
  </r>
  <r>
    <s v="El Nabatieh"/>
    <x v="24"/>
    <s v="El Nabatieh"/>
    <n v="71341"/>
    <n v="35"/>
    <n v="0"/>
    <n v="0.23113712180771442"/>
    <n v="0"/>
    <n v="0"/>
  </r>
  <r>
    <s v="El Nabatieh"/>
    <x v="24"/>
    <s v="El Nabatieh"/>
    <n v="71357"/>
    <n v="46"/>
    <n v="0"/>
    <n v="0.23116681984430285"/>
    <n v="0"/>
    <n v="0"/>
  </r>
  <r>
    <s v="El Nabatieh"/>
    <x v="24"/>
    <s v="El Nabatieh"/>
    <n v="71314"/>
    <n v="160"/>
    <n v="0"/>
    <n v="0.23147459949621935"/>
    <n v="0"/>
    <n v="0"/>
  </r>
  <r>
    <s v="El Nabatieh"/>
    <x v="24"/>
    <s v="El Nabatieh"/>
    <n v="71384"/>
    <n v="0"/>
    <n v="0"/>
    <n v="0.23104262805493303"/>
    <n v="0"/>
    <n v="0"/>
  </r>
  <r>
    <s v="El Nabatieh"/>
    <x v="24"/>
    <s v="El Nabatieh"/>
    <n v="71241"/>
    <n v="26"/>
    <n v="0"/>
    <n v="0.23111282341414205"/>
    <n v="0"/>
    <n v="0"/>
  </r>
  <r>
    <s v="Hasbaya"/>
    <x v="5"/>
    <s v="El Nabatieh"/>
    <s v="0c15"/>
    <n v="0"/>
    <n v="0"/>
    <n v="0.23104262805493303"/>
    <n v="0"/>
    <n v="0"/>
  </r>
  <r>
    <s v="Jbeil"/>
    <x v="10"/>
    <s v="Mount Lebanon"/>
    <n v="26214"/>
    <n v="79"/>
    <n v="1935"/>
    <n v="0.23125591395406814"/>
    <n v="24.49367088607595"/>
    <n v="5.6643062468496437"/>
  </r>
  <r>
    <s v="Jbeil"/>
    <x v="10"/>
    <s v="Mount Lebanon"/>
    <n v="26374"/>
    <n v="60"/>
    <n v="0"/>
    <n v="0.23120461734541539"/>
    <n v="0"/>
    <n v="0"/>
  </r>
  <r>
    <s v="Jbeil"/>
    <x v="10"/>
    <s v="Mount Lebanon"/>
    <n v="26392"/>
    <n v="84"/>
    <n v="0"/>
    <n v="0.23126941306160834"/>
    <n v="0"/>
    <n v="0"/>
  </r>
  <r>
    <s v="Jbeil"/>
    <x v="10"/>
    <s v="Mount Lebanon"/>
    <n v="26237"/>
    <n v="117"/>
    <n v="100"/>
    <n v="0.23135850717137366"/>
    <n v="0.85470085470085466"/>
    <n v="0.19774231382168689"/>
  </r>
  <r>
    <s v="Jbeil"/>
    <x v="10"/>
    <s v="Mount Lebanon"/>
    <n v="26283"/>
    <n v="54"/>
    <n v="51"/>
    <n v="0.23118841841636717"/>
    <n v="0.94444444444444442"/>
    <n v="0.21834461739323566"/>
  </r>
  <r>
    <s v="Jbeil"/>
    <x v="10"/>
    <s v="Mount Lebanon"/>
    <n v="26354"/>
    <n v="2"/>
    <n v="59"/>
    <n v="0.2310480276979491"/>
    <n v="29.5"/>
    <n v="6.8159168170894988"/>
  </r>
  <r>
    <s v="Jbeil"/>
    <x v="10"/>
    <s v="Mount Lebanon"/>
    <n v="26001"/>
    <n v="0"/>
    <n v="0"/>
    <n v="0.23104262805493303"/>
    <n v="0"/>
    <n v="0"/>
  </r>
  <r>
    <s v="Jbeil"/>
    <x v="10"/>
    <s v="Mount Lebanon"/>
    <n v="26002"/>
    <n v="0"/>
    <n v="0"/>
    <n v="0.23104262805493303"/>
    <n v="0"/>
    <n v="0"/>
  </r>
  <r>
    <s v="Jbeil"/>
    <x v="10"/>
    <s v="Mount Lebanon"/>
    <n v="26003"/>
    <n v="0"/>
    <n v="0"/>
    <n v="0.23104262805493303"/>
    <n v="0"/>
    <n v="0"/>
  </r>
  <r>
    <s v="Jbeil"/>
    <x v="10"/>
    <s v="Mount Lebanon"/>
    <n v="26004"/>
    <n v="0"/>
    <n v="0"/>
    <n v="0.23104262805493303"/>
    <n v="0"/>
    <n v="0"/>
  </r>
  <r>
    <s v="Jbeil"/>
    <x v="10"/>
    <s v="Mount Lebanon"/>
    <n v="26005"/>
    <n v="0"/>
    <n v="0"/>
    <n v="0.23104262805493303"/>
    <n v="0"/>
    <n v="0"/>
  </r>
  <r>
    <s v="Jbeil"/>
    <x v="10"/>
    <s v="Mount Lebanon"/>
    <n v="26006"/>
    <n v="0"/>
    <n v="0"/>
    <n v="0.23104262805493303"/>
    <n v="0"/>
    <n v="0"/>
  </r>
  <r>
    <s v="Jbeil"/>
    <x v="10"/>
    <s v="Mount Lebanon"/>
    <n v="26007"/>
    <n v="0"/>
    <n v="0"/>
    <n v="0.23104262805493303"/>
    <n v="0"/>
    <n v="0"/>
  </r>
  <r>
    <s v="Jbeil"/>
    <x v="10"/>
    <s v="Mount Lebanon"/>
    <n v="26009"/>
    <n v="0"/>
    <n v="0"/>
    <n v="0.23104262805493303"/>
    <n v="0"/>
    <n v="0"/>
  </r>
  <r>
    <s v="Jbeil"/>
    <x v="10"/>
    <s v="Mount Lebanon"/>
    <n v="26324"/>
    <n v="125"/>
    <n v="0"/>
    <n v="0.23138010574343798"/>
    <n v="0"/>
    <n v="0"/>
  </r>
  <r>
    <s v="Jbeil"/>
    <x v="10"/>
    <s v="Mount Lebanon"/>
    <n v="26390"/>
    <n v="0"/>
    <n v="0"/>
    <n v="0.23104262805493303"/>
    <n v="0"/>
    <n v="0"/>
  </r>
  <r>
    <s v="Jbeil"/>
    <x v="10"/>
    <s v="Mount Lebanon"/>
    <n v="26236"/>
    <n v="99"/>
    <n v="9"/>
    <n v="0.23130991038422893"/>
    <n v="9.0909090909090912E-2"/>
    <n v="2.1028173671293539E-2"/>
  </r>
  <r>
    <s v="Jbeil"/>
    <x v="10"/>
    <s v="Mount Lebanon"/>
    <n v="26314"/>
    <n v="111"/>
    <n v="0"/>
    <n v="0.23134230824232541"/>
    <n v="0"/>
    <n v="0"/>
  </r>
  <r>
    <s v="Jbeil"/>
    <x v="10"/>
    <s v="Mount Lebanon"/>
    <n v="26213"/>
    <n v="70"/>
    <n v="0"/>
    <n v="0.23123161556049579"/>
    <n v="0"/>
    <n v="0"/>
  </r>
  <r>
    <s v="Jbeil"/>
    <x v="10"/>
    <s v="Mount Lebanon"/>
    <n v="26254"/>
    <n v="0"/>
    <n v="0"/>
    <n v="0.23104262805493303"/>
    <n v="0"/>
    <n v="0"/>
  </r>
  <r>
    <s v="Jbeil"/>
    <x v="10"/>
    <s v="Mount Lebanon"/>
    <n v="26344"/>
    <n v="10"/>
    <n v="0"/>
    <n v="0.23106962627001343"/>
    <n v="0"/>
    <n v="0"/>
  </r>
  <r>
    <s v="Jezzine"/>
    <x v="7"/>
    <s v="South"/>
    <n v="63174"/>
    <n v="21"/>
    <n v="0"/>
    <n v="0.23109932430660185"/>
    <n v="0"/>
    <n v="0"/>
  </r>
  <r>
    <s v="Jezzine"/>
    <x v="7"/>
    <s v="South"/>
    <n v="63347"/>
    <n v="0"/>
    <n v="0"/>
    <n v="0.23104262805493303"/>
    <n v="0"/>
    <n v="0"/>
  </r>
  <r>
    <s v="Jezzine"/>
    <x v="7"/>
    <s v="South"/>
    <n v="63001"/>
    <n v="0"/>
    <n v="0"/>
    <n v="0.23104262805493303"/>
    <n v="0"/>
    <n v="0"/>
  </r>
  <r>
    <s v="Jezzine"/>
    <x v="7"/>
    <s v="South"/>
    <n v="63002"/>
    <n v="0"/>
    <n v="0"/>
    <n v="0.23104262805493303"/>
    <n v="0"/>
    <n v="0"/>
  </r>
  <r>
    <s v="Jezzine"/>
    <x v="7"/>
    <s v="South"/>
    <n v="63003"/>
    <n v="0"/>
    <n v="0"/>
    <n v="0.23104262805493303"/>
    <n v="0"/>
    <n v="0"/>
  </r>
  <r>
    <s v="Jezzine"/>
    <x v="7"/>
    <s v="South"/>
    <n v="63257"/>
    <n v="16"/>
    <n v="0"/>
    <n v="0.23108582519906165"/>
    <n v="0"/>
    <n v="0"/>
  </r>
  <r>
    <s v="Jezzine"/>
    <x v="7"/>
    <s v="South"/>
    <n v="63379"/>
    <n v="27"/>
    <n v="0"/>
    <n v="0.2311155232356501"/>
    <n v="0"/>
    <n v="0"/>
  </r>
  <r>
    <s v="Jezzine"/>
    <x v="7"/>
    <s v="South"/>
    <n v="63281"/>
    <n v="232"/>
    <n v="8"/>
    <n v="0.23166898664479818"/>
    <n v="3.4482758620689655E-2"/>
    <n v="7.9885857463723505E-3"/>
  </r>
  <r>
    <s v="Jezzine"/>
    <x v="7"/>
    <s v="South"/>
    <n v="63164"/>
    <n v="4"/>
    <n v="0"/>
    <n v="0.23105342734096518"/>
    <n v="0"/>
    <n v="0"/>
  </r>
  <r>
    <s v="Jezzine"/>
    <x v="7"/>
    <s v="South"/>
    <n v="63371"/>
    <n v="16"/>
    <n v="0"/>
    <n v="0.23108582519906165"/>
    <n v="0"/>
    <n v="0"/>
  </r>
  <r>
    <s v="Jezzine"/>
    <x v="7"/>
    <s v="South"/>
    <n v="63323"/>
    <n v="1"/>
    <n v="0"/>
    <n v="0.23104532787644108"/>
    <n v="0"/>
    <n v="0"/>
  </r>
  <r>
    <s v="Jezzine"/>
    <x v="7"/>
    <s v="South"/>
    <n v="63367"/>
    <n v="0"/>
    <n v="0"/>
    <n v="0.23104262805493303"/>
    <n v="0"/>
    <n v="0"/>
  </r>
  <r>
    <s v="Jezzine"/>
    <x v="7"/>
    <s v="South"/>
    <n v="63194"/>
    <n v="10"/>
    <n v="23"/>
    <n v="0.23106962627001343"/>
    <n v="2.2999999999999998"/>
    <n v="0.53146014042103085"/>
  </r>
  <r>
    <s v="Jezzine"/>
    <x v="7"/>
    <s v="South"/>
    <n v="63348"/>
    <n v="0"/>
    <n v="0"/>
    <n v="0.23104262805493303"/>
    <n v="0"/>
    <n v="0"/>
  </r>
  <r>
    <s v="Jezzine"/>
    <x v="7"/>
    <s v="South"/>
    <n v="63339"/>
    <n v="0"/>
    <n v="0"/>
    <n v="0.23104262805493303"/>
    <n v="0"/>
    <n v="0"/>
  </r>
  <r>
    <s v="Jezzine"/>
    <x v="7"/>
    <s v="South"/>
    <n v="63383"/>
    <n v="0"/>
    <n v="0"/>
    <n v="0.23104262805493303"/>
    <n v="0"/>
    <n v="0"/>
  </r>
  <r>
    <s v="Jezzine"/>
    <x v="7"/>
    <s v="South"/>
    <n v="63343"/>
    <n v="0"/>
    <n v="0"/>
    <n v="0.23104262805493303"/>
    <n v="0"/>
    <n v="0"/>
  </r>
  <r>
    <s v="Jezzine"/>
    <x v="7"/>
    <s v="South"/>
    <n v="63363"/>
    <n v="1"/>
    <n v="0"/>
    <n v="0.23104532787644108"/>
    <n v="0"/>
    <n v="0"/>
  </r>
  <r>
    <s v="Jezzine"/>
    <x v="7"/>
    <s v="South"/>
    <n v="63117"/>
    <n v="4"/>
    <n v="0"/>
    <n v="0.23105342734096518"/>
    <n v="0"/>
    <n v="0"/>
  </r>
  <r>
    <s v="Jezzine"/>
    <x v="7"/>
    <s v="South"/>
    <n v="63154"/>
    <n v="4"/>
    <n v="0"/>
    <n v="0.23105342734096518"/>
    <n v="0"/>
    <n v="0"/>
  </r>
  <r>
    <s v="Kesrwane"/>
    <x v="6"/>
    <s v="Mount Lebanon"/>
    <n v="25001"/>
    <n v="0"/>
    <n v="0"/>
    <n v="0.23104262805493303"/>
    <n v="0"/>
    <n v="0"/>
  </r>
  <r>
    <s v="Kesrwane"/>
    <x v="6"/>
    <s v="Mount Lebanon"/>
    <n v="25002"/>
    <n v="0"/>
    <n v="0"/>
    <n v="0.23104262805493303"/>
    <n v="0"/>
    <n v="0"/>
  </r>
  <r>
    <s v="Kesrwane"/>
    <x v="6"/>
    <s v="Mount Lebanon"/>
    <n v="25003"/>
    <n v="0"/>
    <n v="0"/>
    <n v="0.23104262805493303"/>
    <n v="0"/>
    <n v="0"/>
  </r>
  <r>
    <s v="Kesrwane"/>
    <x v="6"/>
    <s v="Mount Lebanon"/>
    <n v="26008"/>
    <n v="0"/>
    <n v="0"/>
    <n v="0.23104262805493303"/>
    <n v="0"/>
    <n v="0"/>
  </r>
  <r>
    <s v="Kesrwane"/>
    <x v="6"/>
    <s v="Mount Lebanon"/>
    <n v="25335"/>
    <n v="0"/>
    <n v="0"/>
    <n v="0.23104262805493303"/>
    <n v="0"/>
    <n v="0"/>
  </r>
  <r>
    <s v="Kesrwane"/>
    <x v="6"/>
    <s v="Mount Lebanon"/>
    <n v="25359"/>
    <n v="50"/>
    <n v="0"/>
    <n v="0.23117761913033499"/>
    <n v="0"/>
    <n v="0"/>
  </r>
  <r>
    <s v="Kesrwane"/>
    <x v="6"/>
    <s v="Mount Lebanon"/>
    <n v="25447"/>
    <n v="25"/>
    <n v="0"/>
    <n v="0.23111012359263403"/>
    <n v="0"/>
    <n v="0"/>
  </r>
  <r>
    <s v="Kesrwane"/>
    <x v="6"/>
    <s v="Mount Lebanon"/>
    <n v="25419"/>
    <n v="198"/>
    <n v="0"/>
    <n v="0.23157719271352484"/>
    <n v="0"/>
    <n v="0"/>
  </r>
  <r>
    <s v="Kesrwane"/>
    <x v="6"/>
    <s v="Mount Lebanon"/>
    <n v="25488"/>
    <n v="0"/>
    <n v="0"/>
    <n v="0.23104262805493303"/>
    <n v="0"/>
    <n v="0"/>
  </r>
  <r>
    <s v="Kesrwane"/>
    <x v="6"/>
    <s v="Mount Lebanon"/>
    <n v="25467"/>
    <n v="2"/>
    <n v="0"/>
    <n v="0.2310480276979491"/>
    <n v="0"/>
    <n v="0"/>
  </r>
  <r>
    <s v="Kesrwane"/>
    <x v="6"/>
    <s v="Mount Lebanon"/>
    <n v="25141"/>
    <n v="2174"/>
    <n v="540"/>
    <n v="0.2369120400134109"/>
    <n v="0.24839006439742412"/>
    <n v="5.884659687545625E-2"/>
  </r>
  <r>
    <s v="Marjaayoun"/>
    <x v="11"/>
    <s v="El Nabatieh"/>
    <s v="0c16"/>
    <n v="0"/>
    <n v="0"/>
    <n v="0.23104262805493303"/>
    <n v="0"/>
    <n v="0"/>
  </r>
  <r>
    <s v="Marjaayoun"/>
    <x v="11"/>
    <s v="El Nabatieh"/>
    <n v="73183"/>
    <n v="33"/>
    <n v="0"/>
    <n v="0.23113172216469832"/>
    <n v="0"/>
    <n v="0"/>
  </r>
  <r>
    <s v="Marjaayoun"/>
    <x v="11"/>
    <s v="El Nabatieh"/>
    <n v="73143"/>
    <n v="0"/>
    <n v="0"/>
    <n v="0.23104262805493303"/>
    <n v="0"/>
    <n v="0"/>
  </r>
  <r>
    <s v="Rachaya"/>
    <x v="8"/>
    <s v="Bekaa"/>
    <n v="55001"/>
    <n v="0"/>
    <n v="0"/>
    <n v="0.23104262805493303"/>
    <n v="0"/>
    <n v="0"/>
  </r>
  <r>
    <s v="Rachaya"/>
    <x v="8"/>
    <s v="Bekaa"/>
    <n v="55002"/>
    <n v="0"/>
    <n v="0"/>
    <n v="0.23104262805493303"/>
    <n v="0"/>
    <n v="0"/>
  </r>
  <r>
    <s v="Rachaya"/>
    <x v="8"/>
    <s v="Bekaa"/>
    <n v="55003"/>
    <n v="0"/>
    <n v="0"/>
    <n v="0.23104262805493303"/>
    <n v="0"/>
    <n v="0"/>
  </r>
  <r>
    <s v="Rachaya"/>
    <x v="8"/>
    <s v="Bekaa"/>
    <n v="55004"/>
    <n v="0"/>
    <n v="0"/>
    <n v="0.23104262805493303"/>
    <n v="0"/>
    <n v="0"/>
  </r>
  <r>
    <s v="Rachaya"/>
    <x v="8"/>
    <s v="Bekaa"/>
    <n v="55005"/>
    <n v="0"/>
    <n v="0"/>
    <n v="0.23104262805493303"/>
    <n v="0"/>
    <n v="0"/>
  </r>
  <r>
    <s v="Rachaya"/>
    <x v="8"/>
    <s v="Bekaa"/>
    <n v="55006"/>
    <n v="0"/>
    <n v="0"/>
    <n v="0.23104262805493303"/>
    <n v="0"/>
    <n v="0"/>
  </r>
  <r>
    <s v="Rachaya"/>
    <x v="8"/>
    <s v="Bekaa"/>
    <n v="55007"/>
    <n v="0"/>
    <n v="0"/>
    <n v="0.23104262805493303"/>
    <n v="0"/>
    <n v="0"/>
  </r>
  <r>
    <s v="Rachaya"/>
    <x v="8"/>
    <s v="Bekaa"/>
    <n v="55008"/>
    <n v="0"/>
    <n v="0"/>
    <n v="0.23104262805493303"/>
    <n v="0"/>
    <n v="0"/>
  </r>
  <r>
    <s v="Rachaya"/>
    <x v="8"/>
    <s v="Bekaa"/>
    <n v="55009"/>
    <n v="0"/>
    <n v="0"/>
    <n v="0.23104262805493303"/>
    <n v="0"/>
    <n v="0"/>
  </r>
  <r>
    <s v="Rachaya"/>
    <x v="8"/>
    <s v="Bekaa"/>
    <n v="55010"/>
    <n v="0"/>
    <n v="0"/>
    <n v="0.23104262805493303"/>
    <n v="0"/>
    <n v="0"/>
  </r>
  <r>
    <s v="Rachaya"/>
    <x v="8"/>
    <s v="Bekaa"/>
    <s v="0c12"/>
    <n v="0"/>
    <n v="0"/>
    <n v="0.23104262805493303"/>
    <n v="0"/>
    <n v="0"/>
  </r>
  <r>
    <s v="Rachaya"/>
    <x v="8"/>
    <s v="Bekaa"/>
    <s v="0c13"/>
    <n v="0"/>
    <n v="0"/>
    <n v="0.23104262805493303"/>
    <n v="0"/>
    <n v="0"/>
  </r>
  <r>
    <s v="Rachaya"/>
    <x v="8"/>
    <s v="Bekaa"/>
    <s v="0c14"/>
    <n v="0"/>
    <n v="0"/>
    <n v="0.23104262805493303"/>
    <n v="0"/>
    <n v="0"/>
  </r>
  <r>
    <s v="Rachaya"/>
    <x v="8"/>
    <s v="Bekaa"/>
    <n v="55199"/>
    <n v="34"/>
    <n v="90"/>
    <n v="0.23113442198620637"/>
    <n v="2.6470588235294117"/>
    <n v="0.61182641113995806"/>
  </r>
  <r>
    <s v="Saida"/>
    <x v="16"/>
    <s v="South"/>
    <n v="61001"/>
    <n v="0"/>
    <n v="0"/>
    <n v="0.23104262805493303"/>
    <n v="0"/>
    <n v="0"/>
  </r>
  <r>
    <s v="Saida"/>
    <x v="16"/>
    <s v="South"/>
    <n v="61423"/>
    <n v="16"/>
    <n v="0"/>
    <n v="0.23108582519906165"/>
    <n v="0"/>
    <n v="0"/>
  </r>
  <r>
    <s v="Saida"/>
    <x v="16"/>
    <s v="South"/>
    <n v="61467"/>
    <n v="658"/>
    <n v="81"/>
    <n v="0.23281911060722302"/>
    <n v="0.12310030395136778"/>
    <n v="2.8660103281436269E-2"/>
  </r>
  <r>
    <s v="Saida"/>
    <x v="16"/>
    <s v="South"/>
    <n v="61473"/>
    <n v="11"/>
    <n v="0"/>
    <n v="0.23107232609152145"/>
    <n v="0"/>
    <n v="0"/>
  </r>
  <r>
    <s v="Saida"/>
    <x v="16"/>
    <s v="South"/>
    <n v="61424"/>
    <n v="1"/>
    <n v="0"/>
    <n v="0.23104532787644108"/>
    <n v="0"/>
    <n v="0"/>
  </r>
  <r>
    <s v="Saida"/>
    <x v="16"/>
    <s v="South"/>
    <n v="61433"/>
    <n v="15"/>
    <n v="0"/>
    <n v="0.23108312537755363"/>
    <n v="0"/>
    <n v="0"/>
  </r>
  <r>
    <s v="Saida"/>
    <x v="16"/>
    <s v="South"/>
    <n v="61429"/>
    <n v="27"/>
    <n v="0"/>
    <n v="0.2311155232356501"/>
    <n v="0"/>
    <n v="0"/>
  </r>
  <r>
    <s v="Saida"/>
    <x v="16"/>
    <s v="South"/>
    <n v="61457"/>
    <n v="11"/>
    <n v="0"/>
    <n v="0.23107232609152145"/>
    <n v="0"/>
    <n v="0"/>
  </r>
  <r>
    <s v="Saida"/>
    <x v="16"/>
    <s v="South"/>
    <n v="61484"/>
    <n v="1456"/>
    <n v="0"/>
    <n v="0.23497356817063855"/>
    <n v="0"/>
    <n v="0"/>
  </r>
  <r>
    <s v="Saida"/>
    <x v="16"/>
    <s v="South"/>
    <n v="61497"/>
    <n v="0"/>
    <n v="0"/>
    <n v="0.23104262805493303"/>
    <n v="0"/>
    <n v="0"/>
  </r>
  <r>
    <s v="Sour"/>
    <x v="12"/>
    <s v="South"/>
    <n v="62242"/>
    <n v="537"/>
    <n v="0"/>
    <n v="0.23249243220475024"/>
    <n v="0"/>
    <n v="0"/>
  </r>
  <r>
    <s v="Sour"/>
    <x v="12"/>
    <s v="South"/>
    <n v="62319"/>
    <n v="84"/>
    <n v="0"/>
    <n v="0.23126941306160834"/>
    <n v="0"/>
    <n v="0"/>
  </r>
  <r>
    <s v="Sour"/>
    <x v="12"/>
    <s v="South"/>
    <n v="62331"/>
    <n v="187"/>
    <n v="0"/>
    <n v="0.23154749467693642"/>
    <n v="0"/>
    <n v="0"/>
  </r>
  <r>
    <s v="Sour"/>
    <x v="12"/>
    <s v="South"/>
    <n v="62314"/>
    <n v="11"/>
    <n v="0"/>
    <n v="0.23107232609152145"/>
    <n v="0"/>
    <n v="0"/>
  </r>
  <r>
    <s v="Sour"/>
    <x v="12"/>
    <s v="South"/>
    <n v="62284"/>
    <n v="5"/>
    <n v="0"/>
    <n v="0.23105612716247323"/>
    <n v="0"/>
    <n v="0"/>
  </r>
  <r>
    <s v="Sour"/>
    <x v="12"/>
    <s v="South"/>
    <n v="62281"/>
    <n v="0"/>
    <n v="0"/>
    <n v="0.23104262805493303"/>
    <n v="0"/>
    <n v="0"/>
  </r>
  <r>
    <s v="Sour"/>
    <x v="12"/>
    <s v="South"/>
    <n v="62257"/>
    <n v="300"/>
    <n v="0"/>
    <n v="0.23185257450734487"/>
    <n v="0"/>
    <n v="0"/>
  </r>
  <r>
    <s v="Sour"/>
    <x v="12"/>
    <s v="South"/>
    <n v="62273"/>
    <n v="42"/>
    <n v="0"/>
    <n v="0.2311560205582707"/>
    <n v="0"/>
    <n v="0"/>
  </r>
  <r>
    <s v="West Bekaa"/>
    <x v="17"/>
    <s v="Bekaa"/>
    <n v="52001"/>
    <n v="0"/>
    <n v="0"/>
    <n v="0.23104262805493303"/>
    <n v="0"/>
    <n v="0"/>
  </r>
  <r>
    <s v="West Bekaa"/>
    <x v="17"/>
    <s v="Bekaa"/>
    <n v="52002"/>
    <n v="0"/>
    <n v="0"/>
    <n v="0.23104262805493303"/>
    <n v="0"/>
    <n v="0"/>
  </r>
  <r>
    <s v="West Bekaa"/>
    <x v="17"/>
    <s v="Bekaa"/>
    <n v="52003"/>
    <n v="0"/>
    <n v="0"/>
    <n v="0.23104262805493303"/>
    <n v="0"/>
    <n v="0"/>
  </r>
  <r>
    <s v="West Bekaa"/>
    <x v="17"/>
    <s v="Bekaa"/>
    <n v="52131"/>
    <n v="62"/>
    <n v="54"/>
    <n v="0.23121001698843147"/>
    <n v="0.87096774193548387"/>
    <n v="0.20137646640927903"/>
  </r>
  <r>
    <s v="West Bekaa"/>
    <x v="17"/>
    <s v="Bekaa"/>
    <n v="52257"/>
    <n v="154"/>
    <n v="24"/>
    <n v="0.23145840056717112"/>
    <n v="0.15584415584415584"/>
    <n v="3.6071439049429263E-2"/>
  </r>
  <r>
    <s v="Zahle"/>
    <x v="9"/>
    <s v="Bekaa"/>
    <n v="51247"/>
    <n v="31"/>
    <n v="0"/>
    <n v="0.23112632252168225"/>
    <n v="0"/>
    <n v="0"/>
  </r>
  <r>
    <s v="Zahle"/>
    <x v="9"/>
    <s v="Bekaa"/>
    <n v="51001"/>
    <n v="0"/>
    <n v="0"/>
    <n v="0.23104262805493303"/>
    <n v="0"/>
    <n v="0"/>
  </r>
  <r>
    <s v="Zahle"/>
    <x v="9"/>
    <s v="Bekaa"/>
    <s v="0c17"/>
    <n v="0"/>
    <n v="0"/>
    <n v="0.23104262805493303"/>
    <n v="0"/>
    <n v="0"/>
  </r>
  <r>
    <s v="Zahle"/>
    <x v="9"/>
    <s v="Bekaa"/>
    <n v="51274"/>
    <n v="233"/>
    <n v="0"/>
    <n v="0.23167168646630623"/>
    <n v="0"/>
    <n v="0"/>
  </r>
  <r>
    <s v="Zahle"/>
    <x v="9"/>
    <s v="Bekaa"/>
    <n v="51261"/>
    <n v="0"/>
    <n v="0"/>
    <n v="0.23104262805493303"/>
    <n v="0"/>
    <n v="0"/>
  </r>
  <r>
    <s v="Zahle"/>
    <x v="9"/>
    <s v="Bekaa"/>
    <n v="51214"/>
    <n v="374"/>
    <n v="0"/>
    <n v="0.2320523612989398"/>
    <n v="0"/>
    <n v="0"/>
  </r>
  <r>
    <s v="Zgharta"/>
    <x v="14"/>
    <s v="North"/>
    <n v="33239"/>
    <n v="200"/>
    <n v="0"/>
    <n v="0.23158259235654094"/>
    <n v="0"/>
    <n v="0"/>
  </r>
  <r>
    <s v="Zgharta"/>
    <x v="14"/>
    <s v="North"/>
    <n v="33127"/>
    <n v="0"/>
    <n v="0"/>
    <n v="0.23104262805493303"/>
    <n v="0"/>
    <n v="0"/>
  </r>
  <r>
    <s v="Zgharta"/>
    <x v="14"/>
    <s v="North"/>
    <n v="33135"/>
    <n v="0"/>
    <n v="0"/>
    <n v="0.23104262805493303"/>
    <n v="0"/>
    <n v="0"/>
  </r>
  <r>
    <m/>
    <x v="2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C1912-59B2-4CB8-B00E-D1F9238B45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1" firstHeaderRow="0" firstDataRow="1" firstDataCol="1"/>
  <pivotFields count="9">
    <pivotField showAll="0"/>
    <pivotField axis="axisRow" showAll="0">
      <items count="28">
        <item x="4"/>
        <item x="2"/>
        <item x="1"/>
        <item x="3"/>
        <item x="25"/>
        <item x="0"/>
        <item x="18"/>
        <item x="21"/>
        <item x="22"/>
        <item x="15"/>
        <item x="23"/>
        <item x="19"/>
        <item x="20"/>
        <item x="24"/>
        <item x="5"/>
        <item x="10"/>
        <item x="7"/>
        <item x="6"/>
        <item x="11"/>
        <item x="8"/>
        <item x="16"/>
        <item x="12"/>
        <item x="13"/>
        <item x="17"/>
        <item x="9"/>
        <item x="14"/>
        <item x="26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Resident_Population (R)" fld="4" subtotal="average" baseField="1" baseItem="25"/>
    <dataField name="Average of Displaced_Population (D)" fld="5" subtotal="average" baseField="1" baseItem="25"/>
    <dataField name="Average of Heterogeneity (H)" fld="6" subtotal="average" baseField="1" baseItem="25"/>
    <dataField name="Average of Displacement_Ratio (S = D/R)" fld="7" subtotal="average" baseField="1" baseItem="25"/>
    <dataField name="Average of Demographic_Factor (DF = S*H)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1A750-3255-4F4C-82E2-4CBE57456C1B}" name="Table1" displayName="Table1" ref="A1:K1628" totalsRowShown="0" headerRowDxfId="17" dataDxfId="16">
  <autoFilter ref="A1:K1628" xr:uid="{E351A750-3255-4F4C-82E2-4CBE57456C1B}"/>
  <tableColumns count="11">
    <tableColumn id="1" xr3:uid="{89DDF5A6-A07B-4EA9-A5E4-C3E3CC2C342F}" name="ACS_CODE" dataDxfId="15"/>
    <tableColumn id="3" xr3:uid="{9FC93DA0-86A2-4560-9DF4-AF6A6BB1F27A}" name="Governorate" dataDxfId="14"/>
    <tableColumn id="4" xr3:uid="{6E7E976C-A17A-4E7B-8242-FE11C5D04841}" name="District" dataDxfId="13"/>
    <tableColumn id="5" xr3:uid="{C75CD067-AF2C-4368-AF76-03A10AC643C6}" name="Cadaster" dataDxfId="12"/>
    <tableColumn id="15" xr3:uid="{0BF14503-DAD2-45C4-BDC0-B923883F6707}" name="Syr" dataDxfId="11"/>
    <tableColumn id="8" xr3:uid="{0ABA1D95-8EC6-48C7-B7E2-9526AA5A0AEA}" name="PRL" dataDxfId="10"/>
    <tableColumn id="7" xr3:uid="{F105D79E-A87D-412F-94F3-BA214765C805}" name="PRS" dataDxfId="9"/>
    <tableColumn id="18" xr3:uid="{4C6E7F83-7CBF-436D-BEE1-59A096C90EC3}" name="Leb" dataDxfId="8"/>
    <tableColumn id="9" xr3:uid="{EB304D6E-BE62-4B9B-A39B-9BE9D7F73D82}" name="Migrant" dataDxfId="7"/>
    <tableColumn id="2" xr3:uid="{D4B4A62B-B243-4A7D-BE88-C298A7F1D7CB}" name="Total" dataDxfId="6"/>
    <tableColumn id="6" xr3:uid="{B6435F34-485D-4926-8C39-D2616CD953A1}" name="Column1" dataDxfId="5">
      <calculatedColumnFormula>COUNTIF(DF_Calculation!E:E,Table1[[#This Row],[ACS_CODE]])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BCD0-235D-4840-8992-ACECBCD6D92B}">
  <dimension ref="A3:F31"/>
  <sheetViews>
    <sheetView workbookViewId="0">
      <selection activeCell="A3" sqref="A3:F29"/>
    </sheetView>
  </sheetViews>
  <sheetFormatPr defaultRowHeight="15" x14ac:dyDescent="0.25"/>
  <cols>
    <col min="1" max="1" width="16.5703125" bestFit="1" customWidth="1"/>
    <col min="2" max="2" width="33.28515625" bestFit="1" customWidth="1"/>
    <col min="3" max="3" width="34.28515625" bestFit="1" customWidth="1"/>
    <col min="4" max="4" width="27.5703125" bestFit="1" customWidth="1"/>
    <col min="5" max="5" width="37.5703125" bestFit="1" customWidth="1"/>
    <col min="6" max="6" width="39.42578125" bestFit="1" customWidth="1"/>
  </cols>
  <sheetData>
    <row r="3" spans="1:6" x14ac:dyDescent="0.25">
      <c r="A3" s="10" t="s">
        <v>2514</v>
      </c>
      <c r="B3" t="s">
        <v>2521</v>
      </c>
      <c r="C3" t="s">
        <v>2520</v>
      </c>
      <c r="D3" t="s">
        <v>2519</v>
      </c>
      <c r="E3" t="s">
        <v>2518</v>
      </c>
      <c r="F3" t="s">
        <v>2517</v>
      </c>
    </row>
    <row r="4" spans="1:6" x14ac:dyDescent="0.25">
      <c r="A4" s="11" t="s">
        <v>991</v>
      </c>
      <c r="B4" s="12">
        <v>2866.2616279069766</v>
      </c>
      <c r="C4" s="12">
        <v>91.854651162790702</v>
      </c>
      <c r="D4" s="12">
        <v>0.20116407772068237</v>
      </c>
      <c r="E4" s="12">
        <v>4.3141376073740807E-2</v>
      </c>
      <c r="F4" s="12">
        <v>8.7632853010341169E-3</v>
      </c>
    </row>
    <row r="5" spans="1:6" x14ac:dyDescent="0.25">
      <c r="A5" s="11" t="s">
        <v>1282</v>
      </c>
      <c r="B5" s="12">
        <v>3735.8690476190477</v>
      </c>
      <c r="C5" s="12">
        <v>1632.1071428571429</v>
      </c>
      <c r="D5" s="12">
        <v>0.30162653539784023</v>
      </c>
      <c r="E5" s="12">
        <v>0.46151215779633742</v>
      </c>
      <c r="F5" s="12">
        <v>0.14564807269665109</v>
      </c>
    </row>
    <row r="6" spans="1:6" x14ac:dyDescent="0.25">
      <c r="A6" s="11" t="s">
        <v>1275</v>
      </c>
      <c r="B6" s="12">
        <v>9389.1803278688531</v>
      </c>
      <c r="C6" s="12">
        <v>580.70491803278685</v>
      </c>
      <c r="D6" s="12">
        <v>0.34485305606264538</v>
      </c>
      <c r="E6" s="12">
        <v>0.35540818348338388</v>
      </c>
      <c r="F6" s="12">
        <v>9.4085699748269663E-2</v>
      </c>
    </row>
    <row r="7" spans="1:6" x14ac:dyDescent="0.25">
      <c r="A7" s="11" t="s">
        <v>1266</v>
      </c>
      <c r="B7" s="12">
        <v>3730.2574257425745</v>
      </c>
      <c r="C7" s="12">
        <v>103.35643564356435</v>
      </c>
      <c r="D7" s="12">
        <v>0.18435370199017312</v>
      </c>
      <c r="E7" s="12">
        <v>7.4708805856696925E-2</v>
      </c>
      <c r="F7" s="12">
        <v>1.3789887345550408E-2</v>
      </c>
    </row>
    <row r="8" spans="1:6" x14ac:dyDescent="0.25">
      <c r="A8" s="11" t="s">
        <v>982</v>
      </c>
      <c r="B8" s="12">
        <v>962</v>
      </c>
      <c r="C8" s="12">
        <v>20.130434782608695</v>
      </c>
      <c r="D8" s="12">
        <v>0.14893639366755879</v>
      </c>
      <c r="E8" s="12">
        <v>3.9998859163413177E-2</v>
      </c>
      <c r="F8" s="12">
        <v>8.5150868814220394E-3</v>
      </c>
    </row>
    <row r="9" spans="1:6" x14ac:dyDescent="0.25">
      <c r="A9" s="11" t="s">
        <v>1315</v>
      </c>
      <c r="B9" s="12">
        <v>23308.461538461539</v>
      </c>
      <c r="C9" s="12">
        <v>12625.923076923076</v>
      </c>
      <c r="D9" s="12">
        <v>0.61319320483483342</v>
      </c>
      <c r="E9" s="12">
        <v>0.97586842757141978</v>
      </c>
      <c r="F9" s="12">
        <v>0.59471623290010245</v>
      </c>
    </row>
    <row r="10" spans="1:6" x14ac:dyDescent="0.25">
      <c r="A10" s="11" t="s">
        <v>1514</v>
      </c>
      <c r="B10" s="12">
        <v>1756.7105263157894</v>
      </c>
      <c r="C10" s="12">
        <v>2.6578947368421053</v>
      </c>
      <c r="D10" s="12">
        <v>9.9711940032415305E-2</v>
      </c>
      <c r="E10" s="12">
        <v>9.3620475753397017E-4</v>
      </c>
      <c r="F10" s="12">
        <v>1.8760549968590293E-4</v>
      </c>
    </row>
    <row r="11" spans="1:6" x14ac:dyDescent="0.25">
      <c r="A11" s="11" t="s">
        <v>921</v>
      </c>
      <c r="B11" s="12">
        <v>2628.7777777777778</v>
      </c>
      <c r="C11" s="12">
        <v>1143.2323232323233</v>
      </c>
      <c r="D11" s="12">
        <v>0.26185194396319483</v>
      </c>
      <c r="E11" s="12">
        <v>0.31107465834412773</v>
      </c>
      <c r="F11" s="12">
        <v>9.0263515935299479E-2</v>
      </c>
    </row>
    <row r="12" spans="1:6" x14ac:dyDescent="0.25">
      <c r="A12" s="11" t="s">
        <v>931</v>
      </c>
      <c r="B12" s="12">
        <v>912.22535211267609</v>
      </c>
      <c r="C12" s="12">
        <v>103.04225352112677</v>
      </c>
      <c r="D12" s="12">
        <v>0.21874089538590172</v>
      </c>
      <c r="E12" s="12">
        <v>0.14456845191369766</v>
      </c>
      <c r="F12" s="12">
        <v>3.0107366163564426E-2</v>
      </c>
    </row>
    <row r="13" spans="1:6" x14ac:dyDescent="0.25">
      <c r="A13" s="11" t="s">
        <v>1200</v>
      </c>
      <c r="B13" s="12">
        <v>4051.2857142857142</v>
      </c>
      <c r="C13" s="12">
        <v>117.78571428571429</v>
      </c>
      <c r="D13" s="12">
        <v>0.2213298454741417</v>
      </c>
      <c r="E13" s="12">
        <v>0.10905219988497493</v>
      </c>
      <c r="F13" s="12">
        <v>1.4322792061157113E-2</v>
      </c>
    </row>
    <row r="14" spans="1:6" x14ac:dyDescent="0.25">
      <c r="A14" s="11" t="s">
        <v>934</v>
      </c>
      <c r="B14" s="12">
        <v>2139.5749999999998</v>
      </c>
      <c r="C14" s="12">
        <v>126.45</v>
      </c>
      <c r="D14" s="12">
        <v>0.29229831784192639</v>
      </c>
      <c r="E14" s="12">
        <v>0.20933588277771889</v>
      </c>
      <c r="F14" s="12">
        <v>6.108953913601297E-2</v>
      </c>
    </row>
    <row r="15" spans="1:6" x14ac:dyDescent="0.25">
      <c r="A15" s="11" t="s">
        <v>915</v>
      </c>
      <c r="B15" s="12">
        <v>4860.8247422680415</v>
      </c>
      <c r="C15" s="12">
        <v>200.46391752577318</v>
      </c>
      <c r="D15" s="12">
        <v>0.3825047421690117</v>
      </c>
      <c r="E15" s="12">
        <v>5.1980219800952854E-2</v>
      </c>
      <c r="F15" s="12">
        <v>1.9314588824214659E-2</v>
      </c>
    </row>
    <row r="16" spans="1:6" x14ac:dyDescent="0.25">
      <c r="A16" s="11" t="s">
        <v>918</v>
      </c>
      <c r="B16" s="12">
        <v>1999.8644067796611</v>
      </c>
      <c r="C16" s="12">
        <v>136.42372881355934</v>
      </c>
      <c r="D16" s="12">
        <v>0.14252842485428488</v>
      </c>
      <c r="E16" s="12">
        <v>4.4348921752269045E-2</v>
      </c>
      <c r="F16" s="12">
        <v>4.9180028376353416E-3</v>
      </c>
    </row>
    <row r="17" spans="1:6" x14ac:dyDescent="0.25">
      <c r="A17" s="11" t="s">
        <v>937</v>
      </c>
      <c r="B17" s="12">
        <v>4374.1020408163267</v>
      </c>
      <c r="C17" s="12">
        <v>45.102040816326529</v>
      </c>
      <c r="D17" s="12">
        <v>0.15802335871697665</v>
      </c>
      <c r="E17" s="12">
        <v>1.7870179175422628E-2</v>
      </c>
      <c r="F17" s="12">
        <v>3.6909704011973766E-3</v>
      </c>
    </row>
    <row r="18" spans="1:6" x14ac:dyDescent="0.25">
      <c r="A18" s="11" t="s">
        <v>1280</v>
      </c>
      <c r="B18" s="12">
        <v>1224.25</v>
      </c>
      <c r="C18" s="12">
        <v>68.666666666666671</v>
      </c>
      <c r="D18" s="12">
        <v>0.2181595890498795</v>
      </c>
      <c r="E18" s="12">
        <v>6.2277765995047168E-2</v>
      </c>
      <c r="F18" s="12">
        <v>2.3040948737460574E-2</v>
      </c>
    </row>
    <row r="19" spans="1:6" x14ac:dyDescent="0.25">
      <c r="A19" s="11" t="s">
        <v>1295</v>
      </c>
      <c r="B19" s="12">
        <v>1230.6822429906542</v>
      </c>
      <c r="C19" s="12">
        <v>223.12149532710279</v>
      </c>
      <c r="D19" s="12">
        <v>0.2231505717649937</v>
      </c>
      <c r="E19" s="12">
        <v>1.6489430563120626</v>
      </c>
      <c r="F19" s="12">
        <v>0.27880008022638847</v>
      </c>
    </row>
    <row r="20" spans="1:6" x14ac:dyDescent="0.25">
      <c r="A20" s="11" t="s">
        <v>1332</v>
      </c>
      <c r="B20" s="12">
        <v>397.77777777777777</v>
      </c>
      <c r="C20" s="12">
        <v>83.419753086419746</v>
      </c>
      <c r="D20" s="12">
        <v>0.2735407552061756</v>
      </c>
      <c r="E20" s="12">
        <v>0.32606668965431679</v>
      </c>
      <c r="F20" s="12">
        <v>0.11879905976017821</v>
      </c>
    </row>
    <row r="21" spans="1:6" x14ac:dyDescent="0.25">
      <c r="A21" s="11" t="s">
        <v>1307</v>
      </c>
      <c r="B21" s="12">
        <v>3176.0853658536585</v>
      </c>
      <c r="C21" s="12">
        <v>197.92682926829269</v>
      </c>
      <c r="D21" s="12">
        <v>0.23739081054766314</v>
      </c>
      <c r="E21" s="12">
        <v>8.5975594264801558E-2</v>
      </c>
      <c r="F21" s="12">
        <v>1.5919345504835952E-2</v>
      </c>
    </row>
    <row r="22" spans="1:6" x14ac:dyDescent="0.25">
      <c r="A22" s="11" t="s">
        <v>1278</v>
      </c>
      <c r="B22" s="12">
        <v>1016.8378378378378</v>
      </c>
      <c r="C22" s="12">
        <v>9.1351351351351351</v>
      </c>
      <c r="D22" s="12">
        <v>0.18747955431511582</v>
      </c>
      <c r="E22" s="12">
        <v>1.5172500992543808E-2</v>
      </c>
      <c r="F22" s="12">
        <v>5.8041329366857559E-3</v>
      </c>
    </row>
    <row r="23" spans="1:6" x14ac:dyDescent="0.25">
      <c r="A23" s="11" t="s">
        <v>1291</v>
      </c>
      <c r="B23" s="12">
        <v>859.69047619047615</v>
      </c>
      <c r="C23" s="12">
        <v>73.238095238095241</v>
      </c>
      <c r="D23" s="12">
        <v>0.18476342748021701</v>
      </c>
      <c r="E23" s="12">
        <v>0.10579429273718451</v>
      </c>
      <c r="F23" s="12">
        <v>2.3916383804450842E-2</v>
      </c>
    </row>
    <row r="24" spans="1:6" x14ac:dyDescent="0.25">
      <c r="A24" s="11" t="s">
        <v>1288</v>
      </c>
      <c r="B24" s="12">
        <v>4508.5128205128203</v>
      </c>
      <c r="C24" s="12">
        <v>939.33333333333337</v>
      </c>
      <c r="D24" s="12">
        <v>0.23557082584484618</v>
      </c>
      <c r="E24" s="12">
        <v>0.14011129810692444</v>
      </c>
      <c r="F24" s="12">
        <v>4.4719336853889957E-2</v>
      </c>
    </row>
    <row r="25" spans="1:6" x14ac:dyDescent="0.25">
      <c r="A25" s="11" t="s">
        <v>1269</v>
      </c>
      <c r="B25" s="12">
        <v>3573.1282051282051</v>
      </c>
      <c r="C25" s="12">
        <v>182.38461538461539</v>
      </c>
      <c r="D25" s="12">
        <v>0.12804661709627579</v>
      </c>
      <c r="E25" s="12">
        <v>2.9725464032590789E-3</v>
      </c>
      <c r="F25" s="12">
        <v>1.8826573315314759E-3</v>
      </c>
    </row>
    <row r="26" spans="1:6" x14ac:dyDescent="0.25">
      <c r="A26" s="11" t="s">
        <v>1255</v>
      </c>
      <c r="B26" s="12">
        <v>18057.4375</v>
      </c>
      <c r="C26" s="12">
        <v>308.5</v>
      </c>
      <c r="D26" s="12">
        <v>0.23559109642317413</v>
      </c>
      <c r="E26" s="12">
        <v>8.4207867779780825E-3</v>
      </c>
      <c r="F26" s="12">
        <v>6.128058296680502E-4</v>
      </c>
    </row>
    <row r="27" spans="1:6" x14ac:dyDescent="0.25">
      <c r="A27" s="11" t="s">
        <v>1323</v>
      </c>
      <c r="B27" s="12">
        <v>2870.0454545454545</v>
      </c>
      <c r="C27" s="12">
        <v>67.318181818181813</v>
      </c>
      <c r="D27" s="12">
        <v>0.25747689870489493</v>
      </c>
      <c r="E27" s="12">
        <v>0.65877263452522239</v>
      </c>
      <c r="F27" s="12">
        <v>0.15546255034832793</v>
      </c>
    </row>
    <row r="28" spans="1:6" x14ac:dyDescent="0.25">
      <c r="A28" s="11" t="s">
        <v>1259</v>
      </c>
      <c r="B28" s="12">
        <v>4487.3538461538465</v>
      </c>
      <c r="C28" s="12">
        <v>252.66153846153847</v>
      </c>
      <c r="D28" s="12">
        <v>0.40546511951128689</v>
      </c>
      <c r="E28" s="12">
        <v>4.7273036652315893E-2</v>
      </c>
      <c r="F28" s="12">
        <v>2.1604490711593306E-2</v>
      </c>
    </row>
    <row r="29" spans="1:6" x14ac:dyDescent="0.25">
      <c r="A29" s="11" t="s">
        <v>1297</v>
      </c>
      <c r="B29" s="12">
        <v>1714.3269230769231</v>
      </c>
      <c r="C29" s="12">
        <v>68.557692307692307</v>
      </c>
      <c r="D29" s="12">
        <v>0.20934752780139398</v>
      </c>
      <c r="E29" s="12">
        <v>4.6930621026831494E-2</v>
      </c>
      <c r="F29" s="12">
        <v>1.0375918196397993E-2</v>
      </c>
    </row>
    <row r="30" spans="1:6" x14ac:dyDescent="0.25">
      <c r="A30" s="11" t="s">
        <v>2515</v>
      </c>
      <c r="B30" s="12"/>
      <c r="C30" s="12"/>
      <c r="D30" s="12"/>
      <c r="E30" s="12"/>
      <c r="F30" s="12"/>
    </row>
    <row r="31" spans="1:6" x14ac:dyDescent="0.25">
      <c r="A31" s="11" t="s">
        <v>2516</v>
      </c>
      <c r="B31" s="12">
        <v>3302.5101413644743</v>
      </c>
      <c r="C31" s="12">
        <v>422.66072526121695</v>
      </c>
      <c r="D31" s="12">
        <v>0.23995881596510774</v>
      </c>
      <c r="E31" s="12">
        <v>0.25245360440472747</v>
      </c>
      <c r="F31" s="12">
        <v>6.1359101379351091E-2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68A-7F80-461B-8AF7-3578E6D07A10}">
  <dimension ref="A1:P1628"/>
  <sheetViews>
    <sheetView zoomScale="85" zoomScaleNormal="85" workbookViewId="0">
      <selection activeCell="R13" sqref="R13"/>
    </sheetView>
  </sheetViews>
  <sheetFormatPr defaultRowHeight="15" x14ac:dyDescent="0.25"/>
  <cols>
    <col min="1" max="1" width="9.5703125" bestFit="1" customWidth="1"/>
    <col min="2" max="2" width="36" bestFit="1" customWidth="1"/>
    <col min="3" max="3" width="16.5703125" bestFit="1" customWidth="1"/>
    <col min="4" max="4" width="16.5703125" customWidth="1"/>
    <col min="5" max="5" width="17.5703125" bestFit="1" customWidth="1"/>
    <col min="6" max="6" width="9.42578125" bestFit="1" customWidth="1"/>
    <col min="7" max="7" width="23" bestFit="1" customWidth="1"/>
    <col min="8" max="8" width="23.85546875" bestFit="1" customWidth="1"/>
    <col min="9" max="9" width="17.28515625" bestFit="1" customWidth="1"/>
    <col min="10" max="10" width="27.28515625" bestFit="1" customWidth="1"/>
    <col min="11" max="11" width="29" bestFit="1" customWidth="1"/>
  </cols>
  <sheetData>
    <row r="1" spans="1:16" ht="98.25" customHeight="1" x14ac:dyDescent="0.25">
      <c r="A1" s="9" t="s">
        <v>0</v>
      </c>
      <c r="B1" s="9" t="s">
        <v>1</v>
      </c>
      <c r="C1" s="9" t="s">
        <v>2</v>
      </c>
      <c r="D1" s="9" t="s">
        <v>2513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6" x14ac:dyDescent="0.25">
      <c r="A2" t="s">
        <v>10</v>
      </c>
      <c r="B2" t="s">
        <v>11</v>
      </c>
      <c r="C2" t="s">
        <v>12</v>
      </c>
      <c r="D2" t="s">
        <v>1315</v>
      </c>
      <c r="E2" t="s">
        <v>12</v>
      </c>
      <c r="F2">
        <v>10110</v>
      </c>
      <c r="G2">
        <v>4550</v>
      </c>
      <c r="H2">
        <v>28800</v>
      </c>
      <c r="I2">
        <v>0.65991016694512528</v>
      </c>
      <c r="J2">
        <f>IF(G2=0,0,H2/G2)</f>
        <v>6.3296703296703294</v>
      </c>
      <c r="K2">
        <f>J2*I2</f>
        <v>4.177013803960353</v>
      </c>
      <c r="M2" t="s">
        <v>10</v>
      </c>
      <c r="N2">
        <f>COUNTIF(A:A,M2)</f>
        <v>1216</v>
      </c>
    </row>
    <row r="3" spans="1:16" x14ac:dyDescent="0.25">
      <c r="A3" t="s">
        <v>10</v>
      </c>
      <c r="B3" t="s">
        <v>13</v>
      </c>
      <c r="C3" t="s">
        <v>12</v>
      </c>
      <c r="D3" t="s">
        <v>1315</v>
      </c>
      <c r="E3" t="s">
        <v>12</v>
      </c>
      <c r="F3">
        <v>10150</v>
      </c>
      <c r="G3">
        <v>37706</v>
      </c>
      <c r="H3">
        <v>39690</v>
      </c>
      <c r="I3">
        <v>0.53190598645560305</v>
      </c>
      <c r="J3">
        <f t="shared" ref="J3:J66" si="0">IF(G3=0,0,H3/G3)</f>
        <v>1.0526176205378455</v>
      </c>
      <c r="K3">
        <f t="shared" ref="K3:K66" si="1">J3*I3</f>
        <v>0.55989361381273239</v>
      </c>
      <c r="M3" t="s">
        <v>14</v>
      </c>
      <c r="N3">
        <f>COUNTIF(A:A,M3)</f>
        <v>411</v>
      </c>
    </row>
    <row r="4" spans="1:16" x14ac:dyDescent="0.25">
      <c r="A4" t="s">
        <v>10</v>
      </c>
      <c r="B4" t="s">
        <v>15</v>
      </c>
      <c r="C4" t="s">
        <v>12</v>
      </c>
      <c r="D4" t="s">
        <v>1315</v>
      </c>
      <c r="E4" t="s">
        <v>12</v>
      </c>
      <c r="F4">
        <v>10210</v>
      </c>
      <c r="G4">
        <v>66330</v>
      </c>
      <c r="H4">
        <v>64913</v>
      </c>
      <c r="I4">
        <v>0.5986279779716368</v>
      </c>
      <c r="J4">
        <f t="shared" si="0"/>
        <v>0.97863711744308757</v>
      </c>
      <c r="K4">
        <f t="shared" si="1"/>
        <v>0.5858395587829468</v>
      </c>
      <c r="P4" t="str" cm="1">
        <f t="array" ref="P4:P29">_xlfn.UNIQUE(D2:D1628)</f>
        <v>Beirut</v>
      </c>
    </row>
    <row r="5" spans="1:16" x14ac:dyDescent="0.25">
      <c r="A5" t="s">
        <v>10</v>
      </c>
      <c r="B5" t="s">
        <v>16</v>
      </c>
      <c r="C5" t="s">
        <v>12</v>
      </c>
      <c r="D5" t="s">
        <v>1315</v>
      </c>
      <c r="E5" t="s">
        <v>12</v>
      </c>
      <c r="F5">
        <v>10250</v>
      </c>
      <c r="G5">
        <v>1524</v>
      </c>
      <c r="H5">
        <v>0</v>
      </c>
      <c r="I5">
        <v>0.83693546478094127</v>
      </c>
      <c r="J5">
        <f t="shared" si="0"/>
        <v>0</v>
      </c>
      <c r="K5">
        <f t="shared" si="1"/>
        <v>0</v>
      </c>
      <c r="P5" t="str">
        <v>Baabda</v>
      </c>
    </row>
    <row r="6" spans="1:16" x14ac:dyDescent="0.25">
      <c r="A6" t="s">
        <v>10</v>
      </c>
      <c r="B6" t="s">
        <v>17</v>
      </c>
      <c r="C6" t="s">
        <v>12</v>
      </c>
      <c r="D6" t="s">
        <v>1315</v>
      </c>
      <c r="E6" t="s">
        <v>12</v>
      </c>
      <c r="F6">
        <v>10310</v>
      </c>
      <c r="G6">
        <v>88885</v>
      </c>
      <c r="H6">
        <v>16650</v>
      </c>
      <c r="I6">
        <v>0.27341793917354673</v>
      </c>
      <c r="J6">
        <f t="shared" si="0"/>
        <v>0.18732069528041853</v>
      </c>
      <c r="K6">
        <f t="shared" si="1"/>
        <v>5.1216838468127954E-2</v>
      </c>
      <c r="P6" t="str">
        <v>Aley</v>
      </c>
    </row>
    <row r="7" spans="1:16" x14ac:dyDescent="0.25">
      <c r="A7" t="s">
        <v>10</v>
      </c>
      <c r="B7" t="s">
        <v>18</v>
      </c>
      <c r="C7" t="s">
        <v>12</v>
      </c>
      <c r="D7" t="s">
        <v>1315</v>
      </c>
      <c r="E7" t="s">
        <v>12</v>
      </c>
      <c r="F7">
        <v>10350</v>
      </c>
      <c r="G7">
        <v>16218</v>
      </c>
      <c r="H7">
        <v>1851</v>
      </c>
      <c r="I7">
        <v>0.58627379449899486</v>
      </c>
      <c r="J7">
        <f t="shared" si="0"/>
        <v>0.11413244543100259</v>
      </c>
      <c r="K7">
        <f t="shared" si="1"/>
        <v>6.6912861858283365E-2</v>
      </c>
      <c r="P7" t="str">
        <v>Baalbek</v>
      </c>
    </row>
    <row r="8" spans="1:16" x14ac:dyDescent="0.25">
      <c r="A8" t="s">
        <v>10</v>
      </c>
      <c r="B8" t="s">
        <v>19</v>
      </c>
      <c r="C8" t="s">
        <v>12</v>
      </c>
      <c r="D8" t="s">
        <v>1315</v>
      </c>
      <c r="E8" t="s">
        <v>12</v>
      </c>
      <c r="F8">
        <v>10410</v>
      </c>
      <c r="G8">
        <v>10658</v>
      </c>
      <c r="H8">
        <v>1350</v>
      </c>
      <c r="I8">
        <v>0.56572694749915153</v>
      </c>
      <c r="J8">
        <f t="shared" si="0"/>
        <v>0.1266654156502158</v>
      </c>
      <c r="K8">
        <f t="shared" si="1"/>
        <v>7.1658038949507841E-2</v>
      </c>
      <c r="P8" t="str">
        <v>Akkar</v>
      </c>
    </row>
    <row r="9" spans="1:16" x14ac:dyDescent="0.25">
      <c r="A9" t="s">
        <v>10</v>
      </c>
      <c r="B9" t="s">
        <v>20</v>
      </c>
      <c r="C9" t="s">
        <v>12</v>
      </c>
      <c r="D9" t="s">
        <v>1315</v>
      </c>
      <c r="E9" t="s">
        <v>12</v>
      </c>
      <c r="F9">
        <v>10450</v>
      </c>
      <c r="G9">
        <v>151</v>
      </c>
      <c r="H9">
        <v>450</v>
      </c>
      <c r="I9">
        <v>0.54555406877191359</v>
      </c>
      <c r="J9">
        <f t="shared" si="0"/>
        <v>2.9801324503311259</v>
      </c>
      <c r="K9">
        <f t="shared" si="1"/>
        <v>1.6258233837573584</v>
      </c>
      <c r="P9" t="str">
        <v>Hasbaya</v>
      </c>
    </row>
    <row r="10" spans="1:16" x14ac:dyDescent="0.25">
      <c r="A10" t="s">
        <v>10</v>
      </c>
      <c r="B10" t="s">
        <v>21</v>
      </c>
      <c r="C10" t="s">
        <v>12</v>
      </c>
      <c r="D10" t="s">
        <v>1315</v>
      </c>
      <c r="E10" t="s">
        <v>12</v>
      </c>
      <c r="F10">
        <v>10510</v>
      </c>
      <c r="G10">
        <v>2152</v>
      </c>
      <c r="H10">
        <v>203</v>
      </c>
      <c r="I10">
        <v>0.80288474874255289</v>
      </c>
      <c r="J10">
        <f t="shared" si="0"/>
        <v>9.4330855018587359E-2</v>
      </c>
      <c r="K10">
        <f t="shared" si="1"/>
        <v>7.5736804830268692E-2</v>
      </c>
      <c r="P10" t="str">
        <v>Kesrwane</v>
      </c>
    </row>
    <row r="11" spans="1:16" x14ac:dyDescent="0.25">
      <c r="A11" t="s">
        <v>10</v>
      </c>
      <c r="B11" t="s">
        <v>22</v>
      </c>
      <c r="C11" t="s">
        <v>12</v>
      </c>
      <c r="D11" t="s">
        <v>1315</v>
      </c>
      <c r="E11" t="s">
        <v>12</v>
      </c>
      <c r="F11">
        <v>10550</v>
      </c>
      <c r="G11">
        <v>21978</v>
      </c>
      <c r="H11">
        <v>1238</v>
      </c>
      <c r="I11">
        <v>0.80288474874255289</v>
      </c>
      <c r="J11">
        <f t="shared" si="0"/>
        <v>5.6329056329056326E-2</v>
      </c>
      <c r="K11">
        <f t="shared" si="1"/>
        <v>4.5225740237659497E-2</v>
      </c>
      <c r="P11" t="str">
        <v>Jezzine</v>
      </c>
    </row>
    <row r="12" spans="1:16" x14ac:dyDescent="0.25">
      <c r="A12" t="s">
        <v>10</v>
      </c>
      <c r="B12" t="s">
        <v>23</v>
      </c>
      <c r="C12" t="s">
        <v>12</v>
      </c>
      <c r="D12" t="s">
        <v>1315</v>
      </c>
      <c r="E12" t="s">
        <v>12</v>
      </c>
      <c r="F12">
        <v>10610</v>
      </c>
      <c r="G12">
        <v>4151</v>
      </c>
      <c r="H12">
        <v>1890</v>
      </c>
      <c r="I12">
        <v>0.67796400467908402</v>
      </c>
      <c r="J12">
        <f t="shared" si="0"/>
        <v>0.45531197301854975</v>
      </c>
      <c r="K12">
        <f t="shared" si="1"/>
        <v>0.30868512860599107</v>
      </c>
      <c r="P12" t="str">
        <v>Rachaya</v>
      </c>
    </row>
    <row r="13" spans="1:16" x14ac:dyDescent="0.25">
      <c r="A13" t="s">
        <v>10</v>
      </c>
      <c r="B13" t="s">
        <v>24</v>
      </c>
      <c r="C13" t="s">
        <v>12</v>
      </c>
      <c r="D13" t="s">
        <v>1315</v>
      </c>
      <c r="E13" t="s">
        <v>12</v>
      </c>
      <c r="F13">
        <v>10650</v>
      </c>
      <c r="G13">
        <v>48435</v>
      </c>
      <c r="H13">
        <v>7057</v>
      </c>
      <c r="I13">
        <v>0.85764883508661161</v>
      </c>
      <c r="J13">
        <f t="shared" si="0"/>
        <v>0.14570042324765148</v>
      </c>
      <c r="K13">
        <f t="shared" si="1"/>
        <v>0.12495979826997455</v>
      </c>
      <c r="P13" t="str">
        <v>Zahle</v>
      </c>
    </row>
    <row r="14" spans="1:16" x14ac:dyDescent="0.25">
      <c r="A14" t="s">
        <v>10</v>
      </c>
      <c r="B14" t="s">
        <v>25</v>
      </c>
      <c r="C14" t="s">
        <v>26</v>
      </c>
      <c r="D14" t="s">
        <v>1275</v>
      </c>
      <c r="E14" t="s">
        <v>27</v>
      </c>
      <c r="F14">
        <v>21111</v>
      </c>
      <c r="G14">
        <v>239203</v>
      </c>
      <c r="H14">
        <v>10240</v>
      </c>
      <c r="I14">
        <v>0.61645563809847903</v>
      </c>
      <c r="J14">
        <f t="shared" si="0"/>
        <v>4.2808827648482671E-2</v>
      </c>
      <c r="K14">
        <f t="shared" si="1"/>
        <v>2.6389743164293197E-2</v>
      </c>
      <c r="P14" t="str">
        <v>Jbeil</v>
      </c>
    </row>
    <row r="15" spans="1:16" x14ac:dyDescent="0.25">
      <c r="A15" t="s">
        <v>10</v>
      </c>
      <c r="B15" t="s">
        <v>28</v>
      </c>
      <c r="C15" t="s">
        <v>26</v>
      </c>
      <c r="D15" t="s">
        <v>1275</v>
      </c>
      <c r="E15" t="s">
        <v>27</v>
      </c>
      <c r="F15">
        <v>21144</v>
      </c>
      <c r="G15">
        <v>62844</v>
      </c>
      <c r="H15">
        <v>0</v>
      </c>
      <c r="I15">
        <v>0.633992629105671</v>
      </c>
      <c r="J15">
        <f t="shared" si="0"/>
        <v>0</v>
      </c>
      <c r="K15">
        <f t="shared" si="1"/>
        <v>0</v>
      </c>
      <c r="P15" t="str">
        <v>Marjaayoun</v>
      </c>
    </row>
    <row r="16" spans="1:16" x14ac:dyDescent="0.25">
      <c r="A16" t="s">
        <v>10</v>
      </c>
      <c r="B16" t="s">
        <v>29</v>
      </c>
      <c r="C16" t="s">
        <v>26</v>
      </c>
      <c r="D16" t="s">
        <v>1275</v>
      </c>
      <c r="E16" t="s">
        <v>27</v>
      </c>
      <c r="F16">
        <v>21166</v>
      </c>
      <c r="G16">
        <v>11078</v>
      </c>
      <c r="H16">
        <v>0</v>
      </c>
      <c r="I16">
        <v>0.35640495932398064</v>
      </c>
      <c r="J16">
        <f t="shared" si="0"/>
        <v>0</v>
      </c>
      <c r="K16">
        <f t="shared" si="1"/>
        <v>0</v>
      </c>
      <c r="P16" t="str">
        <v>Sour</v>
      </c>
    </row>
    <row r="17" spans="1:16" x14ac:dyDescent="0.25">
      <c r="A17" t="s">
        <v>10</v>
      </c>
      <c r="B17" t="s">
        <v>30</v>
      </c>
      <c r="C17" t="s">
        <v>26</v>
      </c>
      <c r="D17" t="s">
        <v>1275</v>
      </c>
      <c r="E17" t="s">
        <v>27</v>
      </c>
      <c r="F17">
        <v>21177</v>
      </c>
      <c r="G17">
        <v>130641</v>
      </c>
      <c r="H17">
        <v>0</v>
      </c>
      <c r="I17">
        <v>0.21915432416645619</v>
      </c>
      <c r="J17">
        <f t="shared" si="0"/>
        <v>0</v>
      </c>
      <c r="K17">
        <f t="shared" si="1"/>
        <v>0</v>
      </c>
      <c r="P17" t="str">
        <v>Tripoli</v>
      </c>
    </row>
    <row r="18" spans="1:16" x14ac:dyDescent="0.25">
      <c r="A18" t="s">
        <v>10</v>
      </c>
      <c r="B18" t="s">
        <v>31</v>
      </c>
      <c r="C18" t="s">
        <v>26</v>
      </c>
      <c r="D18" t="s">
        <v>1275</v>
      </c>
      <c r="E18" t="s">
        <v>27</v>
      </c>
      <c r="F18">
        <v>21188</v>
      </c>
      <c r="G18">
        <v>7707</v>
      </c>
      <c r="H18">
        <v>0</v>
      </c>
      <c r="I18">
        <v>0.73484024431315609</v>
      </c>
      <c r="J18">
        <f t="shared" si="0"/>
        <v>0</v>
      </c>
      <c r="K18">
        <f t="shared" si="1"/>
        <v>0</v>
      </c>
      <c r="P18" t="str">
        <v>Zgharta</v>
      </c>
    </row>
    <row r="19" spans="1:16" x14ac:dyDescent="0.25">
      <c r="A19" t="s">
        <v>10</v>
      </c>
      <c r="B19" t="s">
        <v>26</v>
      </c>
      <c r="C19" t="s">
        <v>26</v>
      </c>
      <c r="D19" t="s">
        <v>1275</v>
      </c>
      <c r="E19" t="s">
        <v>27</v>
      </c>
      <c r="F19">
        <v>21211</v>
      </c>
      <c r="G19">
        <v>29382</v>
      </c>
      <c r="H19">
        <v>8627</v>
      </c>
      <c r="I19">
        <v>0.63778092842461565</v>
      </c>
      <c r="J19">
        <f t="shared" si="0"/>
        <v>0.29361513852018245</v>
      </c>
      <c r="K19">
        <f t="shared" si="1"/>
        <v>0.18726213564492408</v>
      </c>
      <c r="P19" t="str">
        <v>El Hermel</v>
      </c>
    </row>
    <row r="20" spans="1:16" x14ac:dyDescent="0.25">
      <c r="A20" t="s">
        <v>10</v>
      </c>
      <c r="B20" t="s">
        <v>32</v>
      </c>
      <c r="C20" t="s">
        <v>26</v>
      </c>
      <c r="D20" t="s">
        <v>1275</v>
      </c>
      <c r="E20" t="s">
        <v>27</v>
      </c>
      <c r="F20">
        <v>21219</v>
      </c>
      <c r="G20">
        <v>21705</v>
      </c>
      <c r="H20">
        <v>1885</v>
      </c>
      <c r="I20">
        <v>0.62159552002960439</v>
      </c>
      <c r="J20">
        <f t="shared" si="0"/>
        <v>8.6846348767565071E-2</v>
      </c>
      <c r="K20">
        <f t="shared" si="1"/>
        <v>5.3983301324847001E-2</v>
      </c>
      <c r="P20" t="str">
        <v>Saida</v>
      </c>
    </row>
    <row r="21" spans="1:16" x14ac:dyDescent="0.25">
      <c r="A21" t="s">
        <v>10</v>
      </c>
      <c r="B21" t="s">
        <v>33</v>
      </c>
      <c r="C21" t="s">
        <v>26</v>
      </c>
      <c r="D21" t="s">
        <v>1275</v>
      </c>
      <c r="E21" t="s">
        <v>27</v>
      </c>
      <c r="F21">
        <v>21227</v>
      </c>
      <c r="G21">
        <v>1133</v>
      </c>
      <c r="H21">
        <v>95</v>
      </c>
      <c r="I21">
        <v>0.64698117539026634</v>
      </c>
      <c r="J21">
        <f t="shared" si="0"/>
        <v>8.3848190644307152E-2</v>
      </c>
      <c r="K21">
        <f t="shared" si="1"/>
        <v>5.4248200937400973E-2</v>
      </c>
      <c r="P21" t="str">
        <v>West Bekaa</v>
      </c>
    </row>
    <row r="22" spans="1:16" x14ac:dyDescent="0.25">
      <c r="A22" t="s">
        <v>10</v>
      </c>
      <c r="B22" t="s">
        <v>34</v>
      </c>
      <c r="C22" t="s">
        <v>26</v>
      </c>
      <c r="D22" t="s">
        <v>1275</v>
      </c>
      <c r="E22" t="s">
        <v>27</v>
      </c>
      <c r="F22">
        <v>21235</v>
      </c>
      <c r="G22">
        <v>281</v>
      </c>
      <c r="H22">
        <v>0</v>
      </c>
      <c r="I22">
        <v>0.32870681092109866</v>
      </c>
      <c r="J22">
        <f t="shared" si="0"/>
        <v>0</v>
      </c>
      <c r="K22">
        <f t="shared" si="1"/>
        <v>0</v>
      </c>
      <c r="P22" t="str">
        <v>Bent Jbeil</v>
      </c>
    </row>
    <row r="23" spans="1:16" x14ac:dyDescent="0.25">
      <c r="A23" t="s">
        <v>10</v>
      </c>
      <c r="B23" t="s">
        <v>35</v>
      </c>
      <c r="C23" t="s">
        <v>26</v>
      </c>
      <c r="D23" t="s">
        <v>1275</v>
      </c>
      <c r="E23" t="s">
        <v>27</v>
      </c>
      <c r="F23">
        <v>21243</v>
      </c>
      <c r="G23">
        <v>2007</v>
      </c>
      <c r="H23">
        <v>1080</v>
      </c>
      <c r="I23">
        <v>0.47666523572637043</v>
      </c>
      <c r="J23">
        <f t="shared" si="0"/>
        <v>0.53811659192825112</v>
      </c>
      <c r="K23">
        <f t="shared" si="1"/>
        <v>0.25650147213975089</v>
      </c>
      <c r="P23" t="str">
        <v>El Meten</v>
      </c>
    </row>
    <row r="24" spans="1:16" x14ac:dyDescent="0.25">
      <c r="A24" t="s">
        <v>10</v>
      </c>
      <c r="B24" t="s">
        <v>36</v>
      </c>
      <c r="C24" t="s">
        <v>26</v>
      </c>
      <c r="D24" t="s">
        <v>1275</v>
      </c>
      <c r="E24" t="s">
        <v>27</v>
      </c>
      <c r="F24">
        <v>21251</v>
      </c>
      <c r="G24">
        <v>6236</v>
      </c>
      <c r="H24">
        <v>400</v>
      </c>
      <c r="I24">
        <v>0.67078125162137026</v>
      </c>
      <c r="J24">
        <f t="shared" si="0"/>
        <v>6.4143681847338041E-2</v>
      </c>
      <c r="K24">
        <f t="shared" si="1"/>
        <v>4.302637919316038E-2</v>
      </c>
      <c r="P24" t="str">
        <v>El Minieh-Dennie</v>
      </c>
    </row>
    <row r="25" spans="1:16" x14ac:dyDescent="0.25">
      <c r="A25" t="s">
        <v>10</v>
      </c>
      <c r="B25" t="s">
        <v>37</v>
      </c>
      <c r="C25" t="s">
        <v>26</v>
      </c>
      <c r="D25" t="s">
        <v>1275</v>
      </c>
      <c r="E25" t="s">
        <v>27</v>
      </c>
      <c r="F25">
        <v>21259</v>
      </c>
      <c r="G25">
        <v>2214</v>
      </c>
      <c r="H25">
        <v>280</v>
      </c>
      <c r="I25">
        <v>0.27955917035861477</v>
      </c>
      <c r="J25">
        <f t="shared" si="0"/>
        <v>0.12646793134598014</v>
      </c>
      <c r="K25">
        <f t="shared" si="1"/>
        <v>3.5355269964052458E-2</v>
      </c>
      <c r="P25" t="str">
        <v>Chouf</v>
      </c>
    </row>
    <row r="26" spans="1:16" x14ac:dyDescent="0.25">
      <c r="A26" t="s">
        <v>10</v>
      </c>
      <c r="B26" t="s">
        <v>38</v>
      </c>
      <c r="C26" t="s">
        <v>26</v>
      </c>
      <c r="D26" t="s">
        <v>1275</v>
      </c>
      <c r="E26" t="s">
        <v>27</v>
      </c>
      <c r="F26">
        <v>21267</v>
      </c>
      <c r="G26">
        <v>2258</v>
      </c>
      <c r="H26">
        <v>90</v>
      </c>
      <c r="I26">
        <v>0.55219313845954865</v>
      </c>
      <c r="J26">
        <f t="shared" si="0"/>
        <v>3.9858281665190433E-2</v>
      </c>
      <c r="K26">
        <f t="shared" si="1"/>
        <v>2.2009469646306189E-2</v>
      </c>
      <c r="P26" t="str">
        <v>El Batroun</v>
      </c>
    </row>
    <row r="27" spans="1:16" x14ac:dyDescent="0.25">
      <c r="A27" t="s">
        <v>10</v>
      </c>
      <c r="B27" t="s">
        <v>39</v>
      </c>
      <c r="C27" t="s">
        <v>26</v>
      </c>
      <c r="D27" t="s">
        <v>1275</v>
      </c>
      <c r="E27" t="s">
        <v>27</v>
      </c>
      <c r="F27">
        <v>21275</v>
      </c>
      <c r="G27">
        <v>1035</v>
      </c>
      <c r="H27">
        <v>360</v>
      </c>
      <c r="I27">
        <v>0.18016181620577199</v>
      </c>
      <c r="J27">
        <f t="shared" si="0"/>
        <v>0.34782608695652173</v>
      </c>
      <c r="K27">
        <f t="shared" si="1"/>
        <v>6.266497954983373E-2</v>
      </c>
      <c r="P27" t="str">
        <v>El Koura</v>
      </c>
    </row>
    <row r="28" spans="1:16" x14ac:dyDescent="0.25">
      <c r="A28" t="s">
        <v>10</v>
      </c>
      <c r="B28" t="s">
        <v>40</v>
      </c>
      <c r="C28" t="s">
        <v>26</v>
      </c>
      <c r="D28" t="s">
        <v>1275</v>
      </c>
      <c r="E28" t="s">
        <v>27</v>
      </c>
      <c r="F28">
        <v>21311</v>
      </c>
      <c r="G28">
        <v>2358</v>
      </c>
      <c r="H28">
        <v>539</v>
      </c>
      <c r="I28">
        <v>8.2446025419319668E-2</v>
      </c>
      <c r="J28">
        <f t="shared" si="0"/>
        <v>0.2285835453774385</v>
      </c>
      <c r="K28">
        <f t="shared" si="1"/>
        <v>1.8845804792626507E-2</v>
      </c>
      <c r="P28" t="str">
        <v>El Nabatieh</v>
      </c>
    </row>
    <row r="29" spans="1:16" x14ac:dyDescent="0.25">
      <c r="A29" t="s">
        <v>10</v>
      </c>
      <c r="B29" t="s">
        <v>41</v>
      </c>
      <c r="C29" t="s">
        <v>26</v>
      </c>
      <c r="D29" t="s">
        <v>1275</v>
      </c>
      <c r="E29" t="s">
        <v>27</v>
      </c>
      <c r="F29">
        <v>21314</v>
      </c>
      <c r="G29">
        <v>15</v>
      </c>
      <c r="H29">
        <v>76</v>
      </c>
      <c r="I29">
        <v>0.25378667091836737</v>
      </c>
      <c r="J29">
        <f t="shared" si="0"/>
        <v>5.0666666666666664</v>
      </c>
      <c r="K29">
        <f t="shared" si="1"/>
        <v>1.2858524659863946</v>
      </c>
      <c r="P29" t="str">
        <v>Bcharre</v>
      </c>
    </row>
    <row r="30" spans="1:16" x14ac:dyDescent="0.25">
      <c r="A30" t="s">
        <v>10</v>
      </c>
      <c r="B30" t="s">
        <v>42</v>
      </c>
      <c r="C30" t="s">
        <v>26</v>
      </c>
      <c r="D30" t="s">
        <v>1275</v>
      </c>
      <c r="E30" t="s">
        <v>27</v>
      </c>
      <c r="F30">
        <v>21317</v>
      </c>
      <c r="G30">
        <v>822</v>
      </c>
      <c r="H30">
        <v>820</v>
      </c>
      <c r="I30">
        <v>3.7565512477522933E-2</v>
      </c>
      <c r="J30">
        <f t="shared" si="0"/>
        <v>0.9975669099756691</v>
      </c>
      <c r="K30">
        <f t="shared" si="1"/>
        <v>3.7474112203854992E-2</v>
      </c>
    </row>
    <row r="31" spans="1:16" x14ac:dyDescent="0.25">
      <c r="A31" t="s">
        <v>10</v>
      </c>
      <c r="B31" t="s">
        <v>43</v>
      </c>
      <c r="C31" t="s">
        <v>26</v>
      </c>
      <c r="D31" t="s">
        <v>1275</v>
      </c>
      <c r="E31" t="s">
        <v>27</v>
      </c>
      <c r="F31">
        <v>21324</v>
      </c>
      <c r="G31">
        <v>375</v>
      </c>
      <c r="H31">
        <v>282</v>
      </c>
      <c r="I31">
        <v>2.888996096662455E-2</v>
      </c>
      <c r="J31">
        <f t="shared" si="0"/>
        <v>0.752</v>
      </c>
      <c r="K31">
        <f t="shared" si="1"/>
        <v>2.1725250646901662E-2</v>
      </c>
    </row>
    <row r="32" spans="1:16" x14ac:dyDescent="0.25">
      <c r="A32" t="s">
        <v>10</v>
      </c>
      <c r="B32" t="s">
        <v>44</v>
      </c>
      <c r="C32" t="s">
        <v>26</v>
      </c>
      <c r="D32" t="s">
        <v>1275</v>
      </c>
      <c r="E32" t="s">
        <v>27</v>
      </c>
      <c r="F32">
        <v>21327</v>
      </c>
      <c r="G32">
        <v>27</v>
      </c>
      <c r="H32">
        <v>0</v>
      </c>
      <c r="I32">
        <v>0.18825530160529758</v>
      </c>
      <c r="J32">
        <f t="shared" si="0"/>
        <v>0</v>
      </c>
      <c r="K32">
        <f t="shared" si="1"/>
        <v>0</v>
      </c>
    </row>
    <row r="33" spans="1:11" x14ac:dyDescent="0.25">
      <c r="A33" t="s">
        <v>10</v>
      </c>
      <c r="B33" t="s">
        <v>45</v>
      </c>
      <c r="C33" t="s">
        <v>26</v>
      </c>
      <c r="D33" t="s">
        <v>1275</v>
      </c>
      <c r="E33" t="s">
        <v>27</v>
      </c>
      <c r="F33">
        <v>21331</v>
      </c>
      <c r="G33">
        <v>0</v>
      </c>
      <c r="H33">
        <v>0</v>
      </c>
      <c r="I33">
        <v>0.5621065215301807</v>
      </c>
      <c r="J33">
        <f t="shared" si="0"/>
        <v>0</v>
      </c>
      <c r="K33">
        <f t="shared" si="1"/>
        <v>0</v>
      </c>
    </row>
    <row r="34" spans="1:11" x14ac:dyDescent="0.25">
      <c r="A34" t="s">
        <v>10</v>
      </c>
      <c r="B34" t="s">
        <v>46</v>
      </c>
      <c r="C34" t="s">
        <v>26</v>
      </c>
      <c r="D34" t="s">
        <v>1275</v>
      </c>
      <c r="E34" t="s">
        <v>27</v>
      </c>
      <c r="F34">
        <v>21334</v>
      </c>
      <c r="G34">
        <v>68</v>
      </c>
      <c r="H34">
        <v>160</v>
      </c>
      <c r="I34">
        <v>0.22172566117277015</v>
      </c>
      <c r="J34">
        <f t="shared" si="0"/>
        <v>2.3529411764705883</v>
      </c>
      <c r="K34">
        <f t="shared" si="1"/>
        <v>0.52170743805357689</v>
      </c>
    </row>
    <row r="35" spans="1:11" x14ac:dyDescent="0.25">
      <c r="A35" t="s">
        <v>10</v>
      </c>
      <c r="B35" t="s">
        <v>47</v>
      </c>
      <c r="C35" t="s">
        <v>26</v>
      </c>
      <c r="D35" t="s">
        <v>1275</v>
      </c>
      <c r="E35" t="s">
        <v>27</v>
      </c>
      <c r="F35">
        <v>21337</v>
      </c>
      <c r="G35">
        <v>17</v>
      </c>
      <c r="H35">
        <v>0</v>
      </c>
      <c r="I35">
        <v>0</v>
      </c>
      <c r="J35">
        <f t="shared" si="0"/>
        <v>0</v>
      </c>
      <c r="K35">
        <f t="shared" si="1"/>
        <v>0</v>
      </c>
    </row>
    <row r="36" spans="1:11" x14ac:dyDescent="0.25">
      <c r="A36" t="s">
        <v>10</v>
      </c>
      <c r="B36" t="s">
        <v>48</v>
      </c>
      <c r="C36" t="s">
        <v>26</v>
      </c>
      <c r="D36" t="s">
        <v>1275</v>
      </c>
      <c r="E36" t="s">
        <v>27</v>
      </c>
      <c r="F36">
        <v>21341</v>
      </c>
      <c r="G36">
        <v>3591</v>
      </c>
      <c r="H36">
        <v>1410</v>
      </c>
      <c r="I36">
        <v>0.60684415720590623</v>
      </c>
      <c r="J36">
        <f t="shared" si="0"/>
        <v>0.39264828738512947</v>
      </c>
      <c r="K36">
        <f t="shared" si="1"/>
        <v>0.23827631903657134</v>
      </c>
    </row>
    <row r="37" spans="1:11" x14ac:dyDescent="0.25">
      <c r="A37" t="s">
        <v>10</v>
      </c>
      <c r="B37" t="s">
        <v>49</v>
      </c>
      <c r="C37" t="s">
        <v>26</v>
      </c>
      <c r="D37" t="s">
        <v>1275</v>
      </c>
      <c r="E37" t="s">
        <v>27</v>
      </c>
      <c r="F37">
        <v>21344</v>
      </c>
      <c r="G37">
        <v>687</v>
      </c>
      <c r="H37">
        <v>400</v>
      </c>
      <c r="I37">
        <v>6.7828095425498058E-2</v>
      </c>
      <c r="J37">
        <f t="shared" si="0"/>
        <v>0.58224163027656473</v>
      </c>
      <c r="K37">
        <f t="shared" si="1"/>
        <v>3.9492340859096392E-2</v>
      </c>
    </row>
    <row r="38" spans="1:11" x14ac:dyDescent="0.25">
      <c r="A38" t="s">
        <v>10</v>
      </c>
      <c r="B38" t="s">
        <v>50</v>
      </c>
      <c r="C38" t="s">
        <v>26</v>
      </c>
      <c r="D38" t="s">
        <v>1275</v>
      </c>
      <c r="E38" t="s">
        <v>27</v>
      </c>
      <c r="F38">
        <v>21351</v>
      </c>
      <c r="G38">
        <v>4221</v>
      </c>
      <c r="H38">
        <v>374</v>
      </c>
      <c r="I38">
        <v>0.20356158247173117</v>
      </c>
      <c r="J38">
        <f t="shared" si="0"/>
        <v>8.8604596067282632E-2</v>
      </c>
      <c r="K38">
        <f t="shared" si="1"/>
        <v>1.8036491789724583E-2</v>
      </c>
    </row>
    <row r="39" spans="1:11" x14ac:dyDescent="0.25">
      <c r="A39" t="s">
        <v>10</v>
      </c>
      <c r="B39" t="s">
        <v>51</v>
      </c>
      <c r="C39" t="s">
        <v>26</v>
      </c>
      <c r="D39" t="s">
        <v>1275</v>
      </c>
      <c r="E39" t="s">
        <v>27</v>
      </c>
      <c r="F39">
        <v>21354</v>
      </c>
      <c r="G39">
        <v>869</v>
      </c>
      <c r="H39">
        <v>450</v>
      </c>
      <c r="I39">
        <v>0.57199842488846864</v>
      </c>
      <c r="J39">
        <f t="shared" si="0"/>
        <v>0.51783659378596092</v>
      </c>
      <c r="K39">
        <f t="shared" si="1"/>
        <v>0.29620171599517942</v>
      </c>
    </row>
    <row r="40" spans="1:11" x14ac:dyDescent="0.25">
      <c r="A40" t="s">
        <v>10</v>
      </c>
      <c r="B40" t="s">
        <v>52</v>
      </c>
      <c r="C40" t="s">
        <v>26</v>
      </c>
      <c r="D40" t="s">
        <v>1275</v>
      </c>
      <c r="E40" t="s">
        <v>27</v>
      </c>
      <c r="F40">
        <v>21357</v>
      </c>
      <c r="G40">
        <v>2365</v>
      </c>
      <c r="H40">
        <v>1513</v>
      </c>
      <c r="I40">
        <v>0.27235633591832953</v>
      </c>
      <c r="J40">
        <f t="shared" si="0"/>
        <v>0.63974630021141654</v>
      </c>
      <c r="K40">
        <f t="shared" si="1"/>
        <v>0.17423895824288904</v>
      </c>
    </row>
    <row r="41" spans="1:11" x14ac:dyDescent="0.25">
      <c r="A41" t="s">
        <v>10</v>
      </c>
      <c r="B41" t="s">
        <v>53</v>
      </c>
      <c r="C41" t="s">
        <v>26</v>
      </c>
      <c r="D41" t="s">
        <v>1275</v>
      </c>
      <c r="E41" t="s">
        <v>27</v>
      </c>
      <c r="F41">
        <v>21361</v>
      </c>
      <c r="G41">
        <v>123</v>
      </c>
      <c r="H41">
        <v>0</v>
      </c>
      <c r="I41">
        <v>0.22625346434870242</v>
      </c>
      <c r="J41">
        <f t="shared" si="0"/>
        <v>0</v>
      </c>
      <c r="K41">
        <f t="shared" si="1"/>
        <v>0</v>
      </c>
    </row>
    <row r="42" spans="1:11" x14ac:dyDescent="0.25">
      <c r="A42" t="s">
        <v>10</v>
      </c>
      <c r="B42" t="s">
        <v>54</v>
      </c>
      <c r="C42" t="s">
        <v>26</v>
      </c>
      <c r="D42" t="s">
        <v>1275</v>
      </c>
      <c r="E42" t="s">
        <v>27</v>
      </c>
      <c r="F42">
        <v>21364</v>
      </c>
      <c r="G42">
        <v>502</v>
      </c>
      <c r="H42">
        <v>0</v>
      </c>
      <c r="I42">
        <v>0.5382836241544946</v>
      </c>
      <c r="J42">
        <f t="shared" si="0"/>
        <v>0</v>
      </c>
      <c r="K42">
        <f t="shared" si="1"/>
        <v>0</v>
      </c>
    </row>
    <row r="43" spans="1:11" x14ac:dyDescent="0.25">
      <c r="A43" t="s">
        <v>10</v>
      </c>
      <c r="B43" t="s">
        <v>55</v>
      </c>
      <c r="C43" t="s">
        <v>26</v>
      </c>
      <c r="D43" t="s">
        <v>1275</v>
      </c>
      <c r="E43" t="s">
        <v>27</v>
      </c>
      <c r="F43">
        <v>21367</v>
      </c>
      <c r="G43">
        <v>400</v>
      </c>
      <c r="H43">
        <v>190</v>
      </c>
      <c r="I43">
        <v>0.34386723160412302</v>
      </c>
      <c r="J43">
        <f t="shared" si="0"/>
        <v>0.47499999999999998</v>
      </c>
      <c r="K43">
        <f t="shared" si="1"/>
        <v>0.16333693501195842</v>
      </c>
    </row>
    <row r="44" spans="1:11" x14ac:dyDescent="0.25">
      <c r="A44" t="s">
        <v>10</v>
      </c>
      <c r="B44" t="s">
        <v>56</v>
      </c>
      <c r="C44" t="s">
        <v>26</v>
      </c>
      <c r="D44" t="s">
        <v>1275</v>
      </c>
      <c r="E44" t="s">
        <v>27</v>
      </c>
      <c r="F44">
        <v>21371</v>
      </c>
      <c r="G44">
        <v>2267</v>
      </c>
      <c r="H44">
        <v>213</v>
      </c>
      <c r="I44">
        <v>0.28210272654116542</v>
      </c>
      <c r="J44">
        <f t="shared" si="0"/>
        <v>9.3956771063078953E-2</v>
      </c>
      <c r="K44">
        <f t="shared" si="1"/>
        <v>2.6505461293898646E-2</v>
      </c>
    </row>
    <row r="45" spans="1:11" x14ac:dyDescent="0.25">
      <c r="A45" t="s">
        <v>10</v>
      </c>
      <c r="B45" t="s">
        <v>57</v>
      </c>
      <c r="C45" t="s">
        <v>26</v>
      </c>
      <c r="D45" t="s">
        <v>1275</v>
      </c>
      <c r="E45" t="s">
        <v>27</v>
      </c>
      <c r="F45">
        <v>21374</v>
      </c>
      <c r="G45">
        <v>59</v>
      </c>
      <c r="H45">
        <v>54</v>
      </c>
      <c r="I45">
        <v>0.16415035401915867</v>
      </c>
      <c r="J45">
        <f t="shared" si="0"/>
        <v>0.9152542372881356</v>
      </c>
      <c r="K45">
        <f t="shared" si="1"/>
        <v>0.15023930706838251</v>
      </c>
    </row>
    <row r="46" spans="1:11" x14ac:dyDescent="0.25">
      <c r="A46" t="s">
        <v>10</v>
      </c>
      <c r="B46" t="s">
        <v>58</v>
      </c>
      <c r="C46" t="s">
        <v>26</v>
      </c>
      <c r="D46" t="s">
        <v>1275</v>
      </c>
      <c r="E46" t="s">
        <v>27</v>
      </c>
      <c r="F46">
        <v>21377</v>
      </c>
      <c r="G46">
        <v>33</v>
      </c>
      <c r="H46">
        <v>0</v>
      </c>
      <c r="I46">
        <v>0.2112870655755128</v>
      </c>
      <c r="J46">
        <f t="shared" si="0"/>
        <v>0</v>
      </c>
      <c r="K46">
        <f t="shared" si="1"/>
        <v>0</v>
      </c>
    </row>
    <row r="47" spans="1:11" x14ac:dyDescent="0.25">
      <c r="A47" t="s">
        <v>10</v>
      </c>
      <c r="B47" t="s">
        <v>59</v>
      </c>
      <c r="C47" t="s">
        <v>26</v>
      </c>
      <c r="D47" t="s">
        <v>1275</v>
      </c>
      <c r="E47" t="s">
        <v>27</v>
      </c>
      <c r="F47">
        <v>21381</v>
      </c>
      <c r="G47">
        <v>355</v>
      </c>
      <c r="H47">
        <v>0</v>
      </c>
      <c r="I47">
        <v>0.2077126761510264</v>
      </c>
      <c r="J47">
        <f t="shared" si="0"/>
        <v>0</v>
      </c>
      <c r="K47">
        <f t="shared" si="1"/>
        <v>0</v>
      </c>
    </row>
    <row r="48" spans="1:11" x14ac:dyDescent="0.25">
      <c r="A48" t="s">
        <v>10</v>
      </c>
      <c r="B48" t="s">
        <v>60</v>
      </c>
      <c r="C48" t="s">
        <v>26</v>
      </c>
      <c r="D48" t="s">
        <v>1275</v>
      </c>
      <c r="E48" t="s">
        <v>27</v>
      </c>
      <c r="F48">
        <v>21391</v>
      </c>
      <c r="G48">
        <v>317</v>
      </c>
      <c r="H48">
        <v>5</v>
      </c>
      <c r="I48">
        <v>0.25581095041322299</v>
      </c>
      <c r="J48">
        <f t="shared" si="0"/>
        <v>1.5772870662460567E-2</v>
      </c>
      <c r="K48">
        <f t="shared" si="1"/>
        <v>4.0348730349088801E-3</v>
      </c>
    </row>
    <row r="49" spans="1:11" x14ac:dyDescent="0.25">
      <c r="A49" t="s">
        <v>10</v>
      </c>
      <c r="B49" t="s">
        <v>61</v>
      </c>
      <c r="C49" t="s">
        <v>26</v>
      </c>
      <c r="D49" t="s">
        <v>1275</v>
      </c>
      <c r="E49" t="s">
        <v>27</v>
      </c>
      <c r="F49">
        <v>21394</v>
      </c>
      <c r="G49">
        <v>1430</v>
      </c>
      <c r="H49">
        <v>112</v>
      </c>
      <c r="I49">
        <v>0.43083756370056747</v>
      </c>
      <c r="J49">
        <f t="shared" si="0"/>
        <v>7.8321678321678329E-2</v>
      </c>
      <c r="K49">
        <f t="shared" si="1"/>
        <v>3.3743921073051443E-2</v>
      </c>
    </row>
    <row r="50" spans="1:11" x14ac:dyDescent="0.25">
      <c r="A50" t="s">
        <v>10</v>
      </c>
      <c r="B50" t="s">
        <v>62</v>
      </c>
      <c r="C50" t="s">
        <v>26</v>
      </c>
      <c r="D50" t="s">
        <v>1275</v>
      </c>
      <c r="E50" t="s">
        <v>27</v>
      </c>
      <c r="F50">
        <v>21397</v>
      </c>
      <c r="G50">
        <v>281</v>
      </c>
      <c r="H50">
        <v>14</v>
      </c>
      <c r="I50">
        <v>0.16285580578156189</v>
      </c>
      <c r="J50">
        <f t="shared" si="0"/>
        <v>4.9822064056939501E-2</v>
      </c>
      <c r="K50">
        <f t="shared" si="1"/>
        <v>8.1138123876934743E-3</v>
      </c>
    </row>
    <row r="51" spans="1:11" x14ac:dyDescent="0.25">
      <c r="A51" t="s">
        <v>10</v>
      </c>
      <c r="B51" t="s">
        <v>63</v>
      </c>
      <c r="C51" t="s">
        <v>26</v>
      </c>
      <c r="D51" t="s">
        <v>1275</v>
      </c>
      <c r="E51" t="s">
        <v>27</v>
      </c>
      <c r="F51">
        <v>21411</v>
      </c>
      <c r="G51">
        <v>3580</v>
      </c>
      <c r="H51">
        <v>150</v>
      </c>
      <c r="I51">
        <v>0.57779234975060489</v>
      </c>
      <c r="J51">
        <f t="shared" si="0"/>
        <v>4.189944134078212E-2</v>
      </c>
      <c r="K51">
        <f t="shared" si="1"/>
        <v>2.4209176665528135E-2</v>
      </c>
    </row>
    <row r="52" spans="1:11" x14ac:dyDescent="0.25">
      <c r="A52" t="s">
        <v>10</v>
      </c>
      <c r="B52" t="s">
        <v>64</v>
      </c>
      <c r="C52" t="s">
        <v>26</v>
      </c>
      <c r="D52" t="s">
        <v>1275</v>
      </c>
      <c r="E52" t="s">
        <v>27</v>
      </c>
      <c r="F52">
        <v>21416</v>
      </c>
      <c r="G52">
        <v>946</v>
      </c>
      <c r="H52">
        <v>80</v>
      </c>
      <c r="I52">
        <v>7.721891713238449E-3</v>
      </c>
      <c r="J52">
        <f t="shared" si="0"/>
        <v>8.4566596194503171E-2</v>
      </c>
      <c r="K52">
        <f t="shared" si="1"/>
        <v>6.530140983711162E-4</v>
      </c>
    </row>
    <row r="53" spans="1:11" x14ac:dyDescent="0.25">
      <c r="A53" t="s">
        <v>10</v>
      </c>
      <c r="B53" t="s">
        <v>65</v>
      </c>
      <c r="C53" t="s">
        <v>26</v>
      </c>
      <c r="D53" t="s">
        <v>1275</v>
      </c>
      <c r="E53" t="s">
        <v>27</v>
      </c>
      <c r="F53">
        <v>21421</v>
      </c>
      <c r="G53">
        <v>396</v>
      </c>
      <c r="H53">
        <v>23</v>
      </c>
      <c r="I53">
        <v>2.5998894712572551E-2</v>
      </c>
      <c r="J53">
        <f t="shared" si="0"/>
        <v>5.808080808080808E-2</v>
      </c>
      <c r="K53">
        <f t="shared" si="1"/>
        <v>1.5100368141140624E-3</v>
      </c>
    </row>
    <row r="54" spans="1:11" x14ac:dyDescent="0.25">
      <c r="A54" t="s">
        <v>10</v>
      </c>
      <c r="B54" t="s">
        <v>66</v>
      </c>
      <c r="C54" t="s">
        <v>26</v>
      </c>
      <c r="D54" t="s">
        <v>1275</v>
      </c>
      <c r="E54" t="s">
        <v>27</v>
      </c>
      <c r="F54">
        <v>21426</v>
      </c>
      <c r="G54">
        <v>1360</v>
      </c>
      <c r="H54">
        <v>45</v>
      </c>
      <c r="I54">
        <v>0.58856475547009901</v>
      </c>
      <c r="J54">
        <f t="shared" si="0"/>
        <v>3.3088235294117647E-2</v>
      </c>
      <c r="K54">
        <f t="shared" si="1"/>
        <v>1.9474569114819453E-2</v>
      </c>
    </row>
    <row r="55" spans="1:11" x14ac:dyDescent="0.25">
      <c r="A55" t="s">
        <v>10</v>
      </c>
      <c r="B55" t="s">
        <v>67</v>
      </c>
      <c r="C55" t="s">
        <v>26</v>
      </c>
      <c r="D55" t="s">
        <v>1275</v>
      </c>
      <c r="E55" t="s">
        <v>27</v>
      </c>
      <c r="F55">
        <v>21431</v>
      </c>
      <c r="G55">
        <v>619</v>
      </c>
      <c r="H55">
        <v>680</v>
      </c>
      <c r="I55">
        <v>3.2460379702431541E-2</v>
      </c>
      <c r="J55">
        <f t="shared" si="0"/>
        <v>1.0985460420032309</v>
      </c>
      <c r="K55">
        <f t="shared" si="1"/>
        <v>3.5659221644028183E-2</v>
      </c>
    </row>
    <row r="56" spans="1:11" x14ac:dyDescent="0.25">
      <c r="A56" t="s">
        <v>10</v>
      </c>
      <c r="B56" t="s">
        <v>68</v>
      </c>
      <c r="C56" t="s">
        <v>26</v>
      </c>
      <c r="D56" t="s">
        <v>1275</v>
      </c>
      <c r="E56" t="s">
        <v>27</v>
      </c>
      <c r="F56">
        <v>21436</v>
      </c>
      <c r="G56">
        <v>405</v>
      </c>
      <c r="H56">
        <v>207</v>
      </c>
      <c r="I56">
        <v>0.52933556129669634</v>
      </c>
      <c r="J56">
        <f t="shared" si="0"/>
        <v>0.51111111111111107</v>
      </c>
      <c r="K56">
        <f t="shared" si="1"/>
        <v>0.27054928688497809</v>
      </c>
    </row>
    <row r="57" spans="1:11" x14ac:dyDescent="0.25">
      <c r="A57" t="s">
        <v>10</v>
      </c>
      <c r="B57" t="s">
        <v>69</v>
      </c>
      <c r="C57" t="s">
        <v>26</v>
      </c>
      <c r="D57" t="s">
        <v>1275</v>
      </c>
      <c r="E57" t="s">
        <v>27</v>
      </c>
      <c r="F57">
        <v>21441</v>
      </c>
      <c r="G57">
        <v>701</v>
      </c>
      <c r="H57">
        <v>325</v>
      </c>
      <c r="I57">
        <v>2.7821975992613379E-2</v>
      </c>
      <c r="J57">
        <f t="shared" si="0"/>
        <v>0.46362339514978601</v>
      </c>
      <c r="K57">
        <f t="shared" si="1"/>
        <v>1.2898918969471252E-2</v>
      </c>
    </row>
    <row r="58" spans="1:11" x14ac:dyDescent="0.25">
      <c r="A58" t="s">
        <v>10</v>
      </c>
      <c r="B58" t="s">
        <v>70</v>
      </c>
      <c r="C58" t="s">
        <v>26</v>
      </c>
      <c r="D58" t="s">
        <v>1275</v>
      </c>
      <c r="E58" t="s">
        <v>27</v>
      </c>
      <c r="F58">
        <v>21446</v>
      </c>
      <c r="G58">
        <v>1985</v>
      </c>
      <c r="H58">
        <v>710</v>
      </c>
      <c r="I58">
        <v>0.5857086198124315</v>
      </c>
      <c r="J58">
        <f t="shared" si="0"/>
        <v>0.35768261964735515</v>
      </c>
      <c r="K58">
        <f t="shared" si="1"/>
        <v>0.20949779348454728</v>
      </c>
    </row>
    <row r="59" spans="1:11" x14ac:dyDescent="0.25">
      <c r="A59" t="s">
        <v>10</v>
      </c>
      <c r="B59" t="s">
        <v>71</v>
      </c>
      <c r="C59" t="s">
        <v>26</v>
      </c>
      <c r="D59" t="s">
        <v>1275</v>
      </c>
      <c r="E59" t="s">
        <v>27</v>
      </c>
      <c r="F59">
        <v>21451</v>
      </c>
      <c r="G59">
        <v>156</v>
      </c>
      <c r="H59">
        <v>108</v>
      </c>
      <c r="I59">
        <v>4.3749428440786442E-2</v>
      </c>
      <c r="J59">
        <f t="shared" si="0"/>
        <v>0.69230769230769229</v>
      </c>
      <c r="K59">
        <f t="shared" si="1"/>
        <v>3.0288065843621381E-2</v>
      </c>
    </row>
    <row r="60" spans="1:11" x14ac:dyDescent="0.25">
      <c r="A60" t="s">
        <v>10</v>
      </c>
      <c r="B60" t="s">
        <v>72</v>
      </c>
      <c r="C60" t="s">
        <v>26</v>
      </c>
      <c r="D60" t="s">
        <v>1275</v>
      </c>
      <c r="E60" t="s">
        <v>27</v>
      </c>
      <c r="F60">
        <v>21456</v>
      </c>
      <c r="G60">
        <v>2909</v>
      </c>
      <c r="H60">
        <v>450</v>
      </c>
      <c r="I60">
        <v>0.23775131541274952</v>
      </c>
      <c r="J60">
        <f t="shared" si="0"/>
        <v>0.15469233413544173</v>
      </c>
      <c r="K60">
        <f t="shared" si="1"/>
        <v>3.6778305924969848E-2</v>
      </c>
    </row>
    <row r="61" spans="1:11" x14ac:dyDescent="0.25">
      <c r="A61" t="s">
        <v>10</v>
      </c>
      <c r="B61" t="s">
        <v>73</v>
      </c>
      <c r="C61" t="s">
        <v>26</v>
      </c>
      <c r="D61" t="s">
        <v>1275</v>
      </c>
      <c r="E61" t="s">
        <v>27</v>
      </c>
      <c r="F61">
        <v>21461</v>
      </c>
      <c r="G61">
        <v>186</v>
      </c>
      <c r="H61">
        <v>27</v>
      </c>
      <c r="I61">
        <v>0.15374979625593876</v>
      </c>
      <c r="J61">
        <f t="shared" si="0"/>
        <v>0.14516129032258066</v>
      </c>
      <c r="K61">
        <f t="shared" si="1"/>
        <v>2.2318518811345951E-2</v>
      </c>
    </row>
    <row r="62" spans="1:11" x14ac:dyDescent="0.25">
      <c r="A62" t="s">
        <v>10</v>
      </c>
      <c r="B62" t="s">
        <v>74</v>
      </c>
      <c r="C62" t="s">
        <v>26</v>
      </c>
      <c r="D62" t="s">
        <v>1275</v>
      </c>
      <c r="E62" t="s">
        <v>27</v>
      </c>
      <c r="F62">
        <v>21466</v>
      </c>
      <c r="G62">
        <v>979</v>
      </c>
      <c r="H62">
        <v>160</v>
      </c>
      <c r="I62">
        <v>0.56556253443526172</v>
      </c>
      <c r="J62">
        <f t="shared" si="0"/>
        <v>0.16343207354443309</v>
      </c>
      <c r="K62">
        <f t="shared" si="1"/>
        <v>9.2431057721799673E-2</v>
      </c>
    </row>
    <row r="63" spans="1:11" x14ac:dyDescent="0.25">
      <c r="A63" t="s">
        <v>10</v>
      </c>
      <c r="B63" t="s">
        <v>75</v>
      </c>
      <c r="C63" t="s">
        <v>26</v>
      </c>
      <c r="D63" t="s">
        <v>1275</v>
      </c>
      <c r="E63" t="s">
        <v>27</v>
      </c>
      <c r="F63">
        <v>21471</v>
      </c>
      <c r="G63">
        <v>271</v>
      </c>
      <c r="H63">
        <v>0</v>
      </c>
      <c r="I63">
        <v>0.68269502631435364</v>
      </c>
      <c r="J63">
        <f t="shared" si="0"/>
        <v>0</v>
      </c>
      <c r="K63">
        <f t="shared" si="1"/>
        <v>0</v>
      </c>
    </row>
    <row r="64" spans="1:11" x14ac:dyDescent="0.25">
      <c r="A64" t="s">
        <v>10</v>
      </c>
      <c r="B64" t="s">
        <v>76</v>
      </c>
      <c r="C64" t="s">
        <v>26</v>
      </c>
      <c r="D64" t="s">
        <v>1275</v>
      </c>
      <c r="E64" t="s">
        <v>27</v>
      </c>
      <c r="F64">
        <v>21476</v>
      </c>
      <c r="G64">
        <v>1467</v>
      </c>
      <c r="H64">
        <v>562</v>
      </c>
      <c r="I64">
        <v>0.28657866220923667</v>
      </c>
      <c r="J64">
        <f t="shared" si="0"/>
        <v>0.3830947511929107</v>
      </c>
      <c r="K64">
        <f t="shared" si="1"/>
        <v>0.10978678129624472</v>
      </c>
    </row>
    <row r="65" spans="1:11" x14ac:dyDescent="0.25">
      <c r="A65" t="s">
        <v>10</v>
      </c>
      <c r="B65" t="s">
        <v>77</v>
      </c>
      <c r="C65" t="s">
        <v>26</v>
      </c>
      <c r="D65" t="s">
        <v>1275</v>
      </c>
      <c r="E65" t="s">
        <v>27</v>
      </c>
      <c r="F65">
        <v>21481</v>
      </c>
      <c r="G65">
        <v>172</v>
      </c>
      <c r="H65">
        <v>0</v>
      </c>
      <c r="I65">
        <v>0.53149284541025921</v>
      </c>
      <c r="J65">
        <f t="shared" si="0"/>
        <v>0</v>
      </c>
      <c r="K65">
        <f t="shared" si="1"/>
        <v>0</v>
      </c>
    </row>
    <row r="66" spans="1:11" x14ac:dyDescent="0.25">
      <c r="A66" t="s">
        <v>10</v>
      </c>
      <c r="B66" t="s">
        <v>78</v>
      </c>
      <c r="C66" t="s">
        <v>26</v>
      </c>
      <c r="D66" t="s">
        <v>1275</v>
      </c>
      <c r="E66" t="s">
        <v>27</v>
      </c>
      <c r="F66">
        <v>21487</v>
      </c>
      <c r="G66">
        <v>64</v>
      </c>
      <c r="H66">
        <v>0</v>
      </c>
      <c r="I66">
        <v>0.29861111111111105</v>
      </c>
      <c r="J66">
        <f t="shared" si="0"/>
        <v>0</v>
      </c>
      <c r="K66">
        <f t="shared" si="1"/>
        <v>0</v>
      </c>
    </row>
    <row r="67" spans="1:11" x14ac:dyDescent="0.25">
      <c r="A67" t="s">
        <v>10</v>
      </c>
      <c r="B67" t="s">
        <v>79</v>
      </c>
      <c r="C67" t="s">
        <v>80</v>
      </c>
      <c r="D67" t="s">
        <v>1282</v>
      </c>
      <c r="E67" t="s">
        <v>27</v>
      </c>
      <c r="F67">
        <v>22411</v>
      </c>
      <c r="G67">
        <v>12796</v>
      </c>
      <c r="H67">
        <v>1280</v>
      </c>
      <c r="I67">
        <v>0.52981576810078113</v>
      </c>
      <c r="J67">
        <f t="shared" ref="J67:J130" si="2">IF(G67=0,0,H67/G67)</f>
        <v>0.10003125976867772</v>
      </c>
      <c r="K67">
        <f t="shared" ref="K67:K130" si="3">J67*I67</f>
        <v>5.2998138728430746E-2</v>
      </c>
    </row>
    <row r="68" spans="1:11" x14ac:dyDescent="0.25">
      <c r="A68" t="s">
        <v>10</v>
      </c>
      <c r="B68" t="s">
        <v>81</v>
      </c>
      <c r="C68" t="s">
        <v>82</v>
      </c>
      <c r="D68" t="s">
        <v>1266</v>
      </c>
      <c r="E68" t="s">
        <v>83</v>
      </c>
      <c r="F68">
        <v>22443</v>
      </c>
      <c r="G68">
        <v>2449</v>
      </c>
      <c r="H68">
        <v>165</v>
      </c>
      <c r="I68">
        <v>7.1065046221390205E-2</v>
      </c>
      <c r="J68">
        <f t="shared" si="2"/>
        <v>6.737443854634545E-2</v>
      </c>
      <c r="K68">
        <f t="shared" si="3"/>
        <v>4.787967589436253E-3</v>
      </c>
    </row>
    <row r="69" spans="1:11" x14ac:dyDescent="0.25">
      <c r="A69" t="s">
        <v>10</v>
      </c>
      <c r="B69" t="s">
        <v>84</v>
      </c>
      <c r="C69" t="s">
        <v>85</v>
      </c>
      <c r="D69" t="s">
        <v>991</v>
      </c>
      <c r="E69" t="s">
        <v>85</v>
      </c>
      <c r="F69">
        <v>22467</v>
      </c>
      <c r="G69">
        <v>8178</v>
      </c>
      <c r="H69">
        <v>652</v>
      </c>
      <c r="I69">
        <v>0</v>
      </c>
      <c r="J69">
        <f t="shared" si="2"/>
        <v>7.9726094399608705E-2</v>
      </c>
      <c r="K69">
        <f t="shared" si="3"/>
        <v>0</v>
      </c>
    </row>
    <row r="70" spans="1:11" x14ac:dyDescent="0.25">
      <c r="A70" t="s">
        <v>10</v>
      </c>
      <c r="B70" t="s">
        <v>86</v>
      </c>
      <c r="C70" t="s">
        <v>87</v>
      </c>
      <c r="D70" t="s">
        <v>1280</v>
      </c>
      <c r="E70" t="s">
        <v>88</v>
      </c>
      <c r="F70">
        <v>22764</v>
      </c>
      <c r="G70">
        <v>651</v>
      </c>
      <c r="H70">
        <v>0</v>
      </c>
      <c r="I70">
        <v>5.7864049089605518E-2</v>
      </c>
      <c r="J70">
        <f t="shared" si="2"/>
        <v>0</v>
      </c>
      <c r="K70">
        <f t="shared" si="3"/>
        <v>0</v>
      </c>
    </row>
    <row r="71" spans="1:11" x14ac:dyDescent="0.25">
      <c r="A71" t="s">
        <v>10</v>
      </c>
      <c r="B71" t="s">
        <v>89</v>
      </c>
      <c r="C71" t="s">
        <v>90</v>
      </c>
      <c r="D71" t="s">
        <v>1307</v>
      </c>
      <c r="E71" t="s">
        <v>27</v>
      </c>
      <c r="F71">
        <v>22799</v>
      </c>
      <c r="G71">
        <v>26</v>
      </c>
      <c r="H71">
        <v>0</v>
      </c>
      <c r="I71">
        <v>0.24881589716754549</v>
      </c>
      <c r="J71">
        <f t="shared" si="2"/>
        <v>0</v>
      </c>
      <c r="K71">
        <f t="shared" si="3"/>
        <v>0</v>
      </c>
    </row>
    <row r="72" spans="1:11" x14ac:dyDescent="0.25">
      <c r="A72" t="s">
        <v>10</v>
      </c>
      <c r="B72" t="s">
        <v>91</v>
      </c>
      <c r="C72" t="s">
        <v>92</v>
      </c>
      <c r="D72" t="s">
        <v>1332</v>
      </c>
      <c r="E72" t="s">
        <v>93</v>
      </c>
      <c r="F72">
        <v>23263</v>
      </c>
      <c r="G72">
        <v>126</v>
      </c>
      <c r="H72">
        <v>6</v>
      </c>
      <c r="I72">
        <v>0.15919657147547328</v>
      </c>
      <c r="J72">
        <f t="shared" si="2"/>
        <v>4.7619047619047616E-2</v>
      </c>
      <c r="K72">
        <f t="shared" si="3"/>
        <v>7.5807891178796792E-3</v>
      </c>
    </row>
    <row r="73" spans="1:11" x14ac:dyDescent="0.25">
      <c r="A73" t="s">
        <v>10</v>
      </c>
      <c r="B73" t="s">
        <v>94</v>
      </c>
      <c r="C73" t="s">
        <v>95</v>
      </c>
      <c r="D73" t="s">
        <v>1291</v>
      </c>
      <c r="E73" t="s">
        <v>96</v>
      </c>
      <c r="F73">
        <v>23356</v>
      </c>
      <c r="G73">
        <v>101</v>
      </c>
      <c r="H73">
        <v>6</v>
      </c>
      <c r="I73">
        <v>3.7005792432027285E-2</v>
      </c>
      <c r="J73">
        <f t="shared" si="2"/>
        <v>5.9405940594059403E-2</v>
      </c>
      <c r="K73">
        <f t="shared" si="3"/>
        <v>2.1983639068531061E-3</v>
      </c>
    </row>
    <row r="74" spans="1:11" x14ac:dyDescent="0.25">
      <c r="A74" t="s">
        <v>10</v>
      </c>
      <c r="B74" t="s">
        <v>97</v>
      </c>
      <c r="C74" t="s">
        <v>26</v>
      </c>
      <c r="D74" t="s">
        <v>1275</v>
      </c>
      <c r="E74" t="s">
        <v>27</v>
      </c>
      <c r="F74">
        <v>23386</v>
      </c>
      <c r="G74">
        <v>1826</v>
      </c>
      <c r="H74">
        <v>675</v>
      </c>
      <c r="I74">
        <v>0.49316568047337273</v>
      </c>
      <c r="J74">
        <f t="shared" si="2"/>
        <v>0.36966046002190578</v>
      </c>
      <c r="K74">
        <f t="shared" si="3"/>
        <v>0.18230385231080315</v>
      </c>
    </row>
    <row r="75" spans="1:11" x14ac:dyDescent="0.25">
      <c r="A75" t="s">
        <v>10</v>
      </c>
      <c r="B75" t="s">
        <v>98</v>
      </c>
      <c r="C75" t="s">
        <v>85</v>
      </c>
      <c r="D75" t="s">
        <v>991</v>
      </c>
      <c r="E75" t="s">
        <v>85</v>
      </c>
      <c r="F75">
        <v>23451</v>
      </c>
      <c r="G75">
        <v>1687</v>
      </c>
      <c r="H75">
        <v>4</v>
      </c>
      <c r="I75">
        <v>7.336643153374045E-2</v>
      </c>
      <c r="J75">
        <f t="shared" si="2"/>
        <v>2.3710729104919974E-3</v>
      </c>
      <c r="K75">
        <f t="shared" si="3"/>
        <v>1.7395715834911784E-4</v>
      </c>
    </row>
    <row r="76" spans="1:11" x14ac:dyDescent="0.25">
      <c r="A76" t="s">
        <v>10</v>
      </c>
      <c r="B76" t="s">
        <v>99</v>
      </c>
      <c r="C76" t="s">
        <v>100</v>
      </c>
      <c r="D76" t="s">
        <v>1259</v>
      </c>
      <c r="E76" t="s">
        <v>96</v>
      </c>
      <c r="F76">
        <v>23625</v>
      </c>
      <c r="G76">
        <v>4064</v>
      </c>
      <c r="H76">
        <v>67</v>
      </c>
      <c r="I76">
        <v>0.67451124732087409</v>
      </c>
      <c r="J76">
        <f t="shared" si="2"/>
        <v>1.6486220472440943E-2</v>
      </c>
      <c r="K76">
        <f t="shared" si="3"/>
        <v>1.112014113447307E-2</v>
      </c>
    </row>
    <row r="77" spans="1:11" x14ac:dyDescent="0.25">
      <c r="A77" t="s">
        <v>10</v>
      </c>
      <c r="B77" t="s">
        <v>101</v>
      </c>
      <c r="C77" t="s">
        <v>26</v>
      </c>
      <c r="D77" t="s">
        <v>1275</v>
      </c>
      <c r="E77" t="s">
        <v>27</v>
      </c>
      <c r="F77">
        <v>23643</v>
      </c>
      <c r="G77">
        <v>1742</v>
      </c>
      <c r="H77">
        <v>176</v>
      </c>
      <c r="I77">
        <v>0.15188233500990711</v>
      </c>
      <c r="J77">
        <f t="shared" si="2"/>
        <v>0.1010332950631458</v>
      </c>
      <c r="K77">
        <f t="shared" si="3"/>
        <v>1.5345172767935506E-2</v>
      </c>
    </row>
    <row r="78" spans="1:11" x14ac:dyDescent="0.25">
      <c r="A78" t="s">
        <v>10</v>
      </c>
      <c r="B78" t="s">
        <v>102</v>
      </c>
      <c r="C78" t="s">
        <v>80</v>
      </c>
      <c r="D78" t="s">
        <v>1282</v>
      </c>
      <c r="E78" t="s">
        <v>27</v>
      </c>
      <c r="F78">
        <v>24111</v>
      </c>
      <c r="G78">
        <v>98172</v>
      </c>
      <c r="H78">
        <v>2023</v>
      </c>
      <c r="I78">
        <v>0.58764193681026389</v>
      </c>
      <c r="J78">
        <f t="shared" si="2"/>
        <v>2.0606690298659497E-2</v>
      </c>
      <c r="K78">
        <f t="shared" si="3"/>
        <v>1.2109355398353542E-2</v>
      </c>
    </row>
    <row r="79" spans="1:11" x14ac:dyDescent="0.25">
      <c r="A79" t="s">
        <v>10</v>
      </c>
      <c r="B79" t="s">
        <v>103</v>
      </c>
      <c r="C79" t="s">
        <v>80</v>
      </c>
      <c r="D79" t="s">
        <v>1282</v>
      </c>
      <c r="E79" t="s">
        <v>27</v>
      </c>
      <c r="F79">
        <v>24133</v>
      </c>
      <c r="G79">
        <v>39237</v>
      </c>
      <c r="H79">
        <v>20750</v>
      </c>
      <c r="I79">
        <v>0.60393276186983125</v>
      </c>
      <c r="J79">
        <f t="shared" si="2"/>
        <v>0.5288375767770217</v>
      </c>
      <c r="K79">
        <f t="shared" si="3"/>
        <v>0.31938233832349566</v>
      </c>
    </row>
    <row r="80" spans="1:11" x14ac:dyDescent="0.25">
      <c r="A80" t="s">
        <v>10</v>
      </c>
      <c r="B80" t="s">
        <v>104</v>
      </c>
      <c r="C80" t="s">
        <v>80</v>
      </c>
      <c r="D80" t="s">
        <v>1282</v>
      </c>
      <c r="E80" t="s">
        <v>27</v>
      </c>
      <c r="F80">
        <v>24155</v>
      </c>
      <c r="G80">
        <v>7357</v>
      </c>
      <c r="H80">
        <v>4500</v>
      </c>
      <c r="I80">
        <v>0.22964958586052397</v>
      </c>
      <c r="J80">
        <f t="shared" si="2"/>
        <v>0.61166236237596849</v>
      </c>
      <c r="K80">
        <f t="shared" si="3"/>
        <v>0.14046800820611091</v>
      </c>
    </row>
    <row r="81" spans="1:11" x14ac:dyDescent="0.25">
      <c r="A81" t="s">
        <v>10</v>
      </c>
      <c r="B81" t="s">
        <v>105</v>
      </c>
      <c r="C81" t="s">
        <v>80</v>
      </c>
      <c r="D81" t="s">
        <v>1282</v>
      </c>
      <c r="E81" t="s">
        <v>27</v>
      </c>
      <c r="F81">
        <v>24177</v>
      </c>
      <c r="G81">
        <v>3233</v>
      </c>
      <c r="H81">
        <v>0</v>
      </c>
      <c r="I81">
        <v>0.39984978920891368</v>
      </c>
      <c r="J81">
        <f t="shared" si="2"/>
        <v>0</v>
      </c>
      <c r="K81">
        <f t="shared" si="3"/>
        <v>0</v>
      </c>
    </row>
    <row r="82" spans="1:11" x14ac:dyDescent="0.25">
      <c r="A82" t="s">
        <v>10</v>
      </c>
      <c r="B82" t="s">
        <v>106</v>
      </c>
      <c r="C82" t="s">
        <v>80</v>
      </c>
      <c r="D82" t="s">
        <v>1282</v>
      </c>
      <c r="E82" t="s">
        <v>27</v>
      </c>
      <c r="F82">
        <v>24211</v>
      </c>
      <c r="G82">
        <v>20774</v>
      </c>
      <c r="H82">
        <v>2475</v>
      </c>
      <c r="I82">
        <v>0.16942060143932092</v>
      </c>
      <c r="J82">
        <f t="shared" si="2"/>
        <v>0.11913930875132377</v>
      </c>
      <c r="K82">
        <f t="shared" si="3"/>
        <v>2.0184653343714224E-2</v>
      </c>
    </row>
    <row r="83" spans="1:11" x14ac:dyDescent="0.25">
      <c r="A83" t="s">
        <v>10</v>
      </c>
      <c r="B83" t="s">
        <v>107</v>
      </c>
      <c r="C83" t="s">
        <v>90</v>
      </c>
      <c r="D83" t="s">
        <v>1307</v>
      </c>
      <c r="E83" t="s">
        <v>27</v>
      </c>
      <c r="F83">
        <v>25327</v>
      </c>
      <c r="G83">
        <v>1034</v>
      </c>
      <c r="H83">
        <v>0</v>
      </c>
      <c r="I83">
        <v>0.18909695027886564</v>
      </c>
      <c r="J83">
        <f t="shared" si="2"/>
        <v>0</v>
      </c>
      <c r="K83">
        <f t="shared" si="3"/>
        <v>0</v>
      </c>
    </row>
    <row r="84" spans="1:11" x14ac:dyDescent="0.25">
      <c r="A84" t="s">
        <v>10</v>
      </c>
      <c r="B84" t="s">
        <v>108</v>
      </c>
      <c r="C84" t="s">
        <v>80</v>
      </c>
      <c r="D84" t="s">
        <v>1282</v>
      </c>
      <c r="E84" t="s">
        <v>27</v>
      </c>
      <c r="F84">
        <v>24219</v>
      </c>
      <c r="G84">
        <v>15</v>
      </c>
      <c r="H84">
        <v>0</v>
      </c>
      <c r="I84">
        <v>0.21350368402208542</v>
      </c>
      <c r="J84">
        <f t="shared" si="2"/>
        <v>0</v>
      </c>
      <c r="K84">
        <f t="shared" si="3"/>
        <v>0</v>
      </c>
    </row>
    <row r="85" spans="1:11" x14ac:dyDescent="0.25">
      <c r="A85" t="s">
        <v>10</v>
      </c>
      <c r="B85" t="s">
        <v>109</v>
      </c>
      <c r="C85" t="s">
        <v>80</v>
      </c>
      <c r="D85" t="s">
        <v>1282</v>
      </c>
      <c r="E85" t="s">
        <v>27</v>
      </c>
      <c r="F85">
        <v>24227</v>
      </c>
      <c r="G85">
        <v>1218</v>
      </c>
      <c r="H85">
        <v>504</v>
      </c>
      <c r="I85">
        <v>3.3306051232502076E-2</v>
      </c>
      <c r="J85">
        <f t="shared" si="2"/>
        <v>0.41379310344827586</v>
      </c>
      <c r="K85">
        <f t="shared" si="3"/>
        <v>1.3781814303104307E-2</v>
      </c>
    </row>
    <row r="86" spans="1:11" x14ac:dyDescent="0.25">
      <c r="A86" t="s">
        <v>10</v>
      </c>
      <c r="B86" t="s">
        <v>110</v>
      </c>
      <c r="C86" t="s">
        <v>80</v>
      </c>
      <c r="D86" t="s">
        <v>1282</v>
      </c>
      <c r="E86" t="s">
        <v>27</v>
      </c>
      <c r="F86">
        <v>24235</v>
      </c>
      <c r="G86">
        <v>978</v>
      </c>
      <c r="H86">
        <v>203</v>
      </c>
      <c r="I86">
        <v>6.6119839383785628E-2</v>
      </c>
      <c r="J86">
        <f t="shared" si="2"/>
        <v>0.20756646216768918</v>
      </c>
      <c r="K86">
        <f t="shared" si="3"/>
        <v>1.3724261139988224E-2</v>
      </c>
    </row>
    <row r="87" spans="1:11" x14ac:dyDescent="0.25">
      <c r="A87" t="s">
        <v>10</v>
      </c>
      <c r="B87" t="s">
        <v>111</v>
      </c>
      <c r="C87" t="s">
        <v>80</v>
      </c>
      <c r="D87" t="s">
        <v>1282</v>
      </c>
      <c r="E87" t="s">
        <v>27</v>
      </c>
      <c r="F87">
        <v>24243</v>
      </c>
      <c r="G87">
        <v>13210</v>
      </c>
      <c r="H87">
        <v>49500</v>
      </c>
      <c r="I87">
        <v>0.334129983413195</v>
      </c>
      <c r="J87">
        <f t="shared" si="2"/>
        <v>3.7471612414837243</v>
      </c>
      <c r="K87">
        <f t="shared" si="3"/>
        <v>1.2520389234635241</v>
      </c>
    </row>
    <row r="88" spans="1:11" x14ac:dyDescent="0.25">
      <c r="A88" t="s">
        <v>10</v>
      </c>
      <c r="B88" t="s">
        <v>112</v>
      </c>
      <c r="C88" t="s">
        <v>80</v>
      </c>
      <c r="D88" t="s">
        <v>1282</v>
      </c>
      <c r="E88" t="s">
        <v>27</v>
      </c>
      <c r="F88">
        <v>24251</v>
      </c>
      <c r="G88">
        <v>242</v>
      </c>
      <c r="H88">
        <v>0</v>
      </c>
      <c r="I88">
        <v>0.14815659487362065</v>
      </c>
      <c r="J88">
        <f t="shared" si="2"/>
        <v>0</v>
      </c>
      <c r="K88">
        <f t="shared" si="3"/>
        <v>0</v>
      </c>
    </row>
    <row r="89" spans="1:11" x14ac:dyDescent="0.25">
      <c r="A89" t="s">
        <v>10</v>
      </c>
      <c r="B89" t="s">
        <v>113</v>
      </c>
      <c r="C89" t="s">
        <v>80</v>
      </c>
      <c r="D89" t="s">
        <v>1282</v>
      </c>
      <c r="E89" t="s">
        <v>27</v>
      </c>
      <c r="F89">
        <v>24259</v>
      </c>
      <c r="G89">
        <v>3884</v>
      </c>
      <c r="H89">
        <v>450</v>
      </c>
      <c r="I89">
        <v>0.43880948159738098</v>
      </c>
      <c r="J89">
        <f t="shared" si="2"/>
        <v>0.11585993820803296</v>
      </c>
      <c r="K89">
        <f t="shared" si="3"/>
        <v>5.0840439422971534E-2</v>
      </c>
    </row>
    <row r="90" spans="1:11" x14ac:dyDescent="0.25">
      <c r="A90" t="s">
        <v>10</v>
      </c>
      <c r="B90" t="s">
        <v>114</v>
      </c>
      <c r="C90" t="s">
        <v>80</v>
      </c>
      <c r="D90" t="s">
        <v>1282</v>
      </c>
      <c r="E90" t="s">
        <v>27</v>
      </c>
      <c r="F90">
        <v>24267</v>
      </c>
      <c r="G90">
        <v>926</v>
      </c>
      <c r="H90">
        <v>608</v>
      </c>
      <c r="I90">
        <v>0.18499134948096863</v>
      </c>
      <c r="J90">
        <f t="shared" si="2"/>
        <v>0.6565874730021598</v>
      </c>
      <c r="K90">
        <f t="shared" si="3"/>
        <v>0.1214630026829686</v>
      </c>
    </row>
    <row r="91" spans="1:11" x14ac:dyDescent="0.25">
      <c r="A91" t="s">
        <v>10</v>
      </c>
      <c r="B91" t="s">
        <v>115</v>
      </c>
      <c r="C91" t="s">
        <v>80</v>
      </c>
      <c r="D91" t="s">
        <v>1282</v>
      </c>
      <c r="E91" t="s">
        <v>27</v>
      </c>
      <c r="F91">
        <v>24275</v>
      </c>
      <c r="G91">
        <v>1695</v>
      </c>
      <c r="H91">
        <v>40</v>
      </c>
      <c r="I91">
        <v>0.21187358210282781</v>
      </c>
      <c r="J91">
        <f t="shared" si="2"/>
        <v>2.359882005899705E-2</v>
      </c>
      <c r="K91">
        <f t="shared" si="3"/>
        <v>4.9999665392997713E-3</v>
      </c>
    </row>
    <row r="92" spans="1:11" x14ac:dyDescent="0.25">
      <c r="A92" t="s">
        <v>10</v>
      </c>
      <c r="B92" t="s">
        <v>116</v>
      </c>
      <c r="C92" t="s">
        <v>80</v>
      </c>
      <c r="D92" t="s">
        <v>1282</v>
      </c>
      <c r="E92" t="s">
        <v>27</v>
      </c>
      <c r="F92">
        <v>24283</v>
      </c>
      <c r="G92">
        <v>1942</v>
      </c>
      <c r="H92">
        <v>9</v>
      </c>
      <c r="I92">
        <v>0.23626658987082549</v>
      </c>
      <c r="J92">
        <f t="shared" si="2"/>
        <v>4.6343975283213183E-3</v>
      </c>
      <c r="K92">
        <f t="shared" si="3"/>
        <v>1.0949533001222602E-3</v>
      </c>
    </row>
    <row r="93" spans="1:11" x14ac:dyDescent="0.25">
      <c r="A93" t="s">
        <v>10</v>
      </c>
      <c r="B93" t="s">
        <v>117</v>
      </c>
      <c r="C93" t="s">
        <v>80</v>
      </c>
      <c r="D93" t="s">
        <v>1282</v>
      </c>
      <c r="E93" t="s">
        <v>27</v>
      </c>
      <c r="F93">
        <v>24291</v>
      </c>
      <c r="G93">
        <v>1586</v>
      </c>
      <c r="H93">
        <v>0</v>
      </c>
      <c r="I93">
        <v>0.23425056308875458</v>
      </c>
      <c r="J93">
        <f t="shared" si="2"/>
        <v>0</v>
      </c>
      <c r="K93">
        <f t="shared" si="3"/>
        <v>0</v>
      </c>
    </row>
    <row r="94" spans="1:11" x14ac:dyDescent="0.25">
      <c r="A94" t="s">
        <v>10</v>
      </c>
      <c r="B94" t="s">
        <v>80</v>
      </c>
      <c r="C94" t="s">
        <v>80</v>
      </c>
      <c r="D94" t="s">
        <v>1282</v>
      </c>
      <c r="E94" t="s">
        <v>27</v>
      </c>
      <c r="F94">
        <v>24311</v>
      </c>
      <c r="G94">
        <v>30853</v>
      </c>
      <c r="H94">
        <v>2773</v>
      </c>
      <c r="I94">
        <v>0.50303292683352252</v>
      </c>
      <c r="J94">
        <f t="shared" si="2"/>
        <v>8.9877807668622176E-2</v>
      </c>
      <c r="K94">
        <f t="shared" si="3"/>
        <v>4.5211496648927429E-2</v>
      </c>
    </row>
    <row r="95" spans="1:11" x14ac:dyDescent="0.25">
      <c r="A95" t="s">
        <v>10</v>
      </c>
      <c r="B95" t="s">
        <v>118</v>
      </c>
      <c r="C95" t="s">
        <v>80</v>
      </c>
      <c r="D95" t="s">
        <v>1282</v>
      </c>
      <c r="E95" t="s">
        <v>27</v>
      </c>
      <c r="F95">
        <v>24313</v>
      </c>
      <c r="G95">
        <v>3238</v>
      </c>
      <c r="H95">
        <v>0</v>
      </c>
      <c r="I95">
        <v>0.2276838741811954</v>
      </c>
      <c r="J95">
        <f t="shared" si="2"/>
        <v>0</v>
      </c>
      <c r="K95">
        <f t="shared" si="3"/>
        <v>0</v>
      </c>
    </row>
    <row r="96" spans="1:11" x14ac:dyDescent="0.25">
      <c r="A96" t="s">
        <v>10</v>
      </c>
      <c r="B96" t="s">
        <v>119</v>
      </c>
      <c r="C96" t="s">
        <v>80</v>
      </c>
      <c r="D96" t="s">
        <v>1282</v>
      </c>
      <c r="E96" t="s">
        <v>27</v>
      </c>
      <c r="F96">
        <v>24315</v>
      </c>
      <c r="G96">
        <v>5358</v>
      </c>
      <c r="H96">
        <v>10300</v>
      </c>
      <c r="I96">
        <v>0.23471431114984231</v>
      </c>
      <c r="J96">
        <f t="shared" si="2"/>
        <v>1.9223590892123927</v>
      </c>
      <c r="K96">
        <f t="shared" si="3"/>
        <v>0.45120518940712501</v>
      </c>
    </row>
    <row r="97" spans="1:11" x14ac:dyDescent="0.25">
      <c r="A97" t="s">
        <v>10</v>
      </c>
      <c r="B97" t="s">
        <v>120</v>
      </c>
      <c r="C97" t="s">
        <v>26</v>
      </c>
      <c r="D97" t="s">
        <v>1275</v>
      </c>
      <c r="E97" t="s">
        <v>27</v>
      </c>
      <c r="F97">
        <v>24317</v>
      </c>
      <c r="G97">
        <v>622</v>
      </c>
      <c r="H97">
        <v>450</v>
      </c>
      <c r="I97">
        <v>0.77935209808027484</v>
      </c>
      <c r="J97">
        <f t="shared" si="2"/>
        <v>0.72347266881028938</v>
      </c>
      <c r="K97">
        <f t="shared" si="3"/>
        <v>0.56383994234103485</v>
      </c>
    </row>
    <row r="98" spans="1:11" x14ac:dyDescent="0.25">
      <c r="A98" t="s">
        <v>10</v>
      </c>
      <c r="B98" t="s">
        <v>121</v>
      </c>
      <c r="C98" t="s">
        <v>80</v>
      </c>
      <c r="D98" t="s">
        <v>1282</v>
      </c>
      <c r="E98" t="s">
        <v>27</v>
      </c>
      <c r="F98">
        <v>24319</v>
      </c>
      <c r="G98">
        <v>586</v>
      </c>
      <c r="H98">
        <v>800</v>
      </c>
      <c r="I98">
        <v>0.63447622816439597</v>
      </c>
      <c r="J98">
        <f t="shared" si="2"/>
        <v>1.3651877133105803</v>
      </c>
      <c r="K98">
        <f t="shared" si="3"/>
        <v>0.86617915107767374</v>
      </c>
    </row>
    <row r="99" spans="1:11" x14ac:dyDescent="0.25">
      <c r="A99" t="s">
        <v>10</v>
      </c>
      <c r="B99" t="s">
        <v>122</v>
      </c>
      <c r="C99" t="s">
        <v>80</v>
      </c>
      <c r="D99" t="s">
        <v>1282</v>
      </c>
      <c r="E99" t="s">
        <v>27</v>
      </c>
      <c r="F99">
        <v>24321</v>
      </c>
      <c r="G99">
        <v>836</v>
      </c>
      <c r="H99">
        <v>70</v>
      </c>
      <c r="I99">
        <v>0.38863207716303905</v>
      </c>
      <c r="J99">
        <f t="shared" si="2"/>
        <v>8.3732057416267949E-2</v>
      </c>
      <c r="K99">
        <f t="shared" si="3"/>
        <v>3.254096339881906E-2</v>
      </c>
    </row>
    <row r="100" spans="1:11" x14ac:dyDescent="0.25">
      <c r="A100" t="s">
        <v>10</v>
      </c>
      <c r="B100" t="s">
        <v>123</v>
      </c>
      <c r="C100" t="s">
        <v>80</v>
      </c>
      <c r="D100" t="s">
        <v>1282</v>
      </c>
      <c r="E100" t="s">
        <v>27</v>
      </c>
      <c r="F100">
        <v>24323</v>
      </c>
      <c r="G100">
        <v>1408</v>
      </c>
      <c r="H100">
        <v>369</v>
      </c>
      <c r="I100">
        <v>0.33267707859782447</v>
      </c>
      <c r="J100">
        <f t="shared" si="2"/>
        <v>0.26207386363636365</v>
      </c>
      <c r="K100">
        <f t="shared" si="3"/>
        <v>8.7185967331390085E-2</v>
      </c>
    </row>
    <row r="101" spans="1:11" x14ac:dyDescent="0.25">
      <c r="A101" t="s">
        <v>10</v>
      </c>
      <c r="B101" t="s">
        <v>124</v>
      </c>
      <c r="C101" t="s">
        <v>80</v>
      </c>
      <c r="D101" t="s">
        <v>1282</v>
      </c>
      <c r="E101" t="s">
        <v>27</v>
      </c>
      <c r="F101">
        <v>24325</v>
      </c>
      <c r="G101">
        <v>528</v>
      </c>
      <c r="H101">
        <v>835</v>
      </c>
      <c r="I101">
        <v>0.45520934362406928</v>
      </c>
      <c r="J101">
        <f t="shared" si="2"/>
        <v>1.581439393939394</v>
      </c>
      <c r="K101">
        <f t="shared" si="3"/>
        <v>0.71988598849639751</v>
      </c>
    </row>
    <row r="102" spans="1:11" x14ac:dyDescent="0.25">
      <c r="A102" t="s">
        <v>10</v>
      </c>
      <c r="B102" t="s">
        <v>125</v>
      </c>
      <c r="C102" t="s">
        <v>80</v>
      </c>
      <c r="D102" t="s">
        <v>1282</v>
      </c>
      <c r="E102" t="s">
        <v>27</v>
      </c>
      <c r="F102">
        <v>24327</v>
      </c>
      <c r="G102">
        <v>18</v>
      </c>
      <c r="H102">
        <v>45</v>
      </c>
      <c r="I102">
        <v>0.17458335943395942</v>
      </c>
      <c r="J102">
        <f t="shared" si="2"/>
        <v>2.5</v>
      </c>
      <c r="K102">
        <f t="shared" si="3"/>
        <v>0.43645839858489854</v>
      </c>
    </row>
    <row r="103" spans="1:11" x14ac:dyDescent="0.25">
      <c r="A103" t="s">
        <v>10</v>
      </c>
      <c r="B103" t="s">
        <v>126</v>
      </c>
      <c r="C103" t="s">
        <v>80</v>
      </c>
      <c r="D103" t="s">
        <v>1282</v>
      </c>
      <c r="E103" t="s">
        <v>27</v>
      </c>
      <c r="F103">
        <v>24329</v>
      </c>
      <c r="G103">
        <v>1776</v>
      </c>
      <c r="H103">
        <v>855</v>
      </c>
      <c r="I103">
        <v>0.10927977347236495</v>
      </c>
      <c r="J103">
        <f t="shared" si="2"/>
        <v>0.48141891891891891</v>
      </c>
      <c r="K103">
        <f t="shared" si="3"/>
        <v>5.2609350404770286E-2</v>
      </c>
    </row>
    <row r="104" spans="1:11" x14ac:dyDescent="0.25">
      <c r="A104" t="s">
        <v>10</v>
      </c>
      <c r="B104" t="s">
        <v>127</v>
      </c>
      <c r="C104" t="s">
        <v>80</v>
      </c>
      <c r="D104" t="s">
        <v>1282</v>
      </c>
      <c r="E104" t="s">
        <v>27</v>
      </c>
      <c r="F104">
        <v>24331</v>
      </c>
      <c r="G104">
        <v>1290</v>
      </c>
      <c r="H104">
        <v>2385</v>
      </c>
      <c r="I104">
        <v>0.71806033990888452</v>
      </c>
      <c r="J104">
        <f t="shared" si="2"/>
        <v>1.8488372093023255</v>
      </c>
      <c r="K104">
        <f t="shared" si="3"/>
        <v>1.3275766749478213</v>
      </c>
    </row>
    <row r="105" spans="1:11" x14ac:dyDescent="0.25">
      <c r="A105" t="s">
        <v>10</v>
      </c>
      <c r="B105" t="s">
        <v>128</v>
      </c>
      <c r="C105" t="s">
        <v>80</v>
      </c>
      <c r="D105" t="s">
        <v>1282</v>
      </c>
      <c r="E105" t="s">
        <v>27</v>
      </c>
      <c r="F105">
        <v>24333</v>
      </c>
      <c r="G105">
        <v>94</v>
      </c>
      <c r="H105">
        <v>18</v>
      </c>
      <c r="I105">
        <v>0.35413194444444474</v>
      </c>
      <c r="J105">
        <f t="shared" si="2"/>
        <v>0.19148936170212766</v>
      </c>
      <c r="K105">
        <f t="shared" si="3"/>
        <v>6.7812500000000053E-2</v>
      </c>
    </row>
    <row r="106" spans="1:11" x14ac:dyDescent="0.25">
      <c r="A106" t="s">
        <v>10</v>
      </c>
      <c r="B106" t="s">
        <v>129</v>
      </c>
      <c r="C106" t="s">
        <v>80</v>
      </c>
      <c r="D106" t="s">
        <v>1282</v>
      </c>
      <c r="E106" t="s">
        <v>27</v>
      </c>
      <c r="F106">
        <v>24335</v>
      </c>
      <c r="G106">
        <v>59</v>
      </c>
      <c r="H106">
        <v>25</v>
      </c>
      <c r="I106">
        <v>0.42939936841919613</v>
      </c>
      <c r="J106">
        <f t="shared" si="2"/>
        <v>0.42372881355932202</v>
      </c>
      <c r="K106">
        <f t="shared" si="3"/>
        <v>0.18194888492338818</v>
      </c>
    </row>
    <row r="107" spans="1:11" x14ac:dyDescent="0.25">
      <c r="A107" t="s">
        <v>10</v>
      </c>
      <c r="B107" t="s">
        <v>130</v>
      </c>
      <c r="C107" t="s">
        <v>80</v>
      </c>
      <c r="D107" t="s">
        <v>1282</v>
      </c>
      <c r="E107" t="s">
        <v>27</v>
      </c>
      <c r="F107">
        <v>24337</v>
      </c>
      <c r="G107">
        <v>3356</v>
      </c>
      <c r="H107">
        <v>13225</v>
      </c>
      <c r="I107">
        <v>0.13329759250505158</v>
      </c>
      <c r="J107">
        <f t="shared" si="2"/>
        <v>3.9407032181168056</v>
      </c>
      <c r="K107">
        <f t="shared" si="3"/>
        <v>0.52528625175187937</v>
      </c>
    </row>
    <row r="108" spans="1:11" x14ac:dyDescent="0.25">
      <c r="A108" t="s">
        <v>10</v>
      </c>
      <c r="B108" t="s">
        <v>131</v>
      </c>
      <c r="C108" t="s">
        <v>80</v>
      </c>
      <c r="D108" t="s">
        <v>1282</v>
      </c>
      <c r="E108" t="s">
        <v>27</v>
      </c>
      <c r="F108">
        <v>24339</v>
      </c>
      <c r="G108">
        <v>516</v>
      </c>
      <c r="H108">
        <v>156</v>
      </c>
      <c r="I108">
        <v>0.68790137910848648</v>
      </c>
      <c r="J108">
        <f t="shared" si="2"/>
        <v>0.30232558139534882</v>
      </c>
      <c r="K108">
        <f t="shared" si="3"/>
        <v>0.20797018438163545</v>
      </c>
    </row>
    <row r="109" spans="1:11" x14ac:dyDescent="0.25">
      <c r="A109" t="s">
        <v>10</v>
      </c>
      <c r="B109" t="s">
        <v>132</v>
      </c>
      <c r="C109" t="s">
        <v>92</v>
      </c>
      <c r="D109" t="s">
        <v>1332</v>
      </c>
      <c r="E109" t="s">
        <v>93</v>
      </c>
      <c r="F109" s="4">
        <v>63221</v>
      </c>
      <c r="G109">
        <v>364</v>
      </c>
      <c r="H109">
        <v>261</v>
      </c>
      <c r="I109">
        <v>0.31286658986103966</v>
      </c>
      <c r="J109">
        <f t="shared" si="2"/>
        <v>0.71703296703296704</v>
      </c>
      <c r="K109">
        <f t="shared" si="3"/>
        <v>0.22433565921354767</v>
      </c>
    </row>
    <row r="110" spans="1:11" x14ac:dyDescent="0.25">
      <c r="A110" t="s">
        <v>10</v>
      </c>
      <c r="B110" t="s">
        <v>133</v>
      </c>
      <c r="C110" t="s">
        <v>80</v>
      </c>
      <c r="D110" t="s">
        <v>1282</v>
      </c>
      <c r="E110" t="s">
        <v>27</v>
      </c>
      <c r="F110">
        <v>24343</v>
      </c>
      <c r="G110">
        <v>9516</v>
      </c>
      <c r="H110">
        <v>3870</v>
      </c>
      <c r="I110">
        <v>2.0934415859368172E-2</v>
      </c>
      <c r="J110">
        <f t="shared" si="2"/>
        <v>0.40668348045397223</v>
      </c>
      <c r="K110">
        <f t="shared" si="3"/>
        <v>8.5136811029586819E-3</v>
      </c>
    </row>
    <row r="111" spans="1:11" x14ac:dyDescent="0.25">
      <c r="A111" t="s">
        <v>10</v>
      </c>
      <c r="B111" t="s">
        <v>134</v>
      </c>
      <c r="C111" t="s">
        <v>80</v>
      </c>
      <c r="D111" t="s">
        <v>1282</v>
      </c>
      <c r="E111" t="s">
        <v>27</v>
      </c>
      <c r="F111">
        <v>24345</v>
      </c>
      <c r="G111">
        <v>12</v>
      </c>
      <c r="H111">
        <v>0</v>
      </c>
      <c r="I111">
        <v>0.18769701320183518</v>
      </c>
      <c r="J111">
        <f t="shared" si="2"/>
        <v>0</v>
      </c>
      <c r="K111">
        <f t="shared" si="3"/>
        <v>0</v>
      </c>
    </row>
    <row r="112" spans="1:11" x14ac:dyDescent="0.25">
      <c r="A112" t="s">
        <v>10</v>
      </c>
      <c r="B112" t="s">
        <v>135</v>
      </c>
      <c r="C112" t="s">
        <v>80</v>
      </c>
      <c r="D112" t="s">
        <v>1282</v>
      </c>
      <c r="E112" t="s">
        <v>27</v>
      </c>
      <c r="F112">
        <v>24347</v>
      </c>
      <c r="G112">
        <v>132</v>
      </c>
      <c r="H112">
        <v>0</v>
      </c>
      <c r="I112">
        <v>0.18471743609168456</v>
      </c>
      <c r="J112">
        <f t="shared" si="2"/>
        <v>0</v>
      </c>
      <c r="K112">
        <f t="shared" si="3"/>
        <v>0</v>
      </c>
    </row>
    <row r="113" spans="1:11" x14ac:dyDescent="0.25">
      <c r="A113" t="s">
        <v>10</v>
      </c>
      <c r="B113" t="s">
        <v>136</v>
      </c>
      <c r="C113" t="s">
        <v>80</v>
      </c>
      <c r="D113" t="s">
        <v>1282</v>
      </c>
      <c r="E113" t="s">
        <v>27</v>
      </c>
      <c r="F113">
        <v>24349</v>
      </c>
      <c r="G113">
        <v>2323</v>
      </c>
      <c r="H113">
        <v>742</v>
      </c>
      <c r="I113">
        <v>0.1668092202200836</v>
      </c>
      <c r="J113">
        <f t="shared" si="2"/>
        <v>0.31941455015066722</v>
      </c>
      <c r="K113">
        <f t="shared" si="3"/>
        <v>5.3281292037581585E-2</v>
      </c>
    </row>
    <row r="114" spans="1:11" x14ac:dyDescent="0.25">
      <c r="A114" t="s">
        <v>10</v>
      </c>
      <c r="B114" t="s">
        <v>137</v>
      </c>
      <c r="C114" t="s">
        <v>80</v>
      </c>
      <c r="D114" t="s">
        <v>1282</v>
      </c>
      <c r="E114" t="s">
        <v>27</v>
      </c>
      <c r="F114">
        <v>24351</v>
      </c>
      <c r="G114">
        <v>1310</v>
      </c>
      <c r="H114">
        <v>2115</v>
      </c>
      <c r="I114">
        <v>0.46609039643127714</v>
      </c>
      <c r="J114">
        <f t="shared" si="2"/>
        <v>1.6145038167938932</v>
      </c>
      <c r="K114">
        <f t="shared" si="3"/>
        <v>0.75250472400927571</v>
      </c>
    </row>
    <row r="115" spans="1:11" x14ac:dyDescent="0.25">
      <c r="A115" t="s">
        <v>10</v>
      </c>
      <c r="B115" t="s">
        <v>138</v>
      </c>
      <c r="C115" t="s">
        <v>80</v>
      </c>
      <c r="D115" t="s">
        <v>1282</v>
      </c>
      <c r="E115" t="s">
        <v>27</v>
      </c>
      <c r="F115">
        <v>24353</v>
      </c>
      <c r="G115">
        <v>71</v>
      </c>
      <c r="H115">
        <v>117</v>
      </c>
      <c r="I115">
        <v>0.27332029156020909</v>
      </c>
      <c r="J115">
        <f t="shared" si="2"/>
        <v>1.647887323943662</v>
      </c>
      <c r="K115">
        <f t="shared" si="3"/>
        <v>0.45040104383865442</v>
      </c>
    </row>
    <row r="116" spans="1:11" x14ac:dyDescent="0.25">
      <c r="A116" t="s">
        <v>10</v>
      </c>
      <c r="B116" t="s">
        <v>139</v>
      </c>
      <c r="C116" t="s">
        <v>80</v>
      </c>
      <c r="D116" t="s">
        <v>1282</v>
      </c>
      <c r="E116" t="s">
        <v>27</v>
      </c>
      <c r="F116">
        <v>24355</v>
      </c>
      <c r="G116">
        <v>10</v>
      </c>
      <c r="H116">
        <v>0</v>
      </c>
      <c r="I116">
        <v>0.2172550154320988</v>
      </c>
      <c r="J116">
        <f t="shared" si="2"/>
        <v>0</v>
      </c>
      <c r="K116">
        <f t="shared" si="3"/>
        <v>0</v>
      </c>
    </row>
    <row r="117" spans="1:11" x14ac:dyDescent="0.25">
      <c r="A117" t="s">
        <v>10</v>
      </c>
      <c r="B117" t="s">
        <v>140</v>
      </c>
      <c r="C117" t="s">
        <v>80</v>
      </c>
      <c r="D117" t="s">
        <v>1282</v>
      </c>
      <c r="E117" t="s">
        <v>27</v>
      </c>
      <c r="F117">
        <v>24357</v>
      </c>
      <c r="G117">
        <v>184</v>
      </c>
      <c r="H117">
        <v>18</v>
      </c>
      <c r="I117">
        <v>0.25692203753101384</v>
      </c>
      <c r="J117">
        <f t="shared" si="2"/>
        <v>9.7826086956521743E-2</v>
      </c>
      <c r="K117">
        <f t="shared" si="3"/>
        <v>2.5133677584555703E-2</v>
      </c>
    </row>
    <row r="118" spans="1:11" x14ac:dyDescent="0.25">
      <c r="A118" t="s">
        <v>10</v>
      </c>
      <c r="B118" t="s">
        <v>141</v>
      </c>
      <c r="C118" t="s">
        <v>80</v>
      </c>
      <c r="D118" t="s">
        <v>1282</v>
      </c>
      <c r="E118" t="s">
        <v>27</v>
      </c>
      <c r="F118">
        <v>24359</v>
      </c>
      <c r="G118">
        <v>471</v>
      </c>
      <c r="H118">
        <v>45</v>
      </c>
      <c r="I118">
        <v>0.30921265129790165</v>
      </c>
      <c r="J118">
        <f t="shared" si="2"/>
        <v>9.5541401273885357E-2</v>
      </c>
      <c r="K118">
        <f t="shared" si="3"/>
        <v>2.9542609996614809E-2</v>
      </c>
    </row>
    <row r="119" spans="1:11" x14ac:dyDescent="0.25">
      <c r="A119" t="s">
        <v>10</v>
      </c>
      <c r="B119" t="s">
        <v>142</v>
      </c>
      <c r="C119" t="s">
        <v>80</v>
      </c>
      <c r="D119" t="s">
        <v>1282</v>
      </c>
      <c r="E119" t="s">
        <v>27</v>
      </c>
      <c r="F119">
        <v>24361</v>
      </c>
      <c r="G119">
        <v>89</v>
      </c>
      <c r="H119">
        <v>0</v>
      </c>
      <c r="I119">
        <v>0.22383996779418935</v>
      </c>
      <c r="J119">
        <f t="shared" si="2"/>
        <v>0</v>
      </c>
      <c r="K119">
        <f t="shared" si="3"/>
        <v>0</v>
      </c>
    </row>
    <row r="120" spans="1:11" x14ac:dyDescent="0.25">
      <c r="A120" t="s">
        <v>10</v>
      </c>
      <c r="B120" t="s">
        <v>143</v>
      </c>
      <c r="C120" t="s">
        <v>80</v>
      </c>
      <c r="D120" t="s">
        <v>1282</v>
      </c>
      <c r="E120" t="s">
        <v>27</v>
      </c>
      <c r="F120">
        <v>24363</v>
      </c>
      <c r="G120">
        <v>31</v>
      </c>
      <c r="H120">
        <v>0</v>
      </c>
      <c r="I120">
        <v>0.21460094324911938</v>
      </c>
      <c r="J120">
        <f t="shared" si="2"/>
        <v>0</v>
      </c>
      <c r="K120">
        <f t="shared" si="3"/>
        <v>0</v>
      </c>
    </row>
    <row r="121" spans="1:11" x14ac:dyDescent="0.25">
      <c r="A121" t="s">
        <v>10</v>
      </c>
      <c r="B121" t="s">
        <v>144</v>
      </c>
      <c r="C121" t="s">
        <v>80</v>
      </c>
      <c r="D121" t="s">
        <v>1282</v>
      </c>
      <c r="E121" t="s">
        <v>27</v>
      </c>
      <c r="F121">
        <v>24365</v>
      </c>
      <c r="G121">
        <v>1762</v>
      </c>
      <c r="H121">
        <v>180</v>
      </c>
      <c r="I121">
        <v>0.52303709287541778</v>
      </c>
      <c r="J121">
        <f t="shared" si="2"/>
        <v>0.1021566401816118</v>
      </c>
      <c r="K121">
        <f t="shared" si="3"/>
        <v>5.3431712098510324E-2</v>
      </c>
    </row>
    <row r="122" spans="1:11" x14ac:dyDescent="0.25">
      <c r="A122" t="s">
        <v>10</v>
      </c>
      <c r="B122" t="s">
        <v>145</v>
      </c>
      <c r="C122" t="s">
        <v>80</v>
      </c>
      <c r="D122" t="s">
        <v>1282</v>
      </c>
      <c r="E122" t="s">
        <v>27</v>
      </c>
      <c r="F122">
        <v>24367</v>
      </c>
      <c r="G122">
        <v>2533</v>
      </c>
      <c r="H122">
        <v>1623</v>
      </c>
      <c r="I122">
        <v>0.23995466967242496</v>
      </c>
      <c r="J122">
        <f t="shared" si="2"/>
        <v>0.64074220292143702</v>
      </c>
      <c r="K122">
        <f t="shared" si="3"/>
        <v>0.15374908364719531</v>
      </c>
    </row>
    <row r="123" spans="1:11" x14ac:dyDescent="0.25">
      <c r="A123" t="s">
        <v>10</v>
      </c>
      <c r="B123" t="s">
        <v>146</v>
      </c>
      <c r="C123" t="s">
        <v>80</v>
      </c>
      <c r="D123" t="s">
        <v>1282</v>
      </c>
      <c r="E123" t="s">
        <v>27</v>
      </c>
      <c r="F123">
        <v>24371</v>
      </c>
      <c r="G123">
        <v>679</v>
      </c>
      <c r="H123">
        <v>150</v>
      </c>
      <c r="I123">
        <v>0.75604649483791786</v>
      </c>
      <c r="J123">
        <f t="shared" si="2"/>
        <v>0.22091310751104565</v>
      </c>
      <c r="K123">
        <f t="shared" si="3"/>
        <v>0.16702058059747818</v>
      </c>
    </row>
    <row r="124" spans="1:11" x14ac:dyDescent="0.25">
      <c r="A124" t="s">
        <v>10</v>
      </c>
      <c r="B124" t="s">
        <v>147</v>
      </c>
      <c r="C124" t="s">
        <v>80</v>
      </c>
      <c r="D124" t="s">
        <v>1282</v>
      </c>
      <c r="E124" t="s">
        <v>27</v>
      </c>
      <c r="F124">
        <v>24373</v>
      </c>
      <c r="G124">
        <v>40</v>
      </c>
      <c r="H124">
        <v>27</v>
      </c>
      <c r="I124">
        <v>0.46895544192841498</v>
      </c>
      <c r="J124">
        <f t="shared" si="2"/>
        <v>0.67500000000000004</v>
      </c>
      <c r="K124">
        <f t="shared" si="3"/>
        <v>0.31654492330168016</v>
      </c>
    </row>
    <row r="125" spans="1:11" x14ac:dyDescent="0.25">
      <c r="A125" t="s">
        <v>10</v>
      </c>
      <c r="B125" t="s">
        <v>148</v>
      </c>
      <c r="C125" t="s">
        <v>80</v>
      </c>
      <c r="D125" t="s">
        <v>1282</v>
      </c>
      <c r="E125" t="s">
        <v>27</v>
      </c>
      <c r="F125">
        <v>24375</v>
      </c>
      <c r="G125">
        <v>2423</v>
      </c>
      <c r="H125">
        <v>297</v>
      </c>
      <c r="I125">
        <v>0.52280708369714435</v>
      </c>
      <c r="J125">
        <f t="shared" si="2"/>
        <v>0.12257531985142385</v>
      </c>
      <c r="K125">
        <f t="shared" si="3"/>
        <v>6.4083245504767586E-2</v>
      </c>
    </row>
    <row r="126" spans="1:11" x14ac:dyDescent="0.25">
      <c r="A126" t="s">
        <v>10</v>
      </c>
      <c r="B126" t="s">
        <v>149</v>
      </c>
      <c r="C126" t="s">
        <v>80</v>
      </c>
      <c r="D126" t="s">
        <v>1282</v>
      </c>
      <c r="E126" t="s">
        <v>27</v>
      </c>
      <c r="F126">
        <v>24377</v>
      </c>
      <c r="G126">
        <v>3206</v>
      </c>
      <c r="H126">
        <v>1000</v>
      </c>
      <c r="I126">
        <v>0.4870364992224242</v>
      </c>
      <c r="J126">
        <f t="shared" si="2"/>
        <v>0.31191515907673112</v>
      </c>
      <c r="K126">
        <f t="shared" si="3"/>
        <v>0.15191406713113667</v>
      </c>
    </row>
    <row r="127" spans="1:11" x14ac:dyDescent="0.25">
      <c r="A127" t="s">
        <v>10</v>
      </c>
      <c r="B127" t="s">
        <v>150</v>
      </c>
      <c r="C127" t="s">
        <v>80</v>
      </c>
      <c r="D127" t="s">
        <v>1282</v>
      </c>
      <c r="E127" t="s">
        <v>27</v>
      </c>
      <c r="F127">
        <v>24411</v>
      </c>
      <c r="G127">
        <v>1583</v>
      </c>
      <c r="H127">
        <v>1170</v>
      </c>
      <c r="I127">
        <v>0.55400769853111043</v>
      </c>
      <c r="J127">
        <f t="shared" si="2"/>
        <v>0.73910296904611494</v>
      </c>
      <c r="K127">
        <f t="shared" si="3"/>
        <v>0.40946873485874868</v>
      </c>
    </row>
    <row r="128" spans="1:11" x14ac:dyDescent="0.25">
      <c r="A128" t="s">
        <v>10</v>
      </c>
      <c r="B128" t="s">
        <v>151</v>
      </c>
      <c r="C128" t="s">
        <v>80</v>
      </c>
      <c r="D128" t="s">
        <v>1282</v>
      </c>
      <c r="E128" t="s">
        <v>27</v>
      </c>
      <c r="F128">
        <v>24417</v>
      </c>
      <c r="G128">
        <v>1849</v>
      </c>
      <c r="H128">
        <v>765</v>
      </c>
      <c r="I128">
        <v>1.3000350749694412E-2</v>
      </c>
      <c r="J128">
        <f t="shared" si="2"/>
        <v>0.41373715521903731</v>
      </c>
      <c r="K128">
        <f t="shared" si="3"/>
        <v>5.3787281360282452E-3</v>
      </c>
    </row>
    <row r="129" spans="1:11" x14ac:dyDescent="0.25">
      <c r="A129" t="s">
        <v>10</v>
      </c>
      <c r="B129" t="s">
        <v>152</v>
      </c>
      <c r="C129" t="s">
        <v>80</v>
      </c>
      <c r="D129" t="s">
        <v>1282</v>
      </c>
      <c r="E129" t="s">
        <v>27</v>
      </c>
      <c r="F129">
        <v>24421</v>
      </c>
      <c r="G129">
        <v>149</v>
      </c>
      <c r="H129">
        <v>247</v>
      </c>
      <c r="I129">
        <v>0.40421502313990743</v>
      </c>
      <c r="J129">
        <f t="shared" si="2"/>
        <v>1.6577181208053691</v>
      </c>
      <c r="K129">
        <f t="shared" si="3"/>
        <v>0.67007456856078607</v>
      </c>
    </row>
    <row r="130" spans="1:11" x14ac:dyDescent="0.25">
      <c r="A130" t="s">
        <v>10</v>
      </c>
      <c r="B130" t="s">
        <v>153</v>
      </c>
      <c r="C130" t="s">
        <v>80</v>
      </c>
      <c r="D130" t="s">
        <v>1282</v>
      </c>
      <c r="E130" t="s">
        <v>27</v>
      </c>
      <c r="F130">
        <v>24424</v>
      </c>
      <c r="G130">
        <v>3440</v>
      </c>
      <c r="H130">
        <v>980</v>
      </c>
      <c r="I130">
        <v>3.4167400277388071E-2</v>
      </c>
      <c r="J130">
        <f t="shared" si="2"/>
        <v>0.28488372093023256</v>
      </c>
      <c r="K130">
        <f t="shared" si="3"/>
        <v>9.7337361255349746E-3</v>
      </c>
    </row>
    <row r="131" spans="1:11" x14ac:dyDescent="0.25">
      <c r="A131" t="s">
        <v>10</v>
      </c>
      <c r="B131" t="s">
        <v>154</v>
      </c>
      <c r="C131" t="s">
        <v>80</v>
      </c>
      <c r="D131" t="s">
        <v>1282</v>
      </c>
      <c r="E131" t="s">
        <v>27</v>
      </c>
      <c r="F131">
        <v>24427</v>
      </c>
      <c r="G131">
        <v>2795</v>
      </c>
      <c r="H131">
        <v>360</v>
      </c>
      <c r="I131">
        <v>0.15988236962418501</v>
      </c>
      <c r="J131">
        <f t="shared" ref="J131:J194" si="4">IF(G131=0,0,H131/G131)</f>
        <v>0.12880143112701253</v>
      </c>
      <c r="K131">
        <f t="shared" ref="K131:K194" si="5">J131*I131</f>
        <v>2.0593078019573025E-2</v>
      </c>
    </row>
    <row r="132" spans="1:11" x14ac:dyDescent="0.25">
      <c r="A132" t="s">
        <v>10</v>
      </c>
      <c r="B132" t="s">
        <v>155</v>
      </c>
      <c r="C132" t="s">
        <v>80</v>
      </c>
      <c r="D132" t="s">
        <v>1282</v>
      </c>
      <c r="E132" t="s">
        <v>27</v>
      </c>
      <c r="F132">
        <v>24431</v>
      </c>
      <c r="G132">
        <v>46</v>
      </c>
      <c r="H132">
        <v>0</v>
      </c>
      <c r="I132">
        <v>0.28773397052966965</v>
      </c>
      <c r="J132">
        <f t="shared" si="4"/>
        <v>0</v>
      </c>
      <c r="K132">
        <f t="shared" si="5"/>
        <v>0</v>
      </c>
    </row>
    <row r="133" spans="1:11" x14ac:dyDescent="0.25">
      <c r="A133" t="s">
        <v>10</v>
      </c>
      <c r="B133" t="s">
        <v>156</v>
      </c>
      <c r="C133" t="s">
        <v>80</v>
      </c>
      <c r="D133" t="s">
        <v>1282</v>
      </c>
      <c r="E133" t="s">
        <v>27</v>
      </c>
      <c r="F133">
        <v>24434</v>
      </c>
      <c r="G133">
        <v>1147</v>
      </c>
      <c r="H133">
        <v>909</v>
      </c>
      <c r="I133">
        <v>1.607418557352347E-2</v>
      </c>
      <c r="J133">
        <f t="shared" si="4"/>
        <v>0.79250217959895375</v>
      </c>
      <c r="K133">
        <f t="shared" si="5"/>
        <v>1.2738827102295408E-2</v>
      </c>
    </row>
    <row r="134" spans="1:11" x14ac:dyDescent="0.25">
      <c r="A134" t="s">
        <v>10</v>
      </c>
      <c r="B134" t="s">
        <v>157</v>
      </c>
      <c r="C134" t="s">
        <v>80</v>
      </c>
      <c r="D134" t="s">
        <v>1282</v>
      </c>
      <c r="E134" t="s">
        <v>27</v>
      </c>
      <c r="F134">
        <v>24444</v>
      </c>
      <c r="G134">
        <v>3688</v>
      </c>
      <c r="H134">
        <v>3000</v>
      </c>
      <c r="I134">
        <v>2.8343973072495476E-2</v>
      </c>
      <c r="J134">
        <f t="shared" si="4"/>
        <v>0.81344902386117135</v>
      </c>
      <c r="K134">
        <f t="shared" si="5"/>
        <v>2.3056377228168771E-2</v>
      </c>
    </row>
    <row r="135" spans="1:11" x14ac:dyDescent="0.25">
      <c r="A135" t="s">
        <v>10</v>
      </c>
      <c r="B135" t="s">
        <v>158</v>
      </c>
      <c r="C135" t="s">
        <v>80</v>
      </c>
      <c r="D135" t="s">
        <v>1282</v>
      </c>
      <c r="E135" t="s">
        <v>27</v>
      </c>
      <c r="F135">
        <v>24447</v>
      </c>
      <c r="G135">
        <v>2570</v>
      </c>
      <c r="H135">
        <v>2295</v>
      </c>
      <c r="I135">
        <v>0.22560611055986646</v>
      </c>
      <c r="J135">
        <f t="shared" si="4"/>
        <v>0.89299610894941639</v>
      </c>
      <c r="K135">
        <f t="shared" si="5"/>
        <v>0.20146537888517257</v>
      </c>
    </row>
    <row r="136" spans="1:11" x14ac:dyDescent="0.25">
      <c r="A136" t="s">
        <v>10</v>
      </c>
      <c r="B136" t="s">
        <v>159</v>
      </c>
      <c r="C136" t="s">
        <v>80</v>
      </c>
      <c r="D136" t="s">
        <v>1282</v>
      </c>
      <c r="E136" t="s">
        <v>27</v>
      </c>
      <c r="F136">
        <v>24451</v>
      </c>
      <c r="G136">
        <v>1695</v>
      </c>
      <c r="H136">
        <v>9</v>
      </c>
      <c r="I136">
        <v>0.34492873119600032</v>
      </c>
      <c r="J136">
        <f t="shared" si="4"/>
        <v>5.3097345132743362E-3</v>
      </c>
      <c r="K136">
        <f t="shared" si="5"/>
        <v>1.831479988651329E-3</v>
      </c>
    </row>
    <row r="137" spans="1:11" x14ac:dyDescent="0.25">
      <c r="A137" t="s">
        <v>10</v>
      </c>
      <c r="B137" t="s">
        <v>160</v>
      </c>
      <c r="C137" t="s">
        <v>80</v>
      </c>
      <c r="D137" t="s">
        <v>1282</v>
      </c>
      <c r="E137" t="s">
        <v>27</v>
      </c>
      <c r="F137">
        <v>24454</v>
      </c>
      <c r="G137">
        <v>1230</v>
      </c>
      <c r="H137">
        <v>400</v>
      </c>
      <c r="I137">
        <v>2.8832225011376833E-2</v>
      </c>
      <c r="J137">
        <f t="shared" si="4"/>
        <v>0.32520325203252032</v>
      </c>
      <c r="K137">
        <f t="shared" si="5"/>
        <v>9.3763333370331155E-3</v>
      </c>
    </row>
    <row r="138" spans="1:11" x14ac:dyDescent="0.25">
      <c r="A138" t="s">
        <v>10</v>
      </c>
      <c r="B138" t="s">
        <v>161</v>
      </c>
      <c r="C138" t="s">
        <v>80</v>
      </c>
      <c r="D138" t="s">
        <v>1282</v>
      </c>
      <c r="E138" t="s">
        <v>27</v>
      </c>
      <c r="F138">
        <v>24457</v>
      </c>
      <c r="G138">
        <v>1516</v>
      </c>
      <c r="H138">
        <v>404</v>
      </c>
      <c r="I138">
        <v>2.2321555365381385E-2</v>
      </c>
      <c r="J138">
        <f t="shared" si="4"/>
        <v>0.26649076517150394</v>
      </c>
      <c r="K138">
        <f t="shared" si="5"/>
        <v>5.9484883691385748E-3</v>
      </c>
    </row>
    <row r="139" spans="1:11" x14ac:dyDescent="0.25">
      <c r="A139" t="s">
        <v>10</v>
      </c>
      <c r="B139" t="s">
        <v>162</v>
      </c>
      <c r="C139" t="s">
        <v>80</v>
      </c>
      <c r="D139" t="s">
        <v>1282</v>
      </c>
      <c r="E139" t="s">
        <v>27</v>
      </c>
      <c r="F139">
        <v>24461</v>
      </c>
      <c r="G139">
        <v>29</v>
      </c>
      <c r="H139">
        <v>0</v>
      </c>
      <c r="I139">
        <v>0.62918293057322039</v>
      </c>
      <c r="J139">
        <f t="shared" si="4"/>
        <v>0</v>
      </c>
      <c r="K139">
        <f t="shared" si="5"/>
        <v>0</v>
      </c>
    </row>
    <row r="140" spans="1:11" x14ac:dyDescent="0.25">
      <c r="A140" t="s">
        <v>10</v>
      </c>
      <c r="B140" t="s">
        <v>163</v>
      </c>
      <c r="C140" t="s">
        <v>80</v>
      </c>
      <c r="D140" t="s">
        <v>1282</v>
      </c>
      <c r="E140" t="s">
        <v>27</v>
      </c>
      <c r="F140">
        <v>24464</v>
      </c>
      <c r="G140">
        <v>182</v>
      </c>
      <c r="H140">
        <v>5</v>
      </c>
      <c r="I140">
        <v>0.52968768868494132</v>
      </c>
      <c r="J140">
        <f t="shared" si="4"/>
        <v>2.7472527472527472E-2</v>
      </c>
      <c r="K140">
        <f t="shared" si="5"/>
        <v>1.4551859579256629E-2</v>
      </c>
    </row>
    <row r="141" spans="1:11" x14ac:dyDescent="0.25">
      <c r="A141" t="s">
        <v>10</v>
      </c>
      <c r="B141" t="s">
        <v>164</v>
      </c>
      <c r="C141" t="s">
        <v>80</v>
      </c>
      <c r="D141" t="s">
        <v>1282</v>
      </c>
      <c r="E141" t="s">
        <v>27</v>
      </c>
      <c r="F141">
        <v>24467</v>
      </c>
      <c r="G141">
        <v>1114</v>
      </c>
      <c r="H141">
        <v>63</v>
      </c>
      <c r="I141">
        <v>0.27773848781229493</v>
      </c>
      <c r="J141">
        <f t="shared" si="4"/>
        <v>5.6552962298025138E-2</v>
      </c>
      <c r="K141">
        <f t="shared" si="5"/>
        <v>1.5706934229959231E-2</v>
      </c>
    </row>
    <row r="142" spans="1:11" x14ac:dyDescent="0.25">
      <c r="A142" t="s">
        <v>10</v>
      </c>
      <c r="B142" t="s">
        <v>165</v>
      </c>
      <c r="C142" t="s">
        <v>80</v>
      </c>
      <c r="D142" t="s">
        <v>1282</v>
      </c>
      <c r="E142" t="s">
        <v>27</v>
      </c>
      <c r="F142">
        <v>24471</v>
      </c>
      <c r="G142">
        <v>609</v>
      </c>
      <c r="H142">
        <v>198</v>
      </c>
      <c r="I142">
        <v>0</v>
      </c>
      <c r="J142">
        <f t="shared" si="4"/>
        <v>0.3251231527093596</v>
      </c>
      <c r="K142">
        <f t="shared" si="5"/>
        <v>0</v>
      </c>
    </row>
    <row r="143" spans="1:11" x14ac:dyDescent="0.25">
      <c r="A143" t="s">
        <v>10</v>
      </c>
      <c r="B143" t="s">
        <v>166</v>
      </c>
      <c r="C143" t="s">
        <v>80</v>
      </c>
      <c r="D143" t="s">
        <v>1282</v>
      </c>
      <c r="E143" t="s">
        <v>27</v>
      </c>
      <c r="F143">
        <v>24474</v>
      </c>
      <c r="G143">
        <v>24</v>
      </c>
      <c r="H143">
        <v>8</v>
      </c>
      <c r="I143">
        <v>0.22221111111111114</v>
      </c>
      <c r="J143">
        <f t="shared" si="4"/>
        <v>0.33333333333333331</v>
      </c>
      <c r="K143">
        <f t="shared" si="5"/>
        <v>7.407037037037037E-2</v>
      </c>
    </row>
    <row r="144" spans="1:11" x14ac:dyDescent="0.25">
      <c r="A144" t="s">
        <v>10</v>
      </c>
      <c r="B144" t="s">
        <v>167</v>
      </c>
      <c r="C144" t="s">
        <v>80</v>
      </c>
      <c r="D144" t="s">
        <v>1282</v>
      </c>
      <c r="E144" t="s">
        <v>27</v>
      </c>
      <c r="F144">
        <v>24477</v>
      </c>
      <c r="G144">
        <v>2699</v>
      </c>
      <c r="H144">
        <v>248</v>
      </c>
      <c r="I144">
        <v>0.69619390996507735</v>
      </c>
      <c r="J144">
        <f t="shared" si="4"/>
        <v>9.1885883660615036E-2</v>
      </c>
      <c r="K144">
        <f t="shared" si="5"/>
        <v>6.3970392616279792E-2</v>
      </c>
    </row>
    <row r="145" spans="1:11" x14ac:dyDescent="0.25">
      <c r="A145" t="s">
        <v>10</v>
      </c>
      <c r="B145" t="s">
        <v>168</v>
      </c>
      <c r="C145" t="s">
        <v>80</v>
      </c>
      <c r="D145" t="s">
        <v>1282</v>
      </c>
      <c r="E145" t="s">
        <v>27</v>
      </c>
      <c r="F145">
        <v>24484</v>
      </c>
      <c r="G145">
        <v>74</v>
      </c>
      <c r="H145">
        <v>120</v>
      </c>
      <c r="I145">
        <v>0.56214830239927571</v>
      </c>
      <c r="J145">
        <f t="shared" si="4"/>
        <v>1.6216216216216217</v>
      </c>
      <c r="K145">
        <f t="shared" si="5"/>
        <v>0.91159184172855523</v>
      </c>
    </row>
    <row r="146" spans="1:11" x14ac:dyDescent="0.25">
      <c r="A146" t="s">
        <v>10</v>
      </c>
      <c r="B146" t="s">
        <v>169</v>
      </c>
      <c r="C146" t="s">
        <v>90</v>
      </c>
      <c r="D146" t="s">
        <v>1307</v>
      </c>
      <c r="E146" t="s">
        <v>27</v>
      </c>
      <c r="F146">
        <v>25111</v>
      </c>
      <c r="G146">
        <v>23933</v>
      </c>
      <c r="H146">
        <v>1161</v>
      </c>
      <c r="I146">
        <v>0.54581359869532231</v>
      </c>
      <c r="J146">
        <f t="shared" si="4"/>
        <v>4.8510424936280452E-2</v>
      </c>
      <c r="K146">
        <f t="shared" si="5"/>
        <v>2.6477649608710536E-2</v>
      </c>
    </row>
    <row r="147" spans="1:11" x14ac:dyDescent="0.25">
      <c r="A147" t="s">
        <v>10</v>
      </c>
      <c r="B147" s="5" t="s">
        <v>170</v>
      </c>
      <c r="C147" t="s">
        <v>90</v>
      </c>
      <c r="D147" t="s">
        <v>1307</v>
      </c>
      <c r="E147" t="s">
        <v>27</v>
      </c>
      <c r="F147" s="6">
        <v>25116</v>
      </c>
      <c r="G147">
        <v>29012</v>
      </c>
      <c r="H147">
        <v>797</v>
      </c>
      <c r="I147">
        <v>0.47755399836734691</v>
      </c>
      <c r="J147">
        <f t="shared" si="4"/>
        <v>2.747139114849028E-2</v>
      </c>
      <c r="K147">
        <f t="shared" si="5"/>
        <v>1.3119072683674876E-2</v>
      </c>
    </row>
    <row r="148" spans="1:11" x14ac:dyDescent="0.25">
      <c r="A148" t="s">
        <v>10</v>
      </c>
      <c r="B148" t="s">
        <v>171</v>
      </c>
      <c r="C148" t="s">
        <v>90</v>
      </c>
      <c r="D148" t="s">
        <v>1307</v>
      </c>
      <c r="E148" t="s">
        <v>27</v>
      </c>
      <c r="F148">
        <v>25121</v>
      </c>
      <c r="G148">
        <v>15171</v>
      </c>
      <c r="H148">
        <v>45</v>
      </c>
      <c r="I148">
        <v>0.52405993896194469</v>
      </c>
      <c r="J148">
        <f t="shared" si="4"/>
        <v>2.9661854854656912E-3</v>
      </c>
      <c r="K148">
        <f t="shared" si="5"/>
        <v>1.5544589844629563E-3</v>
      </c>
    </row>
    <row r="149" spans="1:11" x14ac:dyDescent="0.25">
      <c r="A149" t="s">
        <v>10</v>
      </c>
      <c r="B149" t="s">
        <v>172</v>
      </c>
      <c r="C149" t="s">
        <v>90</v>
      </c>
      <c r="D149" t="s">
        <v>1307</v>
      </c>
      <c r="E149" t="s">
        <v>27</v>
      </c>
      <c r="F149">
        <v>25126</v>
      </c>
      <c r="G149">
        <v>27722</v>
      </c>
      <c r="H149">
        <v>930</v>
      </c>
      <c r="I149">
        <v>0.43724833389207973</v>
      </c>
      <c r="J149">
        <f t="shared" si="4"/>
        <v>3.3547363105115073E-2</v>
      </c>
      <c r="K149">
        <f t="shared" si="5"/>
        <v>1.4668528624184192E-2</v>
      </c>
    </row>
    <row r="150" spans="1:11" x14ac:dyDescent="0.25">
      <c r="A150" t="s">
        <v>10</v>
      </c>
      <c r="B150" t="s">
        <v>173</v>
      </c>
      <c r="C150" t="s">
        <v>90</v>
      </c>
      <c r="D150" t="s">
        <v>1307</v>
      </c>
      <c r="E150" t="s">
        <v>27</v>
      </c>
      <c r="F150">
        <v>25131</v>
      </c>
      <c r="G150">
        <v>16068</v>
      </c>
      <c r="H150">
        <v>1065</v>
      </c>
      <c r="I150">
        <v>0.4161517585322867</v>
      </c>
      <c r="J150">
        <f t="shared" si="4"/>
        <v>6.628080657206871E-2</v>
      </c>
      <c r="K150">
        <f t="shared" si="5"/>
        <v>2.7582874211904737E-2</v>
      </c>
    </row>
    <row r="151" spans="1:11" x14ac:dyDescent="0.25">
      <c r="A151" t="s">
        <v>10</v>
      </c>
      <c r="B151" t="s">
        <v>174</v>
      </c>
      <c r="C151" t="s">
        <v>90</v>
      </c>
      <c r="D151" t="s">
        <v>1307</v>
      </c>
      <c r="E151" t="s">
        <v>27</v>
      </c>
      <c r="F151">
        <v>25136</v>
      </c>
      <c r="G151">
        <v>7900</v>
      </c>
      <c r="H151">
        <v>585</v>
      </c>
      <c r="I151">
        <v>0.20406611570247934</v>
      </c>
      <c r="J151">
        <f t="shared" si="4"/>
        <v>7.4050632911392411E-2</v>
      </c>
      <c r="K151">
        <f t="shared" si="5"/>
        <v>1.5111225023538028E-2</v>
      </c>
    </row>
    <row r="152" spans="1:11" x14ac:dyDescent="0.25">
      <c r="A152" t="s">
        <v>10</v>
      </c>
      <c r="B152" t="s">
        <v>175</v>
      </c>
      <c r="C152" t="s">
        <v>90</v>
      </c>
      <c r="D152" t="s">
        <v>1307</v>
      </c>
      <c r="E152" t="s">
        <v>27</v>
      </c>
      <c r="F152">
        <v>25146</v>
      </c>
      <c r="G152">
        <v>2822</v>
      </c>
      <c r="H152">
        <v>223</v>
      </c>
      <c r="I152">
        <v>0.17493001167584765</v>
      </c>
      <c r="J152">
        <f t="shared" si="4"/>
        <v>7.9021970233876679E-2</v>
      </c>
      <c r="K152">
        <f t="shared" si="5"/>
        <v>1.3823314175660533E-2</v>
      </c>
    </row>
    <row r="153" spans="1:11" x14ac:dyDescent="0.25">
      <c r="A153" t="s">
        <v>10</v>
      </c>
      <c r="B153" t="s">
        <v>176</v>
      </c>
      <c r="C153" t="s">
        <v>90</v>
      </c>
      <c r="D153" t="s">
        <v>1307</v>
      </c>
      <c r="E153" t="s">
        <v>27</v>
      </c>
      <c r="F153">
        <v>25151</v>
      </c>
      <c r="G153">
        <v>1370</v>
      </c>
      <c r="H153">
        <v>180</v>
      </c>
      <c r="I153">
        <v>0.25955758818902919</v>
      </c>
      <c r="J153">
        <f t="shared" si="4"/>
        <v>0.13138686131386862</v>
      </c>
      <c r="K153">
        <f t="shared" si="5"/>
        <v>3.4102456842354203E-2</v>
      </c>
    </row>
    <row r="154" spans="1:11" x14ac:dyDescent="0.25">
      <c r="A154" t="s">
        <v>10</v>
      </c>
      <c r="B154" t="s">
        <v>177</v>
      </c>
      <c r="C154" t="s">
        <v>90</v>
      </c>
      <c r="D154" t="s">
        <v>1307</v>
      </c>
      <c r="E154" t="s">
        <v>27</v>
      </c>
      <c r="F154">
        <v>25156</v>
      </c>
      <c r="G154">
        <v>2866</v>
      </c>
      <c r="H154">
        <v>45</v>
      </c>
      <c r="I154">
        <v>0.15569200157399621</v>
      </c>
      <c r="J154">
        <f t="shared" si="4"/>
        <v>1.57013258897418E-2</v>
      </c>
      <c r="K154">
        <f t="shared" si="5"/>
        <v>2.4445708551395079E-3</v>
      </c>
    </row>
    <row r="155" spans="1:11" x14ac:dyDescent="0.25">
      <c r="A155" t="s">
        <v>10</v>
      </c>
      <c r="B155" t="s">
        <v>178</v>
      </c>
      <c r="C155" t="s">
        <v>90</v>
      </c>
      <c r="D155" t="s">
        <v>1307</v>
      </c>
      <c r="E155" t="s">
        <v>27</v>
      </c>
      <c r="F155">
        <v>25161</v>
      </c>
      <c r="G155">
        <v>4985</v>
      </c>
      <c r="H155">
        <v>450</v>
      </c>
      <c r="I155">
        <v>0.14703115159591473</v>
      </c>
      <c r="J155">
        <f t="shared" si="4"/>
        <v>9.0270812437311942E-2</v>
      </c>
      <c r="K155">
        <f t="shared" si="5"/>
        <v>1.3272621508156798E-2</v>
      </c>
    </row>
    <row r="156" spans="1:11" x14ac:dyDescent="0.25">
      <c r="A156" t="s">
        <v>10</v>
      </c>
      <c r="B156" t="s">
        <v>179</v>
      </c>
      <c r="C156" t="s">
        <v>90</v>
      </c>
      <c r="D156" t="s">
        <v>1307</v>
      </c>
      <c r="E156" t="s">
        <v>27</v>
      </c>
      <c r="F156">
        <v>25166</v>
      </c>
      <c r="G156">
        <v>4475</v>
      </c>
      <c r="H156">
        <v>400</v>
      </c>
      <c r="I156">
        <v>0.18469539296860149</v>
      </c>
      <c r="J156">
        <f t="shared" si="4"/>
        <v>8.9385474860335198E-2</v>
      </c>
      <c r="K156">
        <f t="shared" si="5"/>
        <v>1.650908540501466E-2</v>
      </c>
    </row>
    <row r="157" spans="1:11" x14ac:dyDescent="0.25">
      <c r="A157" t="s">
        <v>10</v>
      </c>
      <c r="B157" t="s">
        <v>180</v>
      </c>
      <c r="C157" t="s">
        <v>90</v>
      </c>
      <c r="D157" t="s">
        <v>1307</v>
      </c>
      <c r="E157" t="s">
        <v>27</v>
      </c>
      <c r="F157">
        <v>25171</v>
      </c>
      <c r="G157">
        <v>1277</v>
      </c>
      <c r="H157">
        <v>70</v>
      </c>
      <c r="I157">
        <v>0.15492720660350301</v>
      </c>
      <c r="J157">
        <f t="shared" si="4"/>
        <v>5.4815974941268601E-2</v>
      </c>
      <c r="K157">
        <f t="shared" si="5"/>
        <v>8.4924858748983648E-3</v>
      </c>
    </row>
    <row r="158" spans="1:11" x14ac:dyDescent="0.25">
      <c r="A158" t="s">
        <v>10</v>
      </c>
      <c r="B158" t="s">
        <v>181</v>
      </c>
      <c r="C158" t="s">
        <v>90</v>
      </c>
      <c r="D158" t="s">
        <v>1307</v>
      </c>
      <c r="E158" t="s">
        <v>27</v>
      </c>
      <c r="F158">
        <v>25211</v>
      </c>
      <c r="G158">
        <v>6870</v>
      </c>
      <c r="H158">
        <v>425</v>
      </c>
      <c r="I158">
        <v>0.31305403764420159</v>
      </c>
      <c r="J158">
        <f t="shared" si="4"/>
        <v>6.186317321688501E-2</v>
      </c>
      <c r="K158">
        <f t="shared" si="5"/>
        <v>1.9366516157028484E-2</v>
      </c>
    </row>
    <row r="159" spans="1:11" x14ac:dyDescent="0.25">
      <c r="A159" t="s">
        <v>10</v>
      </c>
      <c r="B159" t="s">
        <v>182</v>
      </c>
      <c r="C159" t="s">
        <v>90</v>
      </c>
      <c r="D159" t="s">
        <v>1307</v>
      </c>
      <c r="E159" t="s">
        <v>27</v>
      </c>
      <c r="F159">
        <v>25221</v>
      </c>
      <c r="G159">
        <v>6519</v>
      </c>
      <c r="H159">
        <v>27</v>
      </c>
      <c r="I159">
        <v>0.4164643612101997</v>
      </c>
      <c r="J159">
        <f t="shared" si="4"/>
        <v>4.1417395306028535E-3</v>
      </c>
      <c r="K159">
        <f t="shared" si="5"/>
        <v>1.7248869079115497E-3</v>
      </c>
    </row>
    <row r="160" spans="1:11" x14ac:dyDescent="0.25">
      <c r="A160" t="s">
        <v>10</v>
      </c>
      <c r="B160" t="s">
        <v>183</v>
      </c>
      <c r="C160" t="s">
        <v>90</v>
      </c>
      <c r="D160" t="s">
        <v>1307</v>
      </c>
      <c r="E160" t="s">
        <v>27</v>
      </c>
      <c r="F160">
        <v>25231</v>
      </c>
      <c r="G160">
        <v>5287</v>
      </c>
      <c r="H160">
        <v>32</v>
      </c>
      <c r="I160">
        <v>0.25185328566190646</v>
      </c>
      <c r="J160">
        <f t="shared" si="4"/>
        <v>6.0525818044259508E-3</v>
      </c>
      <c r="K160">
        <f t="shared" si="5"/>
        <v>1.5243626141821461E-3</v>
      </c>
    </row>
    <row r="161" spans="1:11" x14ac:dyDescent="0.25">
      <c r="A161" t="s">
        <v>10</v>
      </c>
      <c r="B161" t="s">
        <v>184</v>
      </c>
      <c r="C161" t="s">
        <v>92</v>
      </c>
      <c r="D161" t="s">
        <v>1332</v>
      </c>
      <c r="E161" t="s">
        <v>93</v>
      </c>
      <c r="F161">
        <v>25251</v>
      </c>
      <c r="G161">
        <v>1917</v>
      </c>
      <c r="H161">
        <v>22</v>
      </c>
      <c r="I161">
        <v>9.449362755259072E-2</v>
      </c>
      <c r="J161">
        <f t="shared" si="4"/>
        <v>1.1476264997391758E-2</v>
      </c>
      <c r="K161">
        <f t="shared" si="5"/>
        <v>1.0844339103583702E-3</v>
      </c>
    </row>
    <row r="162" spans="1:11" x14ac:dyDescent="0.25">
      <c r="A162" t="s">
        <v>10</v>
      </c>
      <c r="B162" t="s">
        <v>185</v>
      </c>
      <c r="C162" t="s">
        <v>90</v>
      </c>
      <c r="D162" t="s">
        <v>1307</v>
      </c>
      <c r="E162" t="s">
        <v>27</v>
      </c>
      <c r="F162">
        <v>25261</v>
      </c>
      <c r="G162">
        <v>3211</v>
      </c>
      <c r="H162">
        <v>36</v>
      </c>
      <c r="I162">
        <v>0.24591883597804531</v>
      </c>
      <c r="J162">
        <f t="shared" si="4"/>
        <v>1.1211460604173155E-2</v>
      </c>
      <c r="K162">
        <f t="shared" si="5"/>
        <v>2.7571093413919752E-3</v>
      </c>
    </row>
    <row r="163" spans="1:11" x14ac:dyDescent="0.25">
      <c r="A163" t="s">
        <v>10</v>
      </c>
      <c r="B163" t="s">
        <v>186</v>
      </c>
      <c r="C163" t="s">
        <v>90</v>
      </c>
      <c r="D163" t="s">
        <v>1307</v>
      </c>
      <c r="E163" t="s">
        <v>27</v>
      </c>
      <c r="F163">
        <v>25271</v>
      </c>
      <c r="G163">
        <v>2665</v>
      </c>
      <c r="H163">
        <v>0</v>
      </c>
      <c r="I163">
        <v>0.27750297265160551</v>
      </c>
      <c r="J163">
        <f t="shared" si="4"/>
        <v>0</v>
      </c>
      <c r="K163">
        <f t="shared" si="5"/>
        <v>0</v>
      </c>
    </row>
    <row r="164" spans="1:11" x14ac:dyDescent="0.25">
      <c r="A164" t="s">
        <v>10</v>
      </c>
      <c r="B164" t="s">
        <v>187</v>
      </c>
      <c r="C164" t="s">
        <v>90</v>
      </c>
      <c r="D164" t="s">
        <v>1307</v>
      </c>
      <c r="E164" t="s">
        <v>27</v>
      </c>
      <c r="F164">
        <v>25311</v>
      </c>
      <c r="G164">
        <v>11170</v>
      </c>
      <c r="H164">
        <v>2115</v>
      </c>
      <c r="I164">
        <v>0.41208068802778597</v>
      </c>
      <c r="J164">
        <f t="shared" si="4"/>
        <v>0.18934646374216652</v>
      </c>
      <c r="K164">
        <f t="shared" si="5"/>
        <v>7.8026021054500211E-2</v>
      </c>
    </row>
    <row r="165" spans="1:11" x14ac:dyDescent="0.25">
      <c r="A165" t="s">
        <v>10</v>
      </c>
      <c r="B165" t="s">
        <v>188</v>
      </c>
      <c r="C165" t="s">
        <v>90</v>
      </c>
      <c r="D165" t="s">
        <v>1307</v>
      </c>
      <c r="E165" t="s">
        <v>27</v>
      </c>
      <c r="F165">
        <v>25313</v>
      </c>
      <c r="G165">
        <v>1976</v>
      </c>
      <c r="H165">
        <v>184</v>
      </c>
      <c r="I165">
        <v>0.16651235915800544</v>
      </c>
      <c r="J165">
        <f t="shared" si="4"/>
        <v>9.3117408906882596E-2</v>
      </c>
      <c r="K165">
        <f t="shared" si="5"/>
        <v>1.550519943576569E-2</v>
      </c>
    </row>
    <row r="166" spans="1:11" x14ac:dyDescent="0.25">
      <c r="A166" t="s">
        <v>10</v>
      </c>
      <c r="B166" t="s">
        <v>189</v>
      </c>
      <c r="C166" t="s">
        <v>90</v>
      </c>
      <c r="D166" t="s">
        <v>1307</v>
      </c>
      <c r="E166" t="s">
        <v>27</v>
      </c>
      <c r="F166">
        <v>25315</v>
      </c>
      <c r="G166">
        <v>787</v>
      </c>
      <c r="H166">
        <v>0</v>
      </c>
      <c r="I166">
        <v>0.19622345208394021</v>
      </c>
      <c r="J166">
        <f t="shared" si="4"/>
        <v>0</v>
      </c>
      <c r="K166">
        <f t="shared" si="5"/>
        <v>0</v>
      </c>
    </row>
    <row r="167" spans="1:11" x14ac:dyDescent="0.25">
      <c r="A167" t="s">
        <v>10</v>
      </c>
      <c r="B167" t="s">
        <v>190</v>
      </c>
      <c r="C167" t="s">
        <v>90</v>
      </c>
      <c r="D167" t="s">
        <v>1307</v>
      </c>
      <c r="E167" t="s">
        <v>27</v>
      </c>
      <c r="F167">
        <v>25317</v>
      </c>
      <c r="G167">
        <v>1508</v>
      </c>
      <c r="H167">
        <v>0</v>
      </c>
      <c r="I167">
        <v>0.20545771798858825</v>
      </c>
      <c r="J167">
        <f t="shared" si="4"/>
        <v>0</v>
      </c>
      <c r="K167">
        <f t="shared" si="5"/>
        <v>0</v>
      </c>
    </row>
    <row r="168" spans="1:11" x14ac:dyDescent="0.25">
      <c r="A168" t="s">
        <v>10</v>
      </c>
      <c r="B168" t="s">
        <v>191</v>
      </c>
      <c r="C168" t="s">
        <v>90</v>
      </c>
      <c r="D168" t="s">
        <v>1307</v>
      </c>
      <c r="E168" t="s">
        <v>27</v>
      </c>
      <c r="F168">
        <v>25319</v>
      </c>
      <c r="G168">
        <v>3249</v>
      </c>
      <c r="H168">
        <v>55</v>
      </c>
      <c r="I168">
        <v>0.19853266853357032</v>
      </c>
      <c r="J168">
        <f t="shared" si="4"/>
        <v>1.692828562634657E-2</v>
      </c>
      <c r="K168">
        <f t="shared" si="5"/>
        <v>3.3608177190970665E-3</v>
      </c>
    </row>
    <row r="169" spans="1:11" x14ac:dyDescent="0.25">
      <c r="A169" t="s">
        <v>10</v>
      </c>
      <c r="B169" t="s">
        <v>192</v>
      </c>
      <c r="C169" t="s">
        <v>90</v>
      </c>
      <c r="D169" t="s">
        <v>1307</v>
      </c>
      <c r="E169" t="s">
        <v>27</v>
      </c>
      <c r="F169">
        <v>25321</v>
      </c>
      <c r="G169">
        <v>241</v>
      </c>
      <c r="H169">
        <v>0</v>
      </c>
      <c r="I169">
        <v>0.14441702553184632</v>
      </c>
      <c r="J169">
        <f t="shared" si="4"/>
        <v>0</v>
      </c>
      <c r="K169">
        <f t="shared" si="5"/>
        <v>0</v>
      </c>
    </row>
    <row r="170" spans="1:11" x14ac:dyDescent="0.25">
      <c r="A170" t="s">
        <v>10</v>
      </c>
      <c r="B170" t="s">
        <v>193</v>
      </c>
      <c r="C170" t="s">
        <v>90</v>
      </c>
      <c r="D170" t="s">
        <v>1307</v>
      </c>
      <c r="E170" t="s">
        <v>27</v>
      </c>
      <c r="F170">
        <v>25323</v>
      </c>
      <c r="G170">
        <v>1319</v>
      </c>
      <c r="H170">
        <v>0</v>
      </c>
      <c r="I170">
        <v>0.29707327696809349</v>
      </c>
      <c r="J170">
        <f t="shared" si="4"/>
        <v>0</v>
      </c>
      <c r="K170">
        <f t="shared" si="5"/>
        <v>0</v>
      </c>
    </row>
    <row r="171" spans="1:11" x14ac:dyDescent="0.25">
      <c r="A171" t="s">
        <v>10</v>
      </c>
      <c r="B171" t="s">
        <v>194</v>
      </c>
      <c r="C171" t="s">
        <v>90</v>
      </c>
      <c r="D171" t="s">
        <v>1307</v>
      </c>
      <c r="E171" t="s">
        <v>27</v>
      </c>
      <c r="F171">
        <v>25325</v>
      </c>
      <c r="G171">
        <v>967</v>
      </c>
      <c r="H171">
        <v>4</v>
      </c>
      <c r="I171">
        <v>0.23821209432216595</v>
      </c>
      <c r="J171">
        <f t="shared" si="4"/>
        <v>4.1365046535677356E-3</v>
      </c>
      <c r="K171">
        <f t="shared" si="5"/>
        <v>9.8536543669975577E-4</v>
      </c>
    </row>
    <row r="172" spans="1:11" x14ac:dyDescent="0.25">
      <c r="A172" t="s">
        <v>10</v>
      </c>
      <c r="B172" t="s">
        <v>195</v>
      </c>
      <c r="C172" t="s">
        <v>90</v>
      </c>
      <c r="D172" t="s">
        <v>1307</v>
      </c>
      <c r="E172" t="s">
        <v>27</v>
      </c>
      <c r="F172">
        <v>25329</v>
      </c>
      <c r="G172">
        <v>2241</v>
      </c>
      <c r="H172">
        <v>110</v>
      </c>
      <c r="I172">
        <v>0.21612214268891117</v>
      </c>
      <c r="J172">
        <f t="shared" si="4"/>
        <v>4.9085229808121376E-2</v>
      </c>
      <c r="K172">
        <f t="shared" si="5"/>
        <v>1.0608405040508804E-2</v>
      </c>
    </row>
    <row r="173" spans="1:11" x14ac:dyDescent="0.25">
      <c r="A173" t="s">
        <v>10</v>
      </c>
      <c r="B173" t="s">
        <v>196</v>
      </c>
      <c r="C173" t="s">
        <v>90</v>
      </c>
      <c r="D173" t="s">
        <v>1307</v>
      </c>
      <c r="E173" t="s">
        <v>27</v>
      </c>
      <c r="F173">
        <v>25331</v>
      </c>
      <c r="G173">
        <v>737</v>
      </c>
      <c r="H173">
        <v>0</v>
      </c>
      <c r="I173">
        <v>0.16415978155968292</v>
      </c>
      <c r="J173">
        <f t="shared" si="4"/>
        <v>0</v>
      </c>
      <c r="K173">
        <f t="shared" si="5"/>
        <v>0</v>
      </c>
    </row>
    <row r="174" spans="1:11" x14ac:dyDescent="0.25">
      <c r="A174" t="s">
        <v>10</v>
      </c>
      <c r="B174" t="s">
        <v>197</v>
      </c>
      <c r="C174" t="s">
        <v>90</v>
      </c>
      <c r="D174" t="s">
        <v>1307</v>
      </c>
      <c r="E174" t="s">
        <v>27</v>
      </c>
      <c r="F174">
        <v>25333</v>
      </c>
      <c r="G174">
        <v>635</v>
      </c>
      <c r="H174">
        <v>0</v>
      </c>
      <c r="I174">
        <v>0.2428684807256235</v>
      </c>
      <c r="J174">
        <f t="shared" si="4"/>
        <v>0</v>
      </c>
      <c r="K174">
        <f t="shared" si="5"/>
        <v>0</v>
      </c>
    </row>
    <row r="175" spans="1:11" x14ac:dyDescent="0.25">
      <c r="A175" t="s">
        <v>10</v>
      </c>
      <c r="B175" t="s">
        <v>198</v>
      </c>
      <c r="C175" t="s">
        <v>90</v>
      </c>
      <c r="D175" t="s">
        <v>1307</v>
      </c>
      <c r="E175" t="s">
        <v>27</v>
      </c>
      <c r="F175">
        <v>25337</v>
      </c>
      <c r="G175">
        <v>736</v>
      </c>
      <c r="H175">
        <v>12</v>
      </c>
      <c r="I175">
        <v>0.65099165287493732</v>
      </c>
      <c r="J175">
        <f t="shared" si="4"/>
        <v>1.6304347826086956E-2</v>
      </c>
      <c r="K175">
        <f t="shared" si="5"/>
        <v>1.0613994340352239E-2</v>
      </c>
    </row>
    <row r="176" spans="1:11" x14ac:dyDescent="0.25">
      <c r="A176" t="s">
        <v>10</v>
      </c>
      <c r="B176" t="s">
        <v>199</v>
      </c>
      <c r="C176" t="s">
        <v>90</v>
      </c>
      <c r="D176" t="s">
        <v>1307</v>
      </c>
      <c r="E176" t="s">
        <v>27</v>
      </c>
      <c r="F176">
        <v>25339</v>
      </c>
      <c r="G176">
        <v>826</v>
      </c>
      <c r="H176">
        <v>0</v>
      </c>
      <c r="I176">
        <v>0.68632963988919671</v>
      </c>
      <c r="J176">
        <f t="shared" si="4"/>
        <v>0</v>
      </c>
      <c r="K176">
        <f t="shared" si="5"/>
        <v>0</v>
      </c>
    </row>
    <row r="177" spans="1:11" x14ac:dyDescent="0.25">
      <c r="A177" t="s">
        <v>10</v>
      </c>
      <c r="B177" t="s">
        <v>200</v>
      </c>
      <c r="C177" t="s">
        <v>90</v>
      </c>
      <c r="D177" t="s">
        <v>1307</v>
      </c>
      <c r="E177" t="s">
        <v>27</v>
      </c>
      <c r="F177">
        <v>25341</v>
      </c>
      <c r="G177">
        <v>743</v>
      </c>
      <c r="H177">
        <v>12</v>
      </c>
      <c r="I177">
        <v>9.7502972651605346E-2</v>
      </c>
      <c r="J177">
        <f t="shared" si="4"/>
        <v>1.6150740242261104E-2</v>
      </c>
      <c r="K177">
        <f t="shared" si="5"/>
        <v>1.5747451841443662E-3</v>
      </c>
    </row>
    <row r="178" spans="1:11" x14ac:dyDescent="0.25">
      <c r="A178" t="s">
        <v>10</v>
      </c>
      <c r="B178" t="s">
        <v>201</v>
      </c>
      <c r="C178" t="s">
        <v>90</v>
      </c>
      <c r="D178" t="s">
        <v>1307</v>
      </c>
      <c r="E178" t="s">
        <v>27</v>
      </c>
      <c r="F178">
        <v>25343</v>
      </c>
      <c r="G178">
        <v>2612</v>
      </c>
      <c r="H178">
        <v>50</v>
      </c>
      <c r="I178">
        <v>0.23586763787721132</v>
      </c>
      <c r="J178">
        <f t="shared" si="4"/>
        <v>1.9142419601837671E-2</v>
      </c>
      <c r="K178">
        <f t="shared" si="5"/>
        <v>4.5150772947398794E-3</v>
      </c>
    </row>
    <row r="179" spans="1:11" x14ac:dyDescent="0.25">
      <c r="A179" t="s">
        <v>10</v>
      </c>
      <c r="B179" t="s">
        <v>202</v>
      </c>
      <c r="C179" t="s">
        <v>90</v>
      </c>
      <c r="D179" t="s">
        <v>1307</v>
      </c>
      <c r="E179" t="s">
        <v>27</v>
      </c>
      <c r="F179">
        <v>25345</v>
      </c>
      <c r="G179">
        <v>319</v>
      </c>
      <c r="H179">
        <v>158</v>
      </c>
      <c r="I179">
        <v>0.1256476032392736</v>
      </c>
      <c r="J179">
        <f t="shared" si="4"/>
        <v>0.4952978056426332</v>
      </c>
      <c r="K179">
        <f t="shared" si="5"/>
        <v>6.2232982168668426E-2</v>
      </c>
    </row>
    <row r="180" spans="1:11" x14ac:dyDescent="0.25">
      <c r="A180" t="s">
        <v>10</v>
      </c>
      <c r="B180" t="s">
        <v>203</v>
      </c>
      <c r="C180" t="s">
        <v>90</v>
      </c>
      <c r="D180" t="s">
        <v>1307</v>
      </c>
      <c r="E180" t="s">
        <v>27</v>
      </c>
      <c r="F180">
        <v>25347</v>
      </c>
      <c r="G180">
        <v>2998</v>
      </c>
      <c r="H180">
        <v>45</v>
      </c>
      <c r="I180">
        <v>0.22050273152965627</v>
      </c>
      <c r="J180">
        <f t="shared" si="4"/>
        <v>1.5010006671114077E-2</v>
      </c>
      <c r="K180">
        <f t="shared" si="5"/>
        <v>3.3097474712590171E-3</v>
      </c>
    </row>
    <row r="181" spans="1:11" x14ac:dyDescent="0.25">
      <c r="A181" t="s">
        <v>10</v>
      </c>
      <c r="B181" t="s">
        <v>204</v>
      </c>
      <c r="C181" t="s">
        <v>90</v>
      </c>
      <c r="D181" t="s">
        <v>1307</v>
      </c>
      <c r="E181" t="s">
        <v>27</v>
      </c>
      <c r="F181">
        <v>25349</v>
      </c>
      <c r="G181">
        <v>618</v>
      </c>
      <c r="H181">
        <v>0</v>
      </c>
      <c r="I181">
        <v>0.17746032857548566</v>
      </c>
      <c r="J181">
        <f t="shared" si="4"/>
        <v>0</v>
      </c>
      <c r="K181">
        <f t="shared" si="5"/>
        <v>0</v>
      </c>
    </row>
    <row r="182" spans="1:11" x14ac:dyDescent="0.25">
      <c r="A182" t="s">
        <v>10</v>
      </c>
      <c r="B182" t="s">
        <v>205</v>
      </c>
      <c r="C182" t="s">
        <v>90</v>
      </c>
      <c r="D182" t="s">
        <v>1307</v>
      </c>
      <c r="E182" t="s">
        <v>27</v>
      </c>
      <c r="F182">
        <v>25351</v>
      </c>
      <c r="G182">
        <v>890</v>
      </c>
      <c r="H182">
        <v>0</v>
      </c>
      <c r="I182">
        <v>0.14964399999999989</v>
      </c>
      <c r="J182">
        <f t="shared" si="4"/>
        <v>0</v>
      </c>
      <c r="K182">
        <f t="shared" si="5"/>
        <v>0</v>
      </c>
    </row>
    <row r="183" spans="1:11" x14ac:dyDescent="0.25">
      <c r="A183" t="s">
        <v>10</v>
      </c>
      <c r="B183" t="s">
        <v>206</v>
      </c>
      <c r="C183" t="s">
        <v>90</v>
      </c>
      <c r="D183" t="s">
        <v>1307</v>
      </c>
      <c r="E183" t="s">
        <v>27</v>
      </c>
      <c r="F183">
        <v>25353</v>
      </c>
      <c r="G183">
        <v>984</v>
      </c>
      <c r="H183">
        <v>60</v>
      </c>
      <c r="I183">
        <v>0.27408736540587997</v>
      </c>
      <c r="J183">
        <f t="shared" si="4"/>
        <v>6.097560975609756E-2</v>
      </c>
      <c r="K183">
        <f t="shared" si="5"/>
        <v>1.6712644232065851E-2</v>
      </c>
    </row>
    <row r="184" spans="1:11" x14ac:dyDescent="0.25">
      <c r="A184" t="s">
        <v>10</v>
      </c>
      <c r="B184" t="s">
        <v>207</v>
      </c>
      <c r="C184" t="s">
        <v>90</v>
      </c>
      <c r="D184" t="s">
        <v>1307</v>
      </c>
      <c r="E184" t="s">
        <v>27</v>
      </c>
      <c r="F184">
        <v>25355</v>
      </c>
      <c r="G184">
        <v>734</v>
      </c>
      <c r="H184">
        <v>0</v>
      </c>
      <c r="I184">
        <v>0.19378495528425477</v>
      </c>
      <c r="J184">
        <f t="shared" si="4"/>
        <v>0</v>
      </c>
      <c r="K184">
        <f t="shared" si="5"/>
        <v>0</v>
      </c>
    </row>
    <row r="185" spans="1:11" x14ac:dyDescent="0.25">
      <c r="A185" t="s">
        <v>10</v>
      </c>
      <c r="B185" t="s">
        <v>208</v>
      </c>
      <c r="C185" t="s">
        <v>90</v>
      </c>
      <c r="D185" t="s">
        <v>1307</v>
      </c>
      <c r="E185" t="s">
        <v>27</v>
      </c>
      <c r="F185">
        <v>25357</v>
      </c>
      <c r="G185">
        <v>580</v>
      </c>
      <c r="H185">
        <v>1714</v>
      </c>
      <c r="I185">
        <v>0.12366353696833154</v>
      </c>
      <c r="J185">
        <f t="shared" si="4"/>
        <v>2.9551724137931035</v>
      </c>
      <c r="K185">
        <f t="shared" si="5"/>
        <v>0.36544707304089702</v>
      </c>
    </row>
    <row r="186" spans="1:11" x14ac:dyDescent="0.25">
      <c r="A186" t="s">
        <v>10</v>
      </c>
      <c r="B186" t="s">
        <v>209</v>
      </c>
      <c r="C186" t="s">
        <v>90</v>
      </c>
      <c r="D186" t="s">
        <v>1307</v>
      </c>
      <c r="E186" t="s">
        <v>27</v>
      </c>
      <c r="F186">
        <v>25363</v>
      </c>
      <c r="G186">
        <v>1632</v>
      </c>
      <c r="H186">
        <v>18</v>
      </c>
      <c r="I186">
        <v>0.24632884027309454</v>
      </c>
      <c r="J186">
        <f t="shared" si="4"/>
        <v>1.1029411764705883E-2</v>
      </c>
      <c r="K186">
        <f t="shared" si="5"/>
        <v>2.7168622088944252E-3</v>
      </c>
    </row>
    <row r="187" spans="1:11" x14ac:dyDescent="0.25">
      <c r="A187" t="s">
        <v>10</v>
      </c>
      <c r="B187" t="s">
        <v>210</v>
      </c>
      <c r="C187" t="s">
        <v>90</v>
      </c>
      <c r="D187" t="s">
        <v>1307</v>
      </c>
      <c r="E187" t="s">
        <v>27</v>
      </c>
      <c r="F187">
        <v>25365</v>
      </c>
      <c r="G187">
        <v>892</v>
      </c>
      <c r="H187">
        <v>23</v>
      </c>
      <c r="I187">
        <v>0.15858843537414979</v>
      </c>
      <c r="J187">
        <f t="shared" si="4"/>
        <v>2.5784753363228701E-2</v>
      </c>
      <c r="K187">
        <f t="shared" si="5"/>
        <v>4.0891636923827863E-3</v>
      </c>
    </row>
    <row r="188" spans="1:11" x14ac:dyDescent="0.25">
      <c r="A188" t="s">
        <v>10</v>
      </c>
      <c r="B188" t="s">
        <v>211</v>
      </c>
      <c r="C188" t="s">
        <v>90</v>
      </c>
      <c r="D188" t="s">
        <v>1307</v>
      </c>
      <c r="E188" t="s">
        <v>27</v>
      </c>
      <c r="F188">
        <v>25367</v>
      </c>
      <c r="G188">
        <v>309</v>
      </c>
      <c r="H188">
        <v>0</v>
      </c>
      <c r="I188">
        <v>0.16543895664774788</v>
      </c>
      <c r="J188">
        <f t="shared" si="4"/>
        <v>0</v>
      </c>
      <c r="K188">
        <f t="shared" si="5"/>
        <v>0</v>
      </c>
    </row>
    <row r="189" spans="1:11" x14ac:dyDescent="0.25">
      <c r="A189" t="s">
        <v>10</v>
      </c>
      <c r="B189" t="s">
        <v>212</v>
      </c>
      <c r="C189" t="s">
        <v>90</v>
      </c>
      <c r="D189" t="s">
        <v>1307</v>
      </c>
      <c r="E189" t="s">
        <v>27</v>
      </c>
      <c r="F189">
        <v>25369</v>
      </c>
      <c r="G189">
        <v>470</v>
      </c>
      <c r="H189">
        <v>9</v>
      </c>
      <c r="I189">
        <v>0.13599840626867654</v>
      </c>
      <c r="J189">
        <f t="shared" si="4"/>
        <v>1.9148936170212766E-2</v>
      </c>
      <c r="K189">
        <f t="shared" si="5"/>
        <v>2.6042248008895509E-3</v>
      </c>
    </row>
    <row r="190" spans="1:11" x14ac:dyDescent="0.25">
      <c r="A190" t="s">
        <v>10</v>
      </c>
      <c r="B190" t="s">
        <v>213</v>
      </c>
      <c r="C190" t="s">
        <v>90</v>
      </c>
      <c r="D190" t="s">
        <v>1307</v>
      </c>
      <c r="E190" t="s">
        <v>27</v>
      </c>
      <c r="F190">
        <v>25373</v>
      </c>
      <c r="G190">
        <v>1895</v>
      </c>
      <c r="H190">
        <v>18</v>
      </c>
      <c r="I190">
        <v>0.27685016473589141</v>
      </c>
      <c r="J190">
        <f t="shared" si="4"/>
        <v>9.4986807387862793E-3</v>
      </c>
      <c r="K190">
        <f t="shared" si="5"/>
        <v>2.62971132730662E-3</v>
      </c>
    </row>
    <row r="191" spans="1:11" x14ac:dyDescent="0.25">
      <c r="A191" t="s">
        <v>10</v>
      </c>
      <c r="B191" t="s">
        <v>214</v>
      </c>
      <c r="C191" t="s">
        <v>90</v>
      </c>
      <c r="D191" t="s">
        <v>1307</v>
      </c>
      <c r="E191" t="s">
        <v>27</v>
      </c>
      <c r="F191">
        <v>25375</v>
      </c>
      <c r="G191">
        <v>549</v>
      </c>
      <c r="H191">
        <v>343</v>
      </c>
      <c r="I191">
        <v>0.36736606553045315</v>
      </c>
      <c r="J191">
        <f t="shared" si="4"/>
        <v>0.62477231329690341</v>
      </c>
      <c r="K191">
        <f t="shared" si="5"/>
        <v>0.22952014658824302</v>
      </c>
    </row>
    <row r="192" spans="1:11" x14ac:dyDescent="0.25">
      <c r="A192" t="s">
        <v>10</v>
      </c>
      <c r="B192" t="s">
        <v>215</v>
      </c>
      <c r="C192" t="s">
        <v>90</v>
      </c>
      <c r="D192" t="s">
        <v>1307</v>
      </c>
      <c r="E192" t="s">
        <v>27</v>
      </c>
      <c r="F192">
        <v>25391</v>
      </c>
      <c r="G192">
        <v>71</v>
      </c>
      <c r="H192">
        <v>0</v>
      </c>
      <c r="I192">
        <v>0.12575841147269728</v>
      </c>
      <c r="J192">
        <f t="shared" si="4"/>
        <v>0</v>
      </c>
      <c r="K192">
        <f t="shared" si="5"/>
        <v>0</v>
      </c>
    </row>
    <row r="193" spans="1:11" x14ac:dyDescent="0.25">
      <c r="A193" t="s">
        <v>10</v>
      </c>
      <c r="B193" t="s">
        <v>216</v>
      </c>
      <c r="C193" t="s">
        <v>90</v>
      </c>
      <c r="D193" t="s">
        <v>1307</v>
      </c>
      <c r="E193" t="s">
        <v>27</v>
      </c>
      <c r="F193">
        <v>25411</v>
      </c>
      <c r="G193">
        <v>1973</v>
      </c>
      <c r="H193">
        <v>0</v>
      </c>
      <c r="I193">
        <v>0.23319739693560326</v>
      </c>
      <c r="J193">
        <f t="shared" si="4"/>
        <v>0</v>
      </c>
      <c r="K193">
        <f t="shared" si="5"/>
        <v>0</v>
      </c>
    </row>
    <row r="194" spans="1:11" x14ac:dyDescent="0.25">
      <c r="A194" t="s">
        <v>10</v>
      </c>
      <c r="B194" t="s">
        <v>217</v>
      </c>
      <c r="C194" t="s">
        <v>90</v>
      </c>
      <c r="D194" t="s">
        <v>1307</v>
      </c>
      <c r="E194" t="s">
        <v>27</v>
      </c>
      <c r="F194">
        <v>25423</v>
      </c>
      <c r="G194">
        <v>6715</v>
      </c>
      <c r="H194">
        <v>460</v>
      </c>
      <c r="I194">
        <v>0.21743872827321153</v>
      </c>
      <c r="J194">
        <f t="shared" si="4"/>
        <v>6.8503350707371555E-2</v>
      </c>
      <c r="K194">
        <f t="shared" si="5"/>
        <v>1.4895281460264677E-2</v>
      </c>
    </row>
    <row r="195" spans="1:11" x14ac:dyDescent="0.25">
      <c r="A195" t="s">
        <v>10</v>
      </c>
      <c r="B195" t="s">
        <v>218</v>
      </c>
      <c r="C195" t="s">
        <v>90</v>
      </c>
      <c r="D195" t="s">
        <v>1307</v>
      </c>
      <c r="E195" t="s">
        <v>27</v>
      </c>
      <c r="F195">
        <v>25427</v>
      </c>
      <c r="G195">
        <v>2170</v>
      </c>
      <c r="H195">
        <v>400</v>
      </c>
      <c r="I195">
        <v>0.21129189753412991</v>
      </c>
      <c r="J195">
        <f t="shared" ref="J195:J258" si="6">IF(G195=0,0,H195/G195)</f>
        <v>0.18433179723502305</v>
      </c>
      <c r="K195">
        <f t="shared" ref="K195:K258" si="7">J195*I195</f>
        <v>3.89478152136645E-2</v>
      </c>
    </row>
    <row r="196" spans="1:11" x14ac:dyDescent="0.25">
      <c r="A196" t="s">
        <v>10</v>
      </c>
      <c r="B196" t="s">
        <v>219</v>
      </c>
      <c r="C196" t="s">
        <v>90</v>
      </c>
      <c r="D196" t="s">
        <v>1307</v>
      </c>
      <c r="E196" t="s">
        <v>27</v>
      </c>
      <c r="F196">
        <v>25431</v>
      </c>
      <c r="G196">
        <v>980</v>
      </c>
      <c r="H196">
        <v>11</v>
      </c>
      <c r="I196">
        <v>0.10620937499999983</v>
      </c>
      <c r="J196">
        <f t="shared" si="6"/>
        <v>1.1224489795918367E-2</v>
      </c>
      <c r="K196">
        <f t="shared" si="7"/>
        <v>1.1921460459183653E-3</v>
      </c>
    </row>
    <row r="197" spans="1:11" x14ac:dyDescent="0.25">
      <c r="A197" t="s">
        <v>10</v>
      </c>
      <c r="B197" t="s">
        <v>220</v>
      </c>
      <c r="C197" t="s">
        <v>90</v>
      </c>
      <c r="D197" t="s">
        <v>1307</v>
      </c>
      <c r="E197" t="s">
        <v>27</v>
      </c>
      <c r="F197">
        <v>25435</v>
      </c>
      <c r="G197">
        <v>1747</v>
      </c>
      <c r="H197">
        <v>25</v>
      </c>
      <c r="I197">
        <v>0.11123852003700729</v>
      </c>
      <c r="J197">
        <f t="shared" si="6"/>
        <v>1.4310246136233544E-2</v>
      </c>
      <c r="K197">
        <f t="shared" si="7"/>
        <v>1.5918506015599214E-3</v>
      </c>
    </row>
    <row r="198" spans="1:11" x14ac:dyDescent="0.25">
      <c r="A198" t="s">
        <v>10</v>
      </c>
      <c r="B198" t="s">
        <v>221</v>
      </c>
      <c r="C198" t="s">
        <v>90</v>
      </c>
      <c r="D198" t="s">
        <v>1307</v>
      </c>
      <c r="E198" t="s">
        <v>27</v>
      </c>
      <c r="F198">
        <v>25439</v>
      </c>
      <c r="G198">
        <v>12009</v>
      </c>
      <c r="H198">
        <v>250</v>
      </c>
      <c r="I198">
        <v>0.18132679173833066</v>
      </c>
      <c r="J198">
        <f t="shared" si="6"/>
        <v>2.0817720043300857E-2</v>
      </c>
      <c r="K198">
        <f t="shared" si="7"/>
        <v>3.7748103867584863E-3</v>
      </c>
    </row>
    <row r="199" spans="1:11" x14ac:dyDescent="0.25">
      <c r="A199" t="s">
        <v>10</v>
      </c>
      <c r="B199" t="s">
        <v>222</v>
      </c>
      <c r="C199" t="s">
        <v>90</v>
      </c>
      <c r="D199" t="s">
        <v>1307</v>
      </c>
      <c r="E199" t="s">
        <v>27</v>
      </c>
      <c r="F199">
        <v>25443</v>
      </c>
      <c r="G199">
        <v>567</v>
      </c>
      <c r="H199">
        <v>0</v>
      </c>
      <c r="I199">
        <v>0.20730027548209373</v>
      </c>
      <c r="J199">
        <f t="shared" si="6"/>
        <v>0</v>
      </c>
      <c r="K199">
        <f t="shared" si="7"/>
        <v>0</v>
      </c>
    </row>
    <row r="200" spans="1:11" x14ac:dyDescent="0.25">
      <c r="A200" t="s">
        <v>10</v>
      </c>
      <c r="B200" t="s">
        <v>223</v>
      </c>
      <c r="C200" t="s">
        <v>90</v>
      </c>
      <c r="D200" t="s">
        <v>1307</v>
      </c>
      <c r="E200" t="s">
        <v>27</v>
      </c>
      <c r="F200">
        <v>25451</v>
      </c>
      <c r="G200">
        <v>975</v>
      </c>
      <c r="H200">
        <v>27</v>
      </c>
      <c r="I200">
        <v>0.17946336008573205</v>
      </c>
      <c r="J200">
        <f t="shared" si="6"/>
        <v>2.7692307692307693E-2</v>
      </c>
      <c r="K200">
        <f t="shared" si="7"/>
        <v>4.9697545869895028E-3</v>
      </c>
    </row>
    <row r="201" spans="1:11" x14ac:dyDescent="0.25">
      <c r="A201" t="s">
        <v>10</v>
      </c>
      <c r="B201" t="s">
        <v>224</v>
      </c>
      <c r="C201" t="s">
        <v>90</v>
      </c>
      <c r="D201" t="s">
        <v>1307</v>
      </c>
      <c r="E201" t="s">
        <v>27</v>
      </c>
      <c r="F201">
        <v>25455</v>
      </c>
      <c r="G201">
        <v>933</v>
      </c>
      <c r="H201">
        <v>0</v>
      </c>
      <c r="I201">
        <v>0.18519591836734672</v>
      </c>
      <c r="J201">
        <f t="shared" si="6"/>
        <v>0</v>
      </c>
      <c r="K201">
        <f t="shared" si="7"/>
        <v>0</v>
      </c>
    </row>
    <row r="202" spans="1:11" x14ac:dyDescent="0.25">
      <c r="A202" t="s">
        <v>10</v>
      </c>
      <c r="B202" t="s">
        <v>225</v>
      </c>
      <c r="C202" t="s">
        <v>90</v>
      </c>
      <c r="D202" t="s">
        <v>1307</v>
      </c>
      <c r="E202" t="s">
        <v>27</v>
      </c>
      <c r="F202">
        <v>25459</v>
      </c>
      <c r="G202">
        <v>1825</v>
      </c>
      <c r="H202">
        <v>171</v>
      </c>
      <c r="I202">
        <v>0.15969612778246578</v>
      </c>
      <c r="J202">
        <f t="shared" si="6"/>
        <v>9.3698630136986302E-2</v>
      </c>
      <c r="K202">
        <f t="shared" si="7"/>
        <v>1.4963308411398164E-2</v>
      </c>
    </row>
    <row r="203" spans="1:11" x14ac:dyDescent="0.25">
      <c r="A203" t="s">
        <v>10</v>
      </c>
      <c r="B203" t="s">
        <v>226</v>
      </c>
      <c r="C203" t="s">
        <v>227</v>
      </c>
      <c r="D203" t="s">
        <v>1295</v>
      </c>
      <c r="E203" t="s">
        <v>27</v>
      </c>
      <c r="F203">
        <v>26221</v>
      </c>
      <c r="G203">
        <v>328</v>
      </c>
      <c r="H203">
        <v>185</v>
      </c>
      <c r="I203">
        <v>0.61048446745562124</v>
      </c>
      <c r="J203">
        <f t="shared" si="6"/>
        <v>0.56402439024390238</v>
      </c>
      <c r="K203">
        <f t="shared" si="7"/>
        <v>0.34432812951003022</v>
      </c>
    </row>
    <row r="204" spans="1:11" x14ac:dyDescent="0.25">
      <c r="A204" t="s">
        <v>10</v>
      </c>
      <c r="B204" t="s">
        <v>228</v>
      </c>
      <c r="C204" t="s">
        <v>90</v>
      </c>
      <c r="D204" t="s">
        <v>1307</v>
      </c>
      <c r="E204" t="s">
        <v>27</v>
      </c>
      <c r="F204">
        <v>25463</v>
      </c>
      <c r="G204">
        <v>542</v>
      </c>
      <c r="H204">
        <v>0</v>
      </c>
      <c r="I204">
        <v>0.14067119054017729</v>
      </c>
      <c r="J204">
        <f t="shared" si="6"/>
        <v>0</v>
      </c>
      <c r="K204">
        <f t="shared" si="7"/>
        <v>0</v>
      </c>
    </row>
    <row r="205" spans="1:11" x14ac:dyDescent="0.25">
      <c r="A205" t="s">
        <v>10</v>
      </c>
      <c r="B205" t="s">
        <v>229</v>
      </c>
      <c r="C205" t="s">
        <v>90</v>
      </c>
      <c r="D205" t="s">
        <v>1307</v>
      </c>
      <c r="E205" t="s">
        <v>27</v>
      </c>
      <c r="F205">
        <v>25471</v>
      </c>
      <c r="G205">
        <v>5427</v>
      </c>
      <c r="H205">
        <v>585</v>
      </c>
      <c r="I205">
        <v>0.12627236281179133</v>
      </c>
      <c r="J205">
        <f t="shared" si="6"/>
        <v>0.1077943615257048</v>
      </c>
      <c r="K205">
        <f t="shared" si="7"/>
        <v>1.3611448727639197E-2</v>
      </c>
    </row>
    <row r="206" spans="1:11" x14ac:dyDescent="0.25">
      <c r="A206" t="s">
        <v>10</v>
      </c>
      <c r="B206" t="s">
        <v>230</v>
      </c>
      <c r="C206" t="s">
        <v>90</v>
      </c>
      <c r="D206" t="s">
        <v>1307</v>
      </c>
      <c r="E206" t="s">
        <v>27</v>
      </c>
      <c r="F206">
        <v>25475</v>
      </c>
      <c r="G206">
        <v>4577</v>
      </c>
      <c r="H206">
        <v>2200</v>
      </c>
      <c r="I206">
        <v>0.14474669421487585</v>
      </c>
      <c r="J206">
        <f t="shared" si="6"/>
        <v>0.4806641905178064</v>
      </c>
      <c r="K206">
        <f t="shared" si="7"/>
        <v>6.9574552604921749E-2</v>
      </c>
    </row>
    <row r="207" spans="1:11" x14ac:dyDescent="0.25">
      <c r="A207" t="s">
        <v>10</v>
      </c>
      <c r="B207" t="s">
        <v>231</v>
      </c>
      <c r="C207" t="s">
        <v>90</v>
      </c>
      <c r="D207" t="s">
        <v>1307</v>
      </c>
      <c r="E207" t="s">
        <v>27</v>
      </c>
      <c r="F207">
        <v>25479</v>
      </c>
      <c r="G207">
        <v>242</v>
      </c>
      <c r="H207">
        <v>68</v>
      </c>
      <c r="I207">
        <v>0.12124520590129062</v>
      </c>
      <c r="J207">
        <f t="shared" si="6"/>
        <v>0.28099173553719009</v>
      </c>
      <c r="K207">
        <f t="shared" si="7"/>
        <v>3.4068900831767612E-2</v>
      </c>
    </row>
    <row r="208" spans="1:11" x14ac:dyDescent="0.25">
      <c r="A208" t="s">
        <v>10</v>
      </c>
      <c r="B208" t="s">
        <v>227</v>
      </c>
      <c r="C208" t="s">
        <v>227</v>
      </c>
      <c r="D208" t="s">
        <v>1295</v>
      </c>
      <c r="E208" t="s">
        <v>27</v>
      </c>
      <c r="F208">
        <v>26111</v>
      </c>
      <c r="G208">
        <v>22391</v>
      </c>
      <c r="H208">
        <v>1560</v>
      </c>
      <c r="I208">
        <v>0.55023315036195175</v>
      </c>
      <c r="J208">
        <f t="shared" si="6"/>
        <v>6.9670849895047113E-2</v>
      </c>
      <c r="K208">
        <f t="shared" si="7"/>
        <v>3.8335211226146429E-2</v>
      </c>
    </row>
    <row r="209" spans="1:11" x14ac:dyDescent="0.25">
      <c r="A209" t="s">
        <v>10</v>
      </c>
      <c r="B209" t="s">
        <v>232</v>
      </c>
      <c r="C209" t="s">
        <v>227</v>
      </c>
      <c r="D209" t="s">
        <v>1295</v>
      </c>
      <c r="E209" t="s">
        <v>27</v>
      </c>
      <c r="F209">
        <v>26129</v>
      </c>
      <c r="G209">
        <v>13732</v>
      </c>
      <c r="H209">
        <v>125</v>
      </c>
      <c r="I209">
        <v>0.19271192416450089</v>
      </c>
      <c r="J209">
        <f t="shared" si="6"/>
        <v>9.1028255170404887E-3</v>
      </c>
      <c r="K209">
        <f t="shared" si="7"/>
        <v>1.7542230207225904E-3</v>
      </c>
    </row>
    <row r="210" spans="1:11" x14ac:dyDescent="0.25">
      <c r="A210" t="s">
        <v>10</v>
      </c>
      <c r="B210" t="s">
        <v>233</v>
      </c>
      <c r="C210" t="s">
        <v>234</v>
      </c>
      <c r="D210" t="s">
        <v>1278</v>
      </c>
      <c r="E210" t="s">
        <v>88</v>
      </c>
      <c r="F210">
        <v>73135</v>
      </c>
      <c r="G210">
        <v>455</v>
      </c>
      <c r="H210">
        <v>0</v>
      </c>
      <c r="I210">
        <v>0.25647038922390153</v>
      </c>
      <c r="J210">
        <f t="shared" si="6"/>
        <v>0</v>
      </c>
      <c r="K210">
        <f t="shared" si="7"/>
        <v>0</v>
      </c>
    </row>
    <row r="211" spans="1:11" x14ac:dyDescent="0.25">
      <c r="A211" t="s">
        <v>10</v>
      </c>
      <c r="B211" t="s">
        <v>235</v>
      </c>
      <c r="C211" t="s">
        <v>227</v>
      </c>
      <c r="D211" t="s">
        <v>1295</v>
      </c>
      <c r="E211" t="s">
        <v>27</v>
      </c>
      <c r="F211">
        <v>26135</v>
      </c>
      <c r="G211">
        <v>1756</v>
      </c>
      <c r="H211">
        <v>95</v>
      </c>
      <c r="I211">
        <v>0.24356234933158016</v>
      </c>
      <c r="J211">
        <f t="shared" si="6"/>
        <v>5.4100227790432803E-2</v>
      </c>
      <c r="K211">
        <f t="shared" si="7"/>
        <v>1.3176778580011456E-2</v>
      </c>
    </row>
    <row r="212" spans="1:11" x14ac:dyDescent="0.25">
      <c r="A212" t="s">
        <v>10</v>
      </c>
      <c r="B212" t="s">
        <v>236</v>
      </c>
      <c r="C212" t="s">
        <v>227</v>
      </c>
      <c r="D212" t="s">
        <v>1295</v>
      </c>
      <c r="E212" t="s">
        <v>27</v>
      </c>
      <c r="F212">
        <v>26141</v>
      </c>
      <c r="G212">
        <v>21613</v>
      </c>
      <c r="H212">
        <v>462</v>
      </c>
      <c r="I212">
        <v>0.28751343430901721</v>
      </c>
      <c r="J212">
        <f t="shared" si="6"/>
        <v>2.1376023689446168E-2</v>
      </c>
      <c r="K212">
        <f t="shared" si="7"/>
        <v>6.1458939828235764E-3</v>
      </c>
    </row>
    <row r="213" spans="1:11" x14ac:dyDescent="0.25">
      <c r="A213" t="s">
        <v>10</v>
      </c>
      <c r="B213" t="s">
        <v>237</v>
      </c>
      <c r="C213" t="s">
        <v>227</v>
      </c>
      <c r="D213" t="s">
        <v>1295</v>
      </c>
      <c r="E213" t="s">
        <v>27</v>
      </c>
      <c r="F213">
        <v>26147</v>
      </c>
      <c r="G213">
        <v>9722</v>
      </c>
      <c r="H213">
        <v>500</v>
      </c>
      <c r="I213">
        <v>0.18938685121107257</v>
      </c>
      <c r="J213">
        <f t="shared" si="6"/>
        <v>5.142974696564493E-2</v>
      </c>
      <c r="K213">
        <f t="shared" si="7"/>
        <v>9.7401178364057081E-3</v>
      </c>
    </row>
    <row r="214" spans="1:11" x14ac:dyDescent="0.25">
      <c r="A214" t="s">
        <v>10</v>
      </c>
      <c r="B214" t="s">
        <v>238</v>
      </c>
      <c r="C214" t="s">
        <v>227</v>
      </c>
      <c r="D214" t="s">
        <v>1295</v>
      </c>
      <c r="E214" t="s">
        <v>27</v>
      </c>
      <c r="F214">
        <v>26153</v>
      </c>
      <c r="G214">
        <v>1408</v>
      </c>
      <c r="H214">
        <v>0</v>
      </c>
      <c r="I214">
        <v>0.21164712743067415</v>
      </c>
      <c r="J214">
        <f t="shared" si="6"/>
        <v>0</v>
      </c>
      <c r="K214">
        <f t="shared" si="7"/>
        <v>0</v>
      </c>
    </row>
    <row r="215" spans="1:11" x14ac:dyDescent="0.25">
      <c r="A215" t="s">
        <v>10</v>
      </c>
      <c r="B215" t="s">
        <v>239</v>
      </c>
      <c r="C215" t="s">
        <v>227</v>
      </c>
      <c r="D215" t="s">
        <v>1295</v>
      </c>
      <c r="E215" t="s">
        <v>27</v>
      </c>
      <c r="F215">
        <v>26159</v>
      </c>
      <c r="G215">
        <v>304</v>
      </c>
      <c r="H215">
        <v>111</v>
      </c>
      <c r="I215">
        <v>0.55141660285572724</v>
      </c>
      <c r="J215">
        <f t="shared" si="6"/>
        <v>0.36513157894736842</v>
      </c>
      <c r="K215">
        <f t="shared" si="7"/>
        <v>0.20133961485850568</v>
      </c>
    </row>
    <row r="216" spans="1:11" x14ac:dyDescent="0.25">
      <c r="A216" t="s">
        <v>10</v>
      </c>
      <c r="B216" t="s">
        <v>240</v>
      </c>
      <c r="C216" t="s">
        <v>227</v>
      </c>
      <c r="D216" t="s">
        <v>1295</v>
      </c>
      <c r="E216" t="s">
        <v>27</v>
      </c>
      <c r="F216">
        <v>26165</v>
      </c>
      <c r="G216">
        <v>1154</v>
      </c>
      <c r="H216">
        <v>58</v>
      </c>
      <c r="I216">
        <v>0.58158464011851574</v>
      </c>
      <c r="J216">
        <f t="shared" si="6"/>
        <v>5.0259965337954939E-2</v>
      </c>
      <c r="K216">
        <f t="shared" si="7"/>
        <v>2.9230423853443599E-2</v>
      </c>
    </row>
    <row r="217" spans="1:11" x14ac:dyDescent="0.25">
      <c r="A217" t="s">
        <v>10</v>
      </c>
      <c r="B217" t="s">
        <v>241</v>
      </c>
      <c r="C217" t="s">
        <v>227</v>
      </c>
      <c r="D217" t="s">
        <v>1295</v>
      </c>
      <c r="E217" t="s">
        <v>27</v>
      </c>
      <c r="F217">
        <v>26171</v>
      </c>
      <c r="G217">
        <v>5068</v>
      </c>
      <c r="H217">
        <v>175</v>
      </c>
      <c r="I217">
        <v>0.16838726050614916</v>
      </c>
      <c r="J217">
        <f t="shared" si="6"/>
        <v>3.4530386740331494E-2</v>
      </c>
      <c r="K217">
        <f t="shared" si="7"/>
        <v>5.8144772274222782E-3</v>
      </c>
    </row>
    <row r="218" spans="1:11" x14ac:dyDescent="0.25">
      <c r="A218" t="s">
        <v>10</v>
      </c>
      <c r="B218" t="s">
        <v>242</v>
      </c>
      <c r="C218" t="s">
        <v>227</v>
      </c>
      <c r="D218" t="s">
        <v>1295</v>
      </c>
      <c r="E218" t="s">
        <v>27</v>
      </c>
      <c r="F218">
        <v>26177</v>
      </c>
      <c r="G218">
        <v>2084</v>
      </c>
      <c r="H218">
        <v>258</v>
      </c>
      <c r="I218">
        <v>0.36212996603203118</v>
      </c>
      <c r="J218">
        <f t="shared" si="6"/>
        <v>0.1238003838771593</v>
      </c>
      <c r="K218">
        <f t="shared" si="7"/>
        <v>4.4831828808188118E-2</v>
      </c>
    </row>
    <row r="219" spans="1:11" x14ac:dyDescent="0.25">
      <c r="A219" t="s">
        <v>10</v>
      </c>
      <c r="B219" t="s">
        <v>243</v>
      </c>
      <c r="C219" t="s">
        <v>227</v>
      </c>
      <c r="D219" t="s">
        <v>1295</v>
      </c>
      <c r="E219" t="s">
        <v>27</v>
      </c>
      <c r="F219">
        <v>26189</v>
      </c>
      <c r="G219">
        <v>181</v>
      </c>
      <c r="H219">
        <v>0</v>
      </c>
      <c r="I219">
        <v>0.13360066506919643</v>
      </c>
      <c r="J219">
        <f t="shared" si="6"/>
        <v>0</v>
      </c>
      <c r="K219">
        <f t="shared" si="7"/>
        <v>0</v>
      </c>
    </row>
    <row r="220" spans="1:11" x14ac:dyDescent="0.25">
      <c r="A220" t="s">
        <v>10</v>
      </c>
      <c r="B220" t="s">
        <v>244</v>
      </c>
      <c r="C220" t="s">
        <v>227</v>
      </c>
      <c r="D220" t="s">
        <v>1295</v>
      </c>
      <c r="E220" t="s">
        <v>27</v>
      </c>
      <c r="F220">
        <v>26211</v>
      </c>
      <c r="G220">
        <v>1974</v>
      </c>
      <c r="H220">
        <v>34</v>
      </c>
      <c r="I220">
        <v>0.10437709277326979</v>
      </c>
      <c r="J220">
        <f t="shared" si="6"/>
        <v>1.7223910840932118E-2</v>
      </c>
      <c r="K220">
        <f t="shared" si="7"/>
        <v>1.7977817397624989E-3</v>
      </c>
    </row>
    <row r="221" spans="1:11" x14ac:dyDescent="0.25">
      <c r="A221" t="s">
        <v>10</v>
      </c>
      <c r="B221" t="s">
        <v>245</v>
      </c>
      <c r="C221" t="s">
        <v>227</v>
      </c>
      <c r="D221" t="s">
        <v>1295</v>
      </c>
      <c r="E221" t="s">
        <v>27</v>
      </c>
      <c r="F221">
        <v>26212</v>
      </c>
      <c r="G221">
        <v>887</v>
      </c>
      <c r="H221">
        <v>2250</v>
      </c>
      <c r="I221">
        <v>8.3916373788847087E-2</v>
      </c>
      <c r="J221">
        <f t="shared" si="6"/>
        <v>2.5366403607666292</v>
      </c>
      <c r="K221">
        <f t="shared" si="7"/>
        <v>0.21286566068196838</v>
      </c>
    </row>
    <row r="222" spans="1:11" x14ac:dyDescent="0.25">
      <c r="A222" t="s">
        <v>10</v>
      </c>
      <c r="B222" t="s">
        <v>246</v>
      </c>
      <c r="C222" t="s">
        <v>227</v>
      </c>
      <c r="D222" t="s">
        <v>1295</v>
      </c>
      <c r="E222" t="s">
        <v>27</v>
      </c>
      <c r="F222">
        <v>26215</v>
      </c>
      <c r="G222">
        <v>968</v>
      </c>
      <c r="H222">
        <v>68</v>
      </c>
      <c r="I222">
        <v>0.38488567113661032</v>
      </c>
      <c r="J222">
        <f t="shared" si="6"/>
        <v>7.0247933884297523E-2</v>
      </c>
      <c r="K222">
        <f t="shared" si="7"/>
        <v>2.703742317901808E-2</v>
      </c>
    </row>
    <row r="223" spans="1:11" x14ac:dyDescent="0.25">
      <c r="A223" t="s">
        <v>10</v>
      </c>
      <c r="B223" t="s">
        <v>247</v>
      </c>
      <c r="C223" t="s">
        <v>227</v>
      </c>
      <c r="D223" t="s">
        <v>1295</v>
      </c>
      <c r="E223" t="s">
        <v>27</v>
      </c>
      <c r="F223">
        <v>26217</v>
      </c>
      <c r="G223">
        <v>481</v>
      </c>
      <c r="H223">
        <v>180</v>
      </c>
      <c r="I223">
        <v>0.55072592592592595</v>
      </c>
      <c r="J223">
        <f t="shared" si="6"/>
        <v>0.37422037422037424</v>
      </c>
      <c r="K223">
        <f t="shared" si="7"/>
        <v>0.20609286209286212</v>
      </c>
    </row>
    <row r="224" spans="1:11" x14ac:dyDescent="0.25">
      <c r="A224" t="s">
        <v>10</v>
      </c>
      <c r="B224" t="s">
        <v>248</v>
      </c>
      <c r="C224" t="s">
        <v>227</v>
      </c>
      <c r="D224" t="s">
        <v>1295</v>
      </c>
      <c r="E224" t="s">
        <v>27</v>
      </c>
      <c r="F224">
        <v>26220</v>
      </c>
      <c r="G224">
        <v>66</v>
      </c>
      <c r="H224">
        <v>1485</v>
      </c>
      <c r="I224">
        <v>0.10683331942751439</v>
      </c>
      <c r="J224">
        <f t="shared" si="6"/>
        <v>22.5</v>
      </c>
      <c r="K224">
        <f t="shared" si="7"/>
        <v>2.403749687119074</v>
      </c>
    </row>
    <row r="225" spans="1:11" x14ac:dyDescent="0.25">
      <c r="A225" t="s">
        <v>10</v>
      </c>
      <c r="B225" t="s">
        <v>249</v>
      </c>
      <c r="C225" t="s">
        <v>234</v>
      </c>
      <c r="D225" t="s">
        <v>1278</v>
      </c>
      <c r="E225" t="s">
        <v>88</v>
      </c>
      <c r="F225">
        <v>73280</v>
      </c>
      <c r="G225">
        <v>885</v>
      </c>
      <c r="H225">
        <v>0</v>
      </c>
      <c r="I225">
        <v>3.216630520033803E-2</v>
      </c>
      <c r="J225">
        <f t="shared" si="6"/>
        <v>0</v>
      </c>
      <c r="K225">
        <f t="shared" si="7"/>
        <v>0</v>
      </c>
    </row>
    <row r="226" spans="1:11" x14ac:dyDescent="0.25">
      <c r="A226" t="s">
        <v>10</v>
      </c>
      <c r="B226" t="s">
        <v>250</v>
      </c>
      <c r="C226" t="s">
        <v>227</v>
      </c>
      <c r="D226" t="s">
        <v>1295</v>
      </c>
      <c r="E226" t="s">
        <v>27</v>
      </c>
      <c r="F226">
        <v>26223</v>
      </c>
      <c r="G226">
        <v>16</v>
      </c>
      <c r="H226">
        <v>12</v>
      </c>
      <c r="I226">
        <v>0.15284571128726965</v>
      </c>
      <c r="J226">
        <f t="shared" si="6"/>
        <v>0.75</v>
      </c>
      <c r="K226">
        <f t="shared" si="7"/>
        <v>0.11463428346545224</v>
      </c>
    </row>
    <row r="227" spans="1:11" x14ac:dyDescent="0.25">
      <c r="A227" t="s">
        <v>10</v>
      </c>
      <c r="B227" t="s">
        <v>251</v>
      </c>
      <c r="C227" t="s">
        <v>227</v>
      </c>
      <c r="D227" t="s">
        <v>1295</v>
      </c>
      <c r="E227" t="s">
        <v>27</v>
      </c>
      <c r="F227">
        <v>26226</v>
      </c>
      <c r="G227">
        <v>310</v>
      </c>
      <c r="H227">
        <v>900</v>
      </c>
      <c r="I227">
        <v>0.11153641335847886</v>
      </c>
      <c r="J227">
        <f t="shared" si="6"/>
        <v>2.903225806451613</v>
      </c>
      <c r="K227">
        <f t="shared" si="7"/>
        <v>0.32381539362139022</v>
      </c>
    </row>
    <row r="228" spans="1:11" x14ac:dyDescent="0.25">
      <c r="A228" t="s">
        <v>10</v>
      </c>
      <c r="B228" t="s">
        <v>252</v>
      </c>
      <c r="C228" t="s">
        <v>227</v>
      </c>
      <c r="D228" t="s">
        <v>1295</v>
      </c>
      <c r="E228" t="s">
        <v>27</v>
      </c>
      <c r="F228">
        <v>26227</v>
      </c>
      <c r="G228">
        <v>237</v>
      </c>
      <c r="H228">
        <v>50</v>
      </c>
      <c r="I228">
        <v>0.52426666666666666</v>
      </c>
      <c r="J228">
        <f t="shared" si="6"/>
        <v>0.2109704641350211</v>
      </c>
      <c r="K228">
        <f t="shared" si="7"/>
        <v>0.11060478199718705</v>
      </c>
    </row>
    <row r="229" spans="1:11" x14ac:dyDescent="0.25">
      <c r="A229" t="s">
        <v>10</v>
      </c>
      <c r="B229" t="s">
        <v>253</v>
      </c>
      <c r="C229" t="s">
        <v>227</v>
      </c>
      <c r="D229" t="s">
        <v>1295</v>
      </c>
      <c r="E229" t="s">
        <v>27</v>
      </c>
      <c r="F229">
        <v>26229</v>
      </c>
      <c r="G229">
        <v>990</v>
      </c>
      <c r="H229">
        <v>250</v>
      </c>
      <c r="I229">
        <v>0.49476454293628813</v>
      </c>
      <c r="J229">
        <f t="shared" si="6"/>
        <v>0.25252525252525254</v>
      </c>
      <c r="K229">
        <f t="shared" si="7"/>
        <v>0.12494054114552731</v>
      </c>
    </row>
    <row r="230" spans="1:11" x14ac:dyDescent="0.25">
      <c r="A230" t="s">
        <v>10</v>
      </c>
      <c r="B230" t="s">
        <v>254</v>
      </c>
      <c r="C230" t="s">
        <v>227</v>
      </c>
      <c r="D230" t="s">
        <v>1295</v>
      </c>
      <c r="E230" t="s">
        <v>27</v>
      </c>
      <c r="F230">
        <v>26231</v>
      </c>
      <c r="G230">
        <v>979</v>
      </c>
      <c r="H230">
        <v>570</v>
      </c>
      <c r="I230">
        <v>0.30934299738926507</v>
      </c>
      <c r="J230">
        <f t="shared" si="6"/>
        <v>0.58222676200204293</v>
      </c>
      <c r="K230">
        <f t="shared" si="7"/>
        <v>0.18010777171795822</v>
      </c>
    </row>
    <row r="231" spans="1:11" x14ac:dyDescent="0.25">
      <c r="A231" t="s">
        <v>10</v>
      </c>
      <c r="B231" t="s">
        <v>255</v>
      </c>
      <c r="C231" t="s">
        <v>227</v>
      </c>
      <c r="D231" t="s">
        <v>1295</v>
      </c>
      <c r="E231" t="s">
        <v>27</v>
      </c>
      <c r="F231">
        <v>26233</v>
      </c>
      <c r="G231">
        <v>1844</v>
      </c>
      <c r="H231">
        <v>23</v>
      </c>
      <c r="I231">
        <v>0.12701694411414977</v>
      </c>
      <c r="J231">
        <f t="shared" si="6"/>
        <v>1.2472885032537961E-2</v>
      </c>
      <c r="K231">
        <f t="shared" si="7"/>
        <v>1.5842677411200892E-3</v>
      </c>
    </row>
    <row r="232" spans="1:11" x14ac:dyDescent="0.25">
      <c r="A232" t="s">
        <v>10</v>
      </c>
      <c r="B232" t="s">
        <v>256</v>
      </c>
      <c r="C232" t="s">
        <v>227</v>
      </c>
      <c r="D232" t="s">
        <v>1295</v>
      </c>
      <c r="E232" t="s">
        <v>27</v>
      </c>
      <c r="F232">
        <v>26234</v>
      </c>
      <c r="G232">
        <v>246</v>
      </c>
      <c r="H232">
        <v>0</v>
      </c>
      <c r="I232">
        <v>0.24218904979170797</v>
      </c>
      <c r="J232">
        <f t="shared" si="6"/>
        <v>0</v>
      </c>
      <c r="K232">
        <f t="shared" si="7"/>
        <v>0</v>
      </c>
    </row>
    <row r="233" spans="1:11" x14ac:dyDescent="0.25">
      <c r="A233" t="s">
        <v>10</v>
      </c>
      <c r="B233" t="s">
        <v>257</v>
      </c>
      <c r="C233" t="s">
        <v>227</v>
      </c>
      <c r="D233" t="s">
        <v>1295</v>
      </c>
      <c r="E233" t="s">
        <v>27</v>
      </c>
      <c r="F233">
        <v>26239</v>
      </c>
      <c r="G233">
        <v>928</v>
      </c>
      <c r="H233">
        <v>59</v>
      </c>
      <c r="I233">
        <v>0.44919586181640625</v>
      </c>
      <c r="J233">
        <f t="shared" si="6"/>
        <v>6.3577586206896547E-2</v>
      </c>
      <c r="K233">
        <f t="shared" si="7"/>
        <v>2.8558788628413757E-2</v>
      </c>
    </row>
    <row r="234" spans="1:11" x14ac:dyDescent="0.25">
      <c r="A234" t="s">
        <v>10</v>
      </c>
      <c r="B234" t="s">
        <v>258</v>
      </c>
      <c r="C234" t="s">
        <v>227</v>
      </c>
      <c r="D234" t="s">
        <v>1295</v>
      </c>
      <c r="E234" t="s">
        <v>27</v>
      </c>
      <c r="F234">
        <v>26241</v>
      </c>
      <c r="G234">
        <v>719</v>
      </c>
      <c r="H234">
        <v>1560</v>
      </c>
      <c r="I234">
        <v>0.10214766267057462</v>
      </c>
      <c r="J234">
        <f t="shared" si="6"/>
        <v>2.1696801112656465</v>
      </c>
      <c r="K234">
        <f t="shared" si="7"/>
        <v>0.22162775210861807</v>
      </c>
    </row>
    <row r="235" spans="1:11" x14ac:dyDescent="0.25">
      <c r="A235" t="s">
        <v>10</v>
      </c>
      <c r="B235" t="s">
        <v>259</v>
      </c>
      <c r="C235" t="s">
        <v>227</v>
      </c>
      <c r="D235" t="s">
        <v>1295</v>
      </c>
      <c r="E235" t="s">
        <v>27</v>
      </c>
      <c r="F235">
        <v>26243</v>
      </c>
      <c r="G235">
        <v>551</v>
      </c>
      <c r="H235">
        <v>600</v>
      </c>
      <c r="I235">
        <v>0.56749857298646744</v>
      </c>
      <c r="J235">
        <f t="shared" si="6"/>
        <v>1.0889292196007259</v>
      </c>
      <c r="K235">
        <f t="shared" si="7"/>
        <v>0.61796577820667953</v>
      </c>
    </row>
    <row r="236" spans="1:11" x14ac:dyDescent="0.25">
      <c r="A236" t="s">
        <v>10</v>
      </c>
      <c r="B236" t="s">
        <v>260</v>
      </c>
      <c r="C236" t="s">
        <v>227</v>
      </c>
      <c r="D236" t="s">
        <v>1295</v>
      </c>
      <c r="E236" t="s">
        <v>27</v>
      </c>
      <c r="F236">
        <v>26244</v>
      </c>
      <c r="G236">
        <v>629</v>
      </c>
      <c r="H236">
        <v>35</v>
      </c>
      <c r="I236">
        <v>0.12243596418159086</v>
      </c>
      <c r="J236">
        <f t="shared" si="6"/>
        <v>5.5643879173290937E-2</v>
      </c>
      <c r="K236">
        <f t="shared" si="7"/>
        <v>6.8128119973858191E-3</v>
      </c>
    </row>
    <row r="237" spans="1:11" x14ac:dyDescent="0.25">
      <c r="A237" t="s">
        <v>10</v>
      </c>
      <c r="B237" t="s">
        <v>261</v>
      </c>
      <c r="C237" t="s">
        <v>227</v>
      </c>
      <c r="D237" t="s">
        <v>1295</v>
      </c>
      <c r="E237" t="s">
        <v>27</v>
      </c>
      <c r="F237">
        <v>26246</v>
      </c>
      <c r="G237">
        <v>843</v>
      </c>
      <c r="H237">
        <v>9</v>
      </c>
      <c r="I237">
        <v>0.12628864944317497</v>
      </c>
      <c r="J237">
        <f t="shared" si="6"/>
        <v>1.0676156583629894E-2</v>
      </c>
      <c r="K237">
        <f t="shared" si="7"/>
        <v>1.3482773961904801E-3</v>
      </c>
    </row>
    <row r="238" spans="1:11" x14ac:dyDescent="0.25">
      <c r="A238" t="s">
        <v>10</v>
      </c>
      <c r="B238" t="s">
        <v>262</v>
      </c>
      <c r="C238" t="s">
        <v>227</v>
      </c>
      <c r="D238" t="s">
        <v>1295</v>
      </c>
      <c r="E238" t="s">
        <v>27</v>
      </c>
      <c r="F238">
        <v>26247</v>
      </c>
      <c r="G238">
        <v>362</v>
      </c>
      <c r="H238">
        <v>0</v>
      </c>
      <c r="I238">
        <v>7.9053827720374281E-2</v>
      </c>
      <c r="J238">
        <f t="shared" si="6"/>
        <v>0</v>
      </c>
      <c r="K238">
        <f t="shared" si="7"/>
        <v>0</v>
      </c>
    </row>
    <row r="239" spans="1:11" x14ac:dyDescent="0.25">
      <c r="A239" t="s">
        <v>10</v>
      </c>
      <c r="B239" t="s">
        <v>263</v>
      </c>
      <c r="C239" t="s">
        <v>227</v>
      </c>
      <c r="D239" t="s">
        <v>1295</v>
      </c>
      <c r="E239" t="s">
        <v>27</v>
      </c>
      <c r="F239">
        <v>26249</v>
      </c>
      <c r="G239">
        <v>276</v>
      </c>
      <c r="H239">
        <v>8</v>
      </c>
      <c r="I239">
        <v>0.10099496862456903</v>
      </c>
      <c r="J239">
        <f t="shared" si="6"/>
        <v>2.8985507246376812E-2</v>
      </c>
      <c r="K239">
        <f t="shared" si="7"/>
        <v>2.9273903949150444E-3</v>
      </c>
    </row>
    <row r="240" spans="1:11" x14ac:dyDescent="0.25">
      <c r="A240" t="s">
        <v>10</v>
      </c>
      <c r="B240" t="s">
        <v>264</v>
      </c>
      <c r="C240" t="s">
        <v>227</v>
      </c>
      <c r="D240" t="s">
        <v>1295</v>
      </c>
      <c r="E240" t="s">
        <v>27</v>
      </c>
      <c r="F240">
        <v>26251</v>
      </c>
      <c r="G240">
        <v>560</v>
      </c>
      <c r="H240">
        <v>0</v>
      </c>
      <c r="I240">
        <v>0.1400450298796394</v>
      </c>
      <c r="J240">
        <f t="shared" si="6"/>
        <v>0</v>
      </c>
      <c r="K240">
        <f t="shared" si="7"/>
        <v>0</v>
      </c>
    </row>
    <row r="241" spans="1:11" x14ac:dyDescent="0.25">
      <c r="A241" t="s">
        <v>10</v>
      </c>
      <c r="B241" t="s">
        <v>265</v>
      </c>
      <c r="C241" t="s">
        <v>227</v>
      </c>
      <c r="D241" t="s">
        <v>1295</v>
      </c>
      <c r="E241" t="s">
        <v>27</v>
      </c>
      <c r="F241">
        <v>26256</v>
      </c>
      <c r="G241">
        <v>986</v>
      </c>
      <c r="H241">
        <v>35</v>
      </c>
      <c r="I241">
        <v>8.9518698060941926E-2</v>
      </c>
      <c r="J241">
        <f t="shared" si="6"/>
        <v>3.5496957403651115E-2</v>
      </c>
      <c r="K241">
        <f t="shared" si="7"/>
        <v>3.177641411899561E-3</v>
      </c>
    </row>
    <row r="242" spans="1:11" x14ac:dyDescent="0.25">
      <c r="A242" t="s">
        <v>10</v>
      </c>
      <c r="B242" t="s">
        <v>266</v>
      </c>
      <c r="C242" t="s">
        <v>227</v>
      </c>
      <c r="D242" t="s">
        <v>1295</v>
      </c>
      <c r="E242" t="s">
        <v>27</v>
      </c>
      <c r="F242">
        <v>26257</v>
      </c>
      <c r="G242">
        <v>594</v>
      </c>
      <c r="H242">
        <v>0</v>
      </c>
      <c r="I242">
        <v>0.15307469014564079</v>
      </c>
      <c r="J242">
        <f t="shared" si="6"/>
        <v>0</v>
      </c>
      <c r="K242">
        <f t="shared" si="7"/>
        <v>0</v>
      </c>
    </row>
    <row r="243" spans="1:11" x14ac:dyDescent="0.25">
      <c r="A243" t="s">
        <v>10</v>
      </c>
      <c r="B243" t="s">
        <v>267</v>
      </c>
      <c r="C243" t="s">
        <v>227</v>
      </c>
      <c r="D243" t="s">
        <v>1295</v>
      </c>
      <c r="E243" t="s">
        <v>27</v>
      </c>
      <c r="F243">
        <v>26259</v>
      </c>
      <c r="G243">
        <v>253</v>
      </c>
      <c r="H243">
        <v>0</v>
      </c>
      <c r="I243">
        <v>6.307205504470248E-2</v>
      </c>
      <c r="J243">
        <f t="shared" si="6"/>
        <v>0</v>
      </c>
      <c r="K243">
        <f t="shared" si="7"/>
        <v>0</v>
      </c>
    </row>
    <row r="244" spans="1:11" x14ac:dyDescent="0.25">
      <c r="A244" t="s">
        <v>10</v>
      </c>
      <c r="B244" t="s">
        <v>268</v>
      </c>
      <c r="C244" t="s">
        <v>227</v>
      </c>
      <c r="D244" t="s">
        <v>1295</v>
      </c>
      <c r="E244" t="s">
        <v>27</v>
      </c>
      <c r="F244">
        <v>26261</v>
      </c>
      <c r="G244">
        <v>111</v>
      </c>
      <c r="H244">
        <v>0</v>
      </c>
      <c r="I244">
        <v>7.7223481985386755E-2</v>
      </c>
      <c r="J244">
        <f t="shared" si="6"/>
        <v>0</v>
      </c>
      <c r="K244">
        <f t="shared" si="7"/>
        <v>0</v>
      </c>
    </row>
    <row r="245" spans="1:11" x14ac:dyDescent="0.25">
      <c r="A245" t="s">
        <v>10</v>
      </c>
      <c r="B245" t="s">
        <v>269</v>
      </c>
      <c r="C245" t="s">
        <v>227</v>
      </c>
      <c r="D245" t="s">
        <v>1295</v>
      </c>
      <c r="E245" t="s">
        <v>27</v>
      </c>
      <c r="F245">
        <v>26263</v>
      </c>
      <c r="G245">
        <v>133</v>
      </c>
      <c r="H245">
        <v>0</v>
      </c>
      <c r="I245">
        <v>0.12553375735316064</v>
      </c>
      <c r="J245">
        <f t="shared" si="6"/>
        <v>0</v>
      </c>
      <c r="K245">
        <f t="shared" si="7"/>
        <v>0</v>
      </c>
    </row>
    <row r="246" spans="1:11" x14ac:dyDescent="0.25">
      <c r="A246" t="s">
        <v>10</v>
      </c>
      <c r="B246" t="s">
        <v>270</v>
      </c>
      <c r="C246" t="s">
        <v>227</v>
      </c>
      <c r="D246" t="s">
        <v>1295</v>
      </c>
      <c r="E246" t="s">
        <v>27</v>
      </c>
      <c r="F246">
        <v>26266</v>
      </c>
      <c r="G246">
        <v>844</v>
      </c>
      <c r="H246">
        <v>230</v>
      </c>
      <c r="I246">
        <v>0.13367494164643523</v>
      </c>
      <c r="J246">
        <f t="shared" si="6"/>
        <v>0.27251184834123221</v>
      </c>
      <c r="K246">
        <f t="shared" si="7"/>
        <v>3.6428005424976422E-2</v>
      </c>
    </row>
    <row r="247" spans="1:11" x14ac:dyDescent="0.25">
      <c r="A247" t="s">
        <v>10</v>
      </c>
      <c r="B247" t="s">
        <v>271</v>
      </c>
      <c r="C247" t="s">
        <v>227</v>
      </c>
      <c r="D247" t="s">
        <v>1295</v>
      </c>
      <c r="E247" t="s">
        <v>27</v>
      </c>
      <c r="F247">
        <v>26267</v>
      </c>
      <c r="G247">
        <v>888</v>
      </c>
      <c r="H247">
        <v>0</v>
      </c>
      <c r="I247">
        <v>0.10314735724020341</v>
      </c>
      <c r="J247">
        <f t="shared" si="6"/>
        <v>0</v>
      </c>
      <c r="K247">
        <f t="shared" si="7"/>
        <v>0</v>
      </c>
    </row>
    <row r="248" spans="1:11" x14ac:dyDescent="0.25">
      <c r="A248" t="s">
        <v>10</v>
      </c>
      <c r="B248" t="s">
        <v>272</v>
      </c>
      <c r="C248" t="s">
        <v>227</v>
      </c>
      <c r="D248" t="s">
        <v>1295</v>
      </c>
      <c r="E248" t="s">
        <v>27</v>
      </c>
      <c r="F248">
        <v>26269</v>
      </c>
      <c r="G248">
        <v>657</v>
      </c>
      <c r="H248">
        <v>23</v>
      </c>
      <c r="I248">
        <v>0.11087211088872095</v>
      </c>
      <c r="J248">
        <f t="shared" si="6"/>
        <v>3.5007610350076102E-2</v>
      </c>
      <c r="K248">
        <f t="shared" si="7"/>
        <v>3.881367656682773E-3</v>
      </c>
    </row>
    <row r="249" spans="1:11" x14ac:dyDescent="0.25">
      <c r="A249" t="s">
        <v>10</v>
      </c>
      <c r="B249" t="s">
        <v>273</v>
      </c>
      <c r="C249" t="s">
        <v>227</v>
      </c>
      <c r="D249" t="s">
        <v>1295</v>
      </c>
      <c r="E249" t="s">
        <v>27</v>
      </c>
      <c r="F249">
        <v>26271</v>
      </c>
      <c r="G249">
        <v>177</v>
      </c>
      <c r="H249">
        <v>6</v>
      </c>
      <c r="I249">
        <v>0.15499273151655402</v>
      </c>
      <c r="J249">
        <f t="shared" si="6"/>
        <v>3.3898305084745763E-2</v>
      </c>
      <c r="K249">
        <f t="shared" si="7"/>
        <v>5.2539908988662376E-3</v>
      </c>
    </row>
    <row r="250" spans="1:11" x14ac:dyDescent="0.25">
      <c r="A250" t="s">
        <v>10</v>
      </c>
      <c r="B250" t="s">
        <v>274</v>
      </c>
      <c r="C250" t="s">
        <v>227</v>
      </c>
      <c r="D250" t="s">
        <v>1295</v>
      </c>
      <c r="E250" t="s">
        <v>27</v>
      </c>
      <c r="F250">
        <v>26273</v>
      </c>
      <c r="G250">
        <v>413</v>
      </c>
      <c r="H250">
        <v>0</v>
      </c>
      <c r="I250">
        <v>0.15008218277449048</v>
      </c>
      <c r="J250">
        <f t="shared" si="6"/>
        <v>0</v>
      </c>
      <c r="K250">
        <f t="shared" si="7"/>
        <v>0</v>
      </c>
    </row>
    <row r="251" spans="1:11" x14ac:dyDescent="0.25">
      <c r="A251" t="s">
        <v>10</v>
      </c>
      <c r="B251" t="s">
        <v>275</v>
      </c>
      <c r="C251" t="s">
        <v>92</v>
      </c>
      <c r="D251" t="s">
        <v>1332</v>
      </c>
      <c r="E251" t="s">
        <v>93</v>
      </c>
      <c r="F251">
        <v>63267</v>
      </c>
      <c r="G251">
        <v>447</v>
      </c>
      <c r="H251">
        <v>729</v>
      </c>
      <c r="I251">
        <v>0.15008218277449048</v>
      </c>
      <c r="J251">
        <f t="shared" si="6"/>
        <v>1.6308724832214765</v>
      </c>
      <c r="K251">
        <f t="shared" si="7"/>
        <v>0.24476490210873281</v>
      </c>
    </row>
    <row r="252" spans="1:11" x14ac:dyDescent="0.25">
      <c r="A252" t="s">
        <v>10</v>
      </c>
      <c r="B252" t="s">
        <v>276</v>
      </c>
      <c r="C252" t="s">
        <v>227</v>
      </c>
      <c r="D252" t="s">
        <v>1295</v>
      </c>
      <c r="E252" t="s">
        <v>27</v>
      </c>
      <c r="F252">
        <v>26274</v>
      </c>
      <c r="G252">
        <v>81</v>
      </c>
      <c r="H252">
        <v>10</v>
      </c>
      <c r="I252">
        <v>0.18510935589667954</v>
      </c>
      <c r="J252">
        <f t="shared" si="6"/>
        <v>0.12345679012345678</v>
      </c>
      <c r="K252">
        <f t="shared" si="7"/>
        <v>2.2853006900824632E-2</v>
      </c>
    </row>
    <row r="253" spans="1:11" x14ac:dyDescent="0.25">
      <c r="A253" t="s">
        <v>10</v>
      </c>
      <c r="B253" t="s">
        <v>277</v>
      </c>
      <c r="C253" t="s">
        <v>227</v>
      </c>
      <c r="D253" t="s">
        <v>1295</v>
      </c>
      <c r="E253" t="s">
        <v>27</v>
      </c>
      <c r="F253">
        <v>26276</v>
      </c>
      <c r="G253">
        <v>882</v>
      </c>
      <c r="H253">
        <v>29</v>
      </c>
      <c r="I253">
        <v>0.18362321844267715</v>
      </c>
      <c r="J253">
        <f t="shared" si="6"/>
        <v>3.2879818594104306E-2</v>
      </c>
      <c r="K253">
        <f t="shared" si="7"/>
        <v>6.0374981120608125E-3</v>
      </c>
    </row>
    <row r="254" spans="1:11" x14ac:dyDescent="0.25">
      <c r="A254" t="s">
        <v>10</v>
      </c>
      <c r="B254" t="s">
        <v>278</v>
      </c>
      <c r="C254" t="s">
        <v>227</v>
      </c>
      <c r="D254" t="s">
        <v>1295</v>
      </c>
      <c r="E254" t="s">
        <v>27</v>
      </c>
      <c r="F254">
        <v>26277</v>
      </c>
      <c r="G254">
        <v>639</v>
      </c>
      <c r="H254">
        <v>33</v>
      </c>
      <c r="I254">
        <v>0.17958862852241075</v>
      </c>
      <c r="J254">
        <f t="shared" si="6"/>
        <v>5.1643192488262914E-2</v>
      </c>
      <c r="K254">
        <f t="shared" si="7"/>
        <v>9.2745301114860023E-3</v>
      </c>
    </row>
    <row r="255" spans="1:11" x14ac:dyDescent="0.25">
      <c r="A255" t="s">
        <v>10</v>
      </c>
      <c r="B255" t="s">
        <v>279</v>
      </c>
      <c r="C255" t="s">
        <v>227</v>
      </c>
      <c r="D255" t="s">
        <v>1295</v>
      </c>
      <c r="E255" t="s">
        <v>27</v>
      </c>
      <c r="F255">
        <v>26279</v>
      </c>
      <c r="G255">
        <v>778</v>
      </c>
      <c r="H255">
        <v>68</v>
      </c>
      <c r="I255">
        <v>0.15885725946332008</v>
      </c>
      <c r="J255">
        <f t="shared" si="6"/>
        <v>8.7403598971722368E-2</v>
      </c>
      <c r="K255">
        <f t="shared" si="7"/>
        <v>1.3884696199878876E-2</v>
      </c>
    </row>
    <row r="256" spans="1:11" x14ac:dyDescent="0.25">
      <c r="A256" t="s">
        <v>10</v>
      </c>
      <c r="B256" t="s">
        <v>280</v>
      </c>
      <c r="C256" t="s">
        <v>227</v>
      </c>
      <c r="D256" t="s">
        <v>1295</v>
      </c>
      <c r="E256" t="s">
        <v>27</v>
      </c>
      <c r="F256">
        <v>26281</v>
      </c>
      <c r="G256">
        <v>540</v>
      </c>
      <c r="H256">
        <v>52</v>
      </c>
      <c r="I256">
        <v>0.22642929730136618</v>
      </c>
      <c r="J256">
        <f t="shared" si="6"/>
        <v>9.6296296296296297E-2</v>
      </c>
      <c r="K256">
        <f t="shared" si="7"/>
        <v>2.1804302703094521E-2</v>
      </c>
    </row>
    <row r="257" spans="1:11" x14ac:dyDescent="0.25">
      <c r="A257" t="s">
        <v>10</v>
      </c>
      <c r="B257" t="s">
        <v>281</v>
      </c>
      <c r="C257" t="s">
        <v>227</v>
      </c>
      <c r="D257" t="s">
        <v>1295</v>
      </c>
      <c r="E257" t="s">
        <v>27</v>
      </c>
      <c r="F257">
        <v>26286</v>
      </c>
      <c r="G257">
        <v>1475</v>
      </c>
      <c r="H257">
        <v>67</v>
      </c>
      <c r="I257">
        <v>7.4242179702965427E-2</v>
      </c>
      <c r="J257">
        <f t="shared" si="6"/>
        <v>4.5423728813559321E-2</v>
      </c>
      <c r="K257">
        <f t="shared" si="7"/>
        <v>3.3723566373550398E-3</v>
      </c>
    </row>
    <row r="258" spans="1:11" x14ac:dyDescent="0.25">
      <c r="A258" t="s">
        <v>10</v>
      </c>
      <c r="B258" t="s">
        <v>282</v>
      </c>
      <c r="C258" t="s">
        <v>227</v>
      </c>
      <c r="D258" t="s">
        <v>1295</v>
      </c>
      <c r="E258" t="s">
        <v>27</v>
      </c>
      <c r="F258">
        <v>26287</v>
      </c>
      <c r="G258">
        <v>768</v>
      </c>
      <c r="H258">
        <v>0</v>
      </c>
      <c r="I258">
        <v>8.7374086889657754E-2</v>
      </c>
      <c r="J258">
        <f t="shared" si="6"/>
        <v>0</v>
      </c>
      <c r="K258">
        <f t="shared" si="7"/>
        <v>0</v>
      </c>
    </row>
    <row r="259" spans="1:11" x14ac:dyDescent="0.25">
      <c r="A259" t="s">
        <v>10</v>
      </c>
      <c r="B259" t="s">
        <v>283</v>
      </c>
      <c r="C259" t="s">
        <v>227</v>
      </c>
      <c r="D259" t="s">
        <v>1295</v>
      </c>
      <c r="E259" t="s">
        <v>27</v>
      </c>
      <c r="F259">
        <v>26289</v>
      </c>
      <c r="G259">
        <v>188</v>
      </c>
      <c r="H259">
        <v>0</v>
      </c>
      <c r="I259">
        <v>0.17065147739409048</v>
      </c>
      <c r="J259">
        <f t="shared" ref="J259:J322" si="8">IF(G259=0,0,H259/G259)</f>
        <v>0</v>
      </c>
      <c r="K259">
        <f t="shared" ref="K259:K322" si="9">J259*I259</f>
        <v>0</v>
      </c>
    </row>
    <row r="260" spans="1:11" x14ac:dyDescent="0.25">
      <c r="A260" t="s">
        <v>10</v>
      </c>
      <c r="B260" t="s">
        <v>284</v>
      </c>
      <c r="C260" t="s">
        <v>227</v>
      </c>
      <c r="D260" t="s">
        <v>1295</v>
      </c>
      <c r="E260" t="s">
        <v>27</v>
      </c>
      <c r="F260">
        <v>26291</v>
      </c>
      <c r="G260">
        <v>711</v>
      </c>
      <c r="H260">
        <v>4</v>
      </c>
      <c r="I260">
        <v>0.27315689981096403</v>
      </c>
      <c r="J260">
        <f t="shared" si="8"/>
        <v>5.6258790436005627E-3</v>
      </c>
      <c r="K260">
        <f t="shared" si="9"/>
        <v>1.536747678261401E-3</v>
      </c>
    </row>
    <row r="261" spans="1:11" x14ac:dyDescent="0.25">
      <c r="A261" t="s">
        <v>10</v>
      </c>
      <c r="B261" t="s">
        <v>285</v>
      </c>
      <c r="C261" t="s">
        <v>227</v>
      </c>
      <c r="D261" t="s">
        <v>1295</v>
      </c>
      <c r="E261" t="s">
        <v>27</v>
      </c>
      <c r="F261">
        <v>26293</v>
      </c>
      <c r="G261">
        <v>592</v>
      </c>
      <c r="H261">
        <v>0</v>
      </c>
      <c r="I261">
        <v>0.11479501417769389</v>
      </c>
      <c r="J261">
        <f t="shared" si="8"/>
        <v>0</v>
      </c>
      <c r="K261">
        <f t="shared" si="9"/>
        <v>0</v>
      </c>
    </row>
    <row r="262" spans="1:11" x14ac:dyDescent="0.25">
      <c r="A262" t="s">
        <v>10</v>
      </c>
      <c r="B262" t="s">
        <v>286</v>
      </c>
      <c r="C262" t="s">
        <v>227</v>
      </c>
      <c r="D262" t="s">
        <v>1295</v>
      </c>
      <c r="E262" t="s">
        <v>27</v>
      </c>
      <c r="F262">
        <v>26294</v>
      </c>
      <c r="G262">
        <v>448</v>
      </c>
      <c r="H262">
        <v>5</v>
      </c>
      <c r="I262">
        <v>0.40103660511823791</v>
      </c>
      <c r="J262">
        <f t="shared" si="8"/>
        <v>1.1160714285714286E-2</v>
      </c>
      <c r="K262">
        <f t="shared" si="9"/>
        <v>4.4758549678374764E-3</v>
      </c>
    </row>
    <row r="263" spans="1:11" x14ac:dyDescent="0.25">
      <c r="A263" t="s">
        <v>10</v>
      </c>
      <c r="B263" t="s">
        <v>287</v>
      </c>
      <c r="C263" t="s">
        <v>227</v>
      </c>
      <c r="D263" t="s">
        <v>1295</v>
      </c>
      <c r="E263" t="s">
        <v>27</v>
      </c>
      <c r="F263">
        <v>26295</v>
      </c>
      <c r="G263">
        <v>724</v>
      </c>
      <c r="H263">
        <v>35</v>
      </c>
      <c r="I263">
        <v>0.49203453186187263</v>
      </c>
      <c r="J263">
        <f t="shared" si="8"/>
        <v>4.834254143646409E-2</v>
      </c>
      <c r="K263">
        <f t="shared" si="9"/>
        <v>2.3786199744703789E-2</v>
      </c>
    </row>
    <row r="264" spans="1:11" x14ac:dyDescent="0.25">
      <c r="A264" t="s">
        <v>10</v>
      </c>
      <c r="B264" t="s">
        <v>288</v>
      </c>
      <c r="C264" t="s">
        <v>227</v>
      </c>
      <c r="D264" t="s">
        <v>1295</v>
      </c>
      <c r="E264" t="s">
        <v>27</v>
      </c>
      <c r="F264">
        <v>26296</v>
      </c>
      <c r="G264">
        <v>267</v>
      </c>
      <c r="H264">
        <v>0</v>
      </c>
      <c r="I264">
        <v>0.13388734995383178</v>
      </c>
      <c r="J264">
        <f t="shared" si="8"/>
        <v>0</v>
      </c>
      <c r="K264">
        <f t="shared" si="9"/>
        <v>0</v>
      </c>
    </row>
    <row r="265" spans="1:11" x14ac:dyDescent="0.25">
      <c r="A265" t="s">
        <v>10</v>
      </c>
      <c r="B265" t="s">
        <v>289</v>
      </c>
      <c r="C265" t="s">
        <v>227</v>
      </c>
      <c r="D265" t="s">
        <v>1295</v>
      </c>
      <c r="E265" t="s">
        <v>27</v>
      </c>
      <c r="F265">
        <v>26297</v>
      </c>
      <c r="G265">
        <v>121</v>
      </c>
      <c r="H265">
        <v>0</v>
      </c>
      <c r="I265">
        <v>0.34129593103952094</v>
      </c>
      <c r="J265">
        <f t="shared" si="8"/>
        <v>0</v>
      </c>
      <c r="K265">
        <f t="shared" si="9"/>
        <v>0</v>
      </c>
    </row>
    <row r="266" spans="1:11" x14ac:dyDescent="0.25">
      <c r="A266" t="s">
        <v>10</v>
      </c>
      <c r="B266" t="s">
        <v>290</v>
      </c>
      <c r="C266" t="s">
        <v>227</v>
      </c>
      <c r="D266" t="s">
        <v>1295</v>
      </c>
      <c r="E266" t="s">
        <v>27</v>
      </c>
      <c r="F266">
        <v>26298</v>
      </c>
      <c r="G266">
        <v>679</v>
      </c>
      <c r="H266">
        <v>36</v>
      </c>
      <c r="I266">
        <v>0.13464649685289498</v>
      </c>
      <c r="J266">
        <f t="shared" si="8"/>
        <v>5.3019145802650956E-2</v>
      </c>
      <c r="K266">
        <f t="shared" si="9"/>
        <v>7.1388422484598224E-3</v>
      </c>
    </row>
    <row r="267" spans="1:11" x14ac:dyDescent="0.25">
      <c r="A267" t="s">
        <v>10</v>
      </c>
      <c r="B267" t="s">
        <v>291</v>
      </c>
      <c r="C267" t="s">
        <v>227</v>
      </c>
      <c r="D267" t="s">
        <v>1295</v>
      </c>
      <c r="E267" t="s">
        <v>27</v>
      </c>
      <c r="F267">
        <v>26299</v>
      </c>
      <c r="G267">
        <v>234</v>
      </c>
      <c r="H267">
        <v>225</v>
      </c>
      <c r="I267">
        <v>0.10822356710573178</v>
      </c>
      <c r="J267">
        <f t="shared" si="8"/>
        <v>0.96153846153846156</v>
      </c>
      <c r="K267">
        <f t="shared" si="9"/>
        <v>0.10406112221704979</v>
      </c>
    </row>
    <row r="268" spans="1:11" x14ac:dyDescent="0.25">
      <c r="A268" t="s">
        <v>10</v>
      </c>
      <c r="B268" t="s">
        <v>292</v>
      </c>
      <c r="C268" t="s">
        <v>227</v>
      </c>
      <c r="D268" t="s">
        <v>1295</v>
      </c>
      <c r="E268" t="s">
        <v>27</v>
      </c>
      <c r="F268">
        <v>26311</v>
      </c>
      <c r="G268">
        <v>3602</v>
      </c>
      <c r="H268">
        <v>155</v>
      </c>
      <c r="I268">
        <v>0.21171438249415908</v>
      </c>
      <c r="J268">
        <f t="shared" si="8"/>
        <v>4.3031649083842313E-2</v>
      </c>
      <c r="K268">
        <f t="shared" si="9"/>
        <v>9.1104190134910223E-3</v>
      </c>
    </row>
    <row r="269" spans="1:11" x14ac:dyDescent="0.25">
      <c r="A269" t="s">
        <v>10</v>
      </c>
      <c r="B269" t="s">
        <v>293</v>
      </c>
      <c r="C269" t="s">
        <v>227</v>
      </c>
      <c r="D269" t="s">
        <v>1295</v>
      </c>
      <c r="E269" t="s">
        <v>27</v>
      </c>
      <c r="F269">
        <v>26317</v>
      </c>
      <c r="G269">
        <v>46</v>
      </c>
      <c r="H269">
        <v>1575</v>
      </c>
      <c r="I269">
        <v>0.15271449096357648</v>
      </c>
      <c r="J269">
        <f t="shared" si="8"/>
        <v>34.239130434782609</v>
      </c>
      <c r="K269">
        <f t="shared" si="9"/>
        <v>5.2288113753833247</v>
      </c>
    </row>
    <row r="270" spans="1:11" x14ac:dyDescent="0.25">
      <c r="A270" t="s">
        <v>10</v>
      </c>
      <c r="B270" t="s">
        <v>294</v>
      </c>
      <c r="C270" t="s">
        <v>227</v>
      </c>
      <c r="D270" t="s">
        <v>1295</v>
      </c>
      <c r="E270" t="s">
        <v>27</v>
      </c>
      <c r="F270">
        <v>26321</v>
      </c>
      <c r="G270">
        <v>1874</v>
      </c>
      <c r="H270">
        <v>170</v>
      </c>
      <c r="I270">
        <v>0.56833670825440374</v>
      </c>
      <c r="J270">
        <f t="shared" si="8"/>
        <v>9.0715048025613657E-2</v>
      </c>
      <c r="K270">
        <f t="shared" si="9"/>
        <v>5.1556691784017415E-2</v>
      </c>
    </row>
    <row r="271" spans="1:11" x14ac:dyDescent="0.25">
      <c r="A271" t="s">
        <v>10</v>
      </c>
      <c r="B271" t="s">
        <v>295</v>
      </c>
      <c r="C271" t="s">
        <v>227</v>
      </c>
      <c r="D271" t="s">
        <v>1295</v>
      </c>
      <c r="E271" t="s">
        <v>27</v>
      </c>
      <c r="F271">
        <v>26327</v>
      </c>
      <c r="G271">
        <v>93</v>
      </c>
      <c r="H271">
        <v>264</v>
      </c>
      <c r="I271">
        <v>0.27754014557535944</v>
      </c>
      <c r="J271">
        <f t="shared" si="8"/>
        <v>2.838709677419355</v>
      </c>
      <c r="K271">
        <f t="shared" si="9"/>
        <v>0.78785589711714943</v>
      </c>
    </row>
    <row r="272" spans="1:11" x14ac:dyDescent="0.25">
      <c r="A272" t="s">
        <v>10</v>
      </c>
      <c r="B272" t="s">
        <v>296</v>
      </c>
      <c r="C272" t="s">
        <v>227</v>
      </c>
      <c r="D272" t="s">
        <v>1295</v>
      </c>
      <c r="E272" t="s">
        <v>27</v>
      </c>
      <c r="F272">
        <v>26331</v>
      </c>
      <c r="G272">
        <v>334</v>
      </c>
      <c r="H272">
        <v>4500</v>
      </c>
      <c r="I272">
        <v>0.18309751673198593</v>
      </c>
      <c r="J272">
        <f t="shared" si="8"/>
        <v>13.473053892215569</v>
      </c>
      <c r="K272">
        <f t="shared" si="9"/>
        <v>2.4668827104608884</v>
      </c>
    </row>
    <row r="273" spans="1:11" x14ac:dyDescent="0.25">
      <c r="A273" t="s">
        <v>10</v>
      </c>
      <c r="B273" t="s">
        <v>297</v>
      </c>
      <c r="C273" t="s">
        <v>227</v>
      </c>
      <c r="D273" t="s">
        <v>1295</v>
      </c>
      <c r="E273" t="s">
        <v>27</v>
      </c>
      <c r="F273">
        <v>26334</v>
      </c>
      <c r="G273">
        <v>3</v>
      </c>
      <c r="H273">
        <v>25</v>
      </c>
      <c r="I273">
        <v>0.12053078221175428</v>
      </c>
      <c r="J273">
        <f t="shared" si="8"/>
        <v>8.3333333333333339</v>
      </c>
      <c r="K273">
        <f t="shared" si="9"/>
        <v>1.0044231850979524</v>
      </c>
    </row>
    <row r="274" spans="1:11" x14ac:dyDescent="0.25">
      <c r="A274" t="s">
        <v>10</v>
      </c>
      <c r="B274" t="s">
        <v>298</v>
      </c>
      <c r="C274" t="s">
        <v>227</v>
      </c>
      <c r="D274" t="s">
        <v>1295</v>
      </c>
      <c r="E274" t="s">
        <v>27</v>
      </c>
      <c r="F274">
        <v>26337</v>
      </c>
      <c r="G274">
        <v>212</v>
      </c>
      <c r="H274">
        <v>0</v>
      </c>
      <c r="I274">
        <v>0.12810264948287353</v>
      </c>
      <c r="J274">
        <f t="shared" si="8"/>
        <v>0</v>
      </c>
      <c r="K274">
        <f t="shared" si="9"/>
        <v>0</v>
      </c>
    </row>
    <row r="275" spans="1:11" x14ac:dyDescent="0.25">
      <c r="A275" t="s">
        <v>10</v>
      </c>
      <c r="B275" t="s">
        <v>299</v>
      </c>
      <c r="C275" t="s">
        <v>227</v>
      </c>
      <c r="D275" t="s">
        <v>1295</v>
      </c>
      <c r="E275" t="s">
        <v>27</v>
      </c>
      <c r="F275">
        <v>26341</v>
      </c>
      <c r="G275">
        <v>998</v>
      </c>
      <c r="H275">
        <v>125</v>
      </c>
      <c r="I275">
        <v>0.55548415634503057</v>
      </c>
      <c r="J275">
        <f t="shared" si="8"/>
        <v>0.12525050100200399</v>
      </c>
      <c r="K275">
        <f t="shared" si="9"/>
        <v>6.9574668880890589E-2</v>
      </c>
    </row>
    <row r="276" spans="1:11" x14ac:dyDescent="0.25">
      <c r="A276" t="s">
        <v>10</v>
      </c>
      <c r="B276" t="s">
        <v>300</v>
      </c>
      <c r="C276" t="s">
        <v>227</v>
      </c>
      <c r="D276" t="s">
        <v>1295</v>
      </c>
      <c r="E276" t="s">
        <v>27</v>
      </c>
      <c r="F276">
        <v>26347</v>
      </c>
      <c r="G276">
        <v>75</v>
      </c>
      <c r="H276">
        <v>0</v>
      </c>
      <c r="I276">
        <v>0.19438934802571151</v>
      </c>
      <c r="J276">
        <f t="shared" si="8"/>
        <v>0</v>
      </c>
      <c r="K276">
        <f t="shared" si="9"/>
        <v>0</v>
      </c>
    </row>
    <row r="277" spans="1:11" x14ac:dyDescent="0.25">
      <c r="A277" t="s">
        <v>10</v>
      </c>
      <c r="B277" t="s">
        <v>301</v>
      </c>
      <c r="C277" t="s">
        <v>302</v>
      </c>
      <c r="D277" t="s">
        <v>1269</v>
      </c>
      <c r="E277" t="s">
        <v>93</v>
      </c>
      <c r="F277">
        <v>62219</v>
      </c>
      <c r="G277">
        <v>1129</v>
      </c>
      <c r="H277">
        <v>0</v>
      </c>
      <c r="I277">
        <v>3.5344668352284003E-2</v>
      </c>
      <c r="J277">
        <f t="shared" si="8"/>
        <v>0</v>
      </c>
      <c r="K277">
        <f t="shared" si="9"/>
        <v>0</v>
      </c>
    </row>
    <row r="278" spans="1:11" x14ac:dyDescent="0.25">
      <c r="A278" t="s">
        <v>10</v>
      </c>
      <c r="B278" t="s">
        <v>303</v>
      </c>
      <c r="C278" t="s">
        <v>227</v>
      </c>
      <c r="D278" t="s">
        <v>1295</v>
      </c>
      <c r="E278" t="s">
        <v>27</v>
      </c>
      <c r="F278">
        <v>26351</v>
      </c>
      <c r="G278">
        <v>161</v>
      </c>
      <c r="H278">
        <v>50</v>
      </c>
      <c r="I278">
        <v>4.9971187900213043E-2</v>
      </c>
      <c r="J278">
        <f t="shared" si="8"/>
        <v>0.3105590062111801</v>
      </c>
      <c r="K278">
        <f t="shared" si="9"/>
        <v>1.5519002453482309E-2</v>
      </c>
    </row>
    <row r="279" spans="1:11" x14ac:dyDescent="0.25">
      <c r="A279" t="s">
        <v>10</v>
      </c>
      <c r="B279" t="s">
        <v>304</v>
      </c>
      <c r="C279" t="s">
        <v>227</v>
      </c>
      <c r="D279" t="s">
        <v>1295</v>
      </c>
      <c r="E279" t="s">
        <v>27</v>
      </c>
      <c r="F279">
        <v>26357</v>
      </c>
      <c r="G279">
        <v>566</v>
      </c>
      <c r="H279">
        <v>30</v>
      </c>
      <c r="I279">
        <v>0.29045049392305933</v>
      </c>
      <c r="J279">
        <f t="shared" si="8"/>
        <v>5.3003533568904596E-2</v>
      </c>
      <c r="K279">
        <f t="shared" si="9"/>
        <v>1.5394902504755795E-2</v>
      </c>
    </row>
    <row r="280" spans="1:11" x14ac:dyDescent="0.25">
      <c r="A280" t="s">
        <v>10</v>
      </c>
      <c r="B280" t="s">
        <v>305</v>
      </c>
      <c r="C280" t="s">
        <v>85</v>
      </c>
      <c r="D280" t="s">
        <v>991</v>
      </c>
      <c r="E280" t="s">
        <v>85</v>
      </c>
      <c r="F280">
        <v>35128</v>
      </c>
      <c r="G280">
        <v>1129</v>
      </c>
      <c r="H280">
        <v>0</v>
      </c>
      <c r="I280">
        <v>8.8177421881118212E-3</v>
      </c>
      <c r="J280">
        <f t="shared" si="8"/>
        <v>0</v>
      </c>
      <c r="K280">
        <f t="shared" si="9"/>
        <v>0</v>
      </c>
    </row>
    <row r="281" spans="1:11" x14ac:dyDescent="0.25">
      <c r="A281" t="s">
        <v>10</v>
      </c>
      <c r="B281" t="s">
        <v>306</v>
      </c>
      <c r="C281" t="s">
        <v>227</v>
      </c>
      <c r="D281" t="s">
        <v>1295</v>
      </c>
      <c r="E281" t="s">
        <v>27</v>
      </c>
      <c r="F281">
        <v>26361</v>
      </c>
      <c r="G281">
        <v>277</v>
      </c>
      <c r="H281">
        <v>50</v>
      </c>
      <c r="I281">
        <v>0.11067593141338927</v>
      </c>
      <c r="J281">
        <f t="shared" si="8"/>
        <v>0.18050541516245489</v>
      </c>
      <c r="K281">
        <f t="shared" si="9"/>
        <v>1.9977604948265212E-2</v>
      </c>
    </row>
    <row r="282" spans="1:11" x14ac:dyDescent="0.25">
      <c r="A282" t="s">
        <v>10</v>
      </c>
      <c r="B282" t="s">
        <v>307</v>
      </c>
      <c r="C282" t="s">
        <v>227</v>
      </c>
      <c r="D282" t="s">
        <v>1295</v>
      </c>
      <c r="E282" t="s">
        <v>27</v>
      </c>
      <c r="F282">
        <v>26364</v>
      </c>
      <c r="G282">
        <v>51</v>
      </c>
      <c r="H282">
        <v>1125</v>
      </c>
      <c r="I282">
        <v>5.6554030650939668E-2</v>
      </c>
      <c r="J282">
        <f t="shared" si="8"/>
        <v>22.058823529411764</v>
      </c>
      <c r="K282">
        <f t="shared" si="9"/>
        <v>1.2475153820060221</v>
      </c>
    </row>
    <row r="283" spans="1:11" x14ac:dyDescent="0.25">
      <c r="A283" t="s">
        <v>10</v>
      </c>
      <c r="B283" t="s">
        <v>308</v>
      </c>
      <c r="C283" t="s">
        <v>227</v>
      </c>
      <c r="D283" t="s">
        <v>1295</v>
      </c>
      <c r="E283" t="s">
        <v>27</v>
      </c>
      <c r="F283">
        <v>26367</v>
      </c>
      <c r="G283">
        <v>1339</v>
      </c>
      <c r="H283">
        <v>0</v>
      </c>
      <c r="I283">
        <v>7.7842130313302782E-2</v>
      </c>
      <c r="J283">
        <f t="shared" si="8"/>
        <v>0</v>
      </c>
      <c r="K283">
        <f t="shared" si="9"/>
        <v>0</v>
      </c>
    </row>
    <row r="284" spans="1:11" x14ac:dyDescent="0.25">
      <c r="A284" t="s">
        <v>10</v>
      </c>
      <c r="B284" t="s">
        <v>309</v>
      </c>
      <c r="C284" t="s">
        <v>227</v>
      </c>
      <c r="D284" t="s">
        <v>1295</v>
      </c>
      <c r="E284" t="s">
        <v>27</v>
      </c>
      <c r="F284">
        <v>26371</v>
      </c>
      <c r="G284">
        <v>845</v>
      </c>
      <c r="H284">
        <v>0</v>
      </c>
      <c r="I284">
        <v>0.14556943332476036</v>
      </c>
      <c r="J284">
        <f t="shared" si="8"/>
        <v>0</v>
      </c>
      <c r="K284">
        <f t="shared" si="9"/>
        <v>0</v>
      </c>
    </row>
    <row r="285" spans="1:11" x14ac:dyDescent="0.25">
      <c r="A285" t="s">
        <v>10</v>
      </c>
      <c r="B285" t="s">
        <v>310</v>
      </c>
      <c r="C285" t="s">
        <v>227</v>
      </c>
      <c r="D285" t="s">
        <v>1295</v>
      </c>
      <c r="E285" t="s">
        <v>27</v>
      </c>
      <c r="F285">
        <v>26377</v>
      </c>
      <c r="G285">
        <v>118</v>
      </c>
      <c r="H285">
        <v>0</v>
      </c>
      <c r="I285">
        <v>0.15841716201798539</v>
      </c>
      <c r="J285">
        <f t="shared" si="8"/>
        <v>0</v>
      </c>
      <c r="K285">
        <f t="shared" si="9"/>
        <v>0</v>
      </c>
    </row>
    <row r="286" spans="1:11" x14ac:dyDescent="0.25">
      <c r="A286" t="s">
        <v>10</v>
      </c>
      <c r="B286" t="s">
        <v>311</v>
      </c>
      <c r="C286" t="s">
        <v>227</v>
      </c>
      <c r="D286" t="s">
        <v>1295</v>
      </c>
      <c r="E286" t="s">
        <v>27</v>
      </c>
      <c r="F286">
        <v>26381</v>
      </c>
      <c r="G286">
        <v>498</v>
      </c>
      <c r="H286">
        <v>0</v>
      </c>
      <c r="I286">
        <v>0.12804910037155348</v>
      </c>
      <c r="J286">
        <f t="shared" si="8"/>
        <v>0</v>
      </c>
      <c r="K286">
        <f t="shared" si="9"/>
        <v>0</v>
      </c>
    </row>
    <row r="287" spans="1:11" x14ac:dyDescent="0.25">
      <c r="A287" t="s">
        <v>10</v>
      </c>
      <c r="B287" t="s">
        <v>312</v>
      </c>
      <c r="C287" t="s">
        <v>227</v>
      </c>
      <c r="D287" t="s">
        <v>1295</v>
      </c>
      <c r="E287" t="s">
        <v>27</v>
      </c>
      <c r="F287">
        <v>26384</v>
      </c>
      <c r="G287">
        <v>1471</v>
      </c>
      <c r="H287">
        <v>18</v>
      </c>
      <c r="I287">
        <v>0.1127134644314719</v>
      </c>
      <c r="J287">
        <f t="shared" si="8"/>
        <v>1.2236573759347382E-2</v>
      </c>
      <c r="K287">
        <f t="shared" si="9"/>
        <v>1.3792266211872836E-3</v>
      </c>
    </row>
    <row r="288" spans="1:11" x14ac:dyDescent="0.25">
      <c r="A288" t="s">
        <v>10</v>
      </c>
      <c r="B288" t="s">
        <v>313</v>
      </c>
      <c r="C288" t="s">
        <v>227</v>
      </c>
      <c r="D288" t="s">
        <v>1295</v>
      </c>
      <c r="E288" t="s">
        <v>27</v>
      </c>
      <c r="F288">
        <v>26388</v>
      </c>
      <c r="G288">
        <v>23</v>
      </c>
      <c r="H288">
        <v>0</v>
      </c>
      <c r="I288">
        <v>9.4514251981784647E-2</v>
      </c>
      <c r="J288">
        <f t="shared" si="8"/>
        <v>0</v>
      </c>
      <c r="K288">
        <f t="shared" si="9"/>
        <v>0</v>
      </c>
    </row>
    <row r="289" spans="1:11" x14ac:dyDescent="0.25">
      <c r="A289" t="s">
        <v>10</v>
      </c>
      <c r="B289" t="s">
        <v>314</v>
      </c>
      <c r="C289" t="s">
        <v>315</v>
      </c>
      <c r="D289" t="s">
        <v>1255</v>
      </c>
      <c r="E289" t="s">
        <v>316</v>
      </c>
      <c r="F289">
        <v>31116</v>
      </c>
      <c r="G289">
        <v>41739</v>
      </c>
      <c r="H289">
        <v>0</v>
      </c>
      <c r="I289">
        <v>6.9221165279322983E-2</v>
      </c>
      <c r="J289">
        <f t="shared" si="8"/>
        <v>0</v>
      </c>
      <c r="K289">
        <f t="shared" si="9"/>
        <v>0</v>
      </c>
    </row>
    <row r="290" spans="1:11" x14ac:dyDescent="0.25">
      <c r="A290" t="s">
        <v>10</v>
      </c>
      <c r="B290" t="s">
        <v>317</v>
      </c>
      <c r="C290" t="s">
        <v>315</v>
      </c>
      <c r="D290" t="s">
        <v>1255</v>
      </c>
      <c r="E290" t="s">
        <v>316</v>
      </c>
      <c r="F290">
        <v>31121</v>
      </c>
      <c r="G290">
        <v>45602</v>
      </c>
      <c r="H290">
        <v>49</v>
      </c>
      <c r="I290">
        <v>0.47931719718008137</v>
      </c>
      <c r="J290">
        <f t="shared" si="8"/>
        <v>1.0745142756896627E-3</v>
      </c>
      <c r="K290">
        <f t="shared" si="9"/>
        <v>5.150331709535544E-4</v>
      </c>
    </row>
    <row r="291" spans="1:11" x14ac:dyDescent="0.25">
      <c r="A291" t="s">
        <v>10</v>
      </c>
      <c r="B291" t="s">
        <v>318</v>
      </c>
      <c r="C291" t="s">
        <v>315</v>
      </c>
      <c r="D291" t="s">
        <v>1255</v>
      </c>
      <c r="E291" t="s">
        <v>316</v>
      </c>
      <c r="F291">
        <v>31126</v>
      </c>
      <c r="G291">
        <v>2209</v>
      </c>
      <c r="H291">
        <v>0</v>
      </c>
      <c r="I291">
        <v>0.10186335840044991</v>
      </c>
      <c r="J291">
        <f t="shared" si="8"/>
        <v>0</v>
      </c>
      <c r="K291">
        <f t="shared" si="9"/>
        <v>0</v>
      </c>
    </row>
    <row r="292" spans="1:11" x14ac:dyDescent="0.25">
      <c r="A292" t="s">
        <v>10</v>
      </c>
      <c r="B292" t="s">
        <v>319</v>
      </c>
      <c r="C292" t="s">
        <v>315</v>
      </c>
      <c r="D292" t="s">
        <v>1255</v>
      </c>
      <c r="E292" t="s">
        <v>316</v>
      </c>
      <c r="F292">
        <v>31131</v>
      </c>
      <c r="G292">
        <v>233</v>
      </c>
      <c r="H292">
        <v>0</v>
      </c>
      <c r="I292">
        <v>4.7980954151586541E-2</v>
      </c>
      <c r="J292">
        <f t="shared" si="8"/>
        <v>0</v>
      </c>
      <c r="K292">
        <f t="shared" si="9"/>
        <v>0</v>
      </c>
    </row>
    <row r="293" spans="1:11" x14ac:dyDescent="0.25">
      <c r="A293" t="s">
        <v>10</v>
      </c>
      <c r="B293" t="s">
        <v>320</v>
      </c>
      <c r="C293" t="s">
        <v>315</v>
      </c>
      <c r="D293" t="s">
        <v>1255</v>
      </c>
      <c r="E293" t="s">
        <v>316</v>
      </c>
      <c r="F293">
        <v>31136</v>
      </c>
      <c r="G293">
        <v>1533</v>
      </c>
      <c r="H293">
        <v>0</v>
      </c>
      <c r="I293">
        <v>0.17556178582749671</v>
      </c>
      <c r="J293">
        <f t="shared" si="8"/>
        <v>0</v>
      </c>
      <c r="K293">
        <f t="shared" si="9"/>
        <v>0</v>
      </c>
    </row>
    <row r="294" spans="1:11" x14ac:dyDescent="0.25">
      <c r="A294" t="s">
        <v>10</v>
      </c>
      <c r="B294" t="s">
        <v>321</v>
      </c>
      <c r="C294" t="s">
        <v>315</v>
      </c>
      <c r="D294" t="s">
        <v>1255</v>
      </c>
      <c r="E294" t="s">
        <v>316</v>
      </c>
      <c r="F294">
        <v>31146</v>
      </c>
      <c r="G294">
        <v>822</v>
      </c>
      <c r="H294">
        <v>0</v>
      </c>
      <c r="I294">
        <v>3.3486612037385122E-2</v>
      </c>
      <c r="J294">
        <f t="shared" si="8"/>
        <v>0</v>
      </c>
      <c r="K294">
        <f t="shared" si="9"/>
        <v>0</v>
      </c>
    </row>
    <row r="295" spans="1:11" x14ac:dyDescent="0.25">
      <c r="A295" t="s">
        <v>10</v>
      </c>
      <c r="B295" t="s">
        <v>322</v>
      </c>
      <c r="C295" t="s">
        <v>315</v>
      </c>
      <c r="D295" t="s">
        <v>1255</v>
      </c>
      <c r="E295" t="s">
        <v>316</v>
      </c>
      <c r="F295">
        <v>31151</v>
      </c>
      <c r="G295">
        <v>46753</v>
      </c>
      <c r="H295">
        <v>61</v>
      </c>
      <c r="I295">
        <v>0.47608311326387986</v>
      </c>
      <c r="J295">
        <f t="shared" si="8"/>
        <v>1.3047291082925159E-3</v>
      </c>
      <c r="K295">
        <f t="shared" si="9"/>
        <v>6.2115949584190685E-4</v>
      </c>
    </row>
    <row r="296" spans="1:11" x14ac:dyDescent="0.25">
      <c r="A296" t="s">
        <v>10</v>
      </c>
      <c r="B296" t="s">
        <v>323</v>
      </c>
      <c r="C296" t="s">
        <v>315</v>
      </c>
      <c r="D296" t="s">
        <v>1255</v>
      </c>
      <c r="E296" t="s">
        <v>316</v>
      </c>
      <c r="F296">
        <v>31156</v>
      </c>
      <c r="G296">
        <v>5178</v>
      </c>
      <c r="H296">
        <v>0</v>
      </c>
      <c r="I296">
        <v>0.70123084813693293</v>
      </c>
      <c r="J296">
        <f t="shared" si="8"/>
        <v>0</v>
      </c>
      <c r="K296">
        <f t="shared" si="9"/>
        <v>0</v>
      </c>
    </row>
    <row r="297" spans="1:11" x14ac:dyDescent="0.25">
      <c r="A297" t="s">
        <v>10</v>
      </c>
      <c r="B297" t="s">
        <v>324</v>
      </c>
      <c r="C297" t="s">
        <v>315</v>
      </c>
      <c r="D297" t="s">
        <v>1255</v>
      </c>
      <c r="E297" t="s">
        <v>316</v>
      </c>
      <c r="F297">
        <v>31161</v>
      </c>
      <c r="G297">
        <v>28043</v>
      </c>
      <c r="H297">
        <v>0</v>
      </c>
      <c r="I297">
        <v>0.40532326127223661</v>
      </c>
      <c r="J297">
        <f t="shared" si="8"/>
        <v>0</v>
      </c>
      <c r="K297">
        <f t="shared" si="9"/>
        <v>0</v>
      </c>
    </row>
    <row r="298" spans="1:11" x14ac:dyDescent="0.25">
      <c r="A298" t="s">
        <v>10</v>
      </c>
      <c r="B298" t="s">
        <v>325</v>
      </c>
      <c r="C298" t="s">
        <v>315</v>
      </c>
      <c r="D298" t="s">
        <v>1255</v>
      </c>
      <c r="E298" t="s">
        <v>316</v>
      </c>
      <c r="F298">
        <v>31166</v>
      </c>
      <c r="G298">
        <v>4758</v>
      </c>
      <c r="H298">
        <v>100</v>
      </c>
      <c r="I298">
        <v>3.6399427509649473E-2</v>
      </c>
      <c r="J298">
        <f t="shared" si="8"/>
        <v>2.1017234131988232E-2</v>
      </c>
      <c r="K298">
        <f t="shared" si="9"/>
        <v>7.6501529024063629E-4</v>
      </c>
    </row>
    <row r="299" spans="1:11" x14ac:dyDescent="0.25">
      <c r="A299" t="s">
        <v>10</v>
      </c>
      <c r="B299" t="s">
        <v>326</v>
      </c>
      <c r="C299" t="s">
        <v>302</v>
      </c>
      <c r="D299" t="s">
        <v>1269</v>
      </c>
      <c r="E299" t="s">
        <v>93</v>
      </c>
      <c r="F299">
        <v>31171</v>
      </c>
      <c r="G299">
        <v>8519</v>
      </c>
      <c r="H299">
        <v>68</v>
      </c>
      <c r="I299">
        <v>0.58959183673469384</v>
      </c>
      <c r="J299">
        <f t="shared" si="8"/>
        <v>7.982157530226552E-3</v>
      </c>
      <c r="K299">
        <f t="shared" si="9"/>
        <v>4.7062149193519403E-3</v>
      </c>
    </row>
    <row r="300" spans="1:11" x14ac:dyDescent="0.25">
      <c r="A300" t="s">
        <v>10</v>
      </c>
      <c r="B300" t="s">
        <v>327</v>
      </c>
      <c r="C300" t="s">
        <v>302</v>
      </c>
      <c r="D300" t="s">
        <v>1269</v>
      </c>
      <c r="E300" t="s">
        <v>93</v>
      </c>
      <c r="F300">
        <v>31176</v>
      </c>
      <c r="G300">
        <v>10694</v>
      </c>
      <c r="H300">
        <v>99</v>
      </c>
      <c r="I300">
        <v>4.7023540063377056E-2</v>
      </c>
      <c r="J300">
        <f t="shared" si="8"/>
        <v>9.257527585561998E-3</v>
      </c>
      <c r="K300">
        <f t="shared" si="9"/>
        <v>4.3532171930749287E-4</v>
      </c>
    </row>
    <row r="301" spans="1:11" x14ac:dyDescent="0.25">
      <c r="A301" t="s">
        <v>10</v>
      </c>
      <c r="B301" t="s">
        <v>328</v>
      </c>
      <c r="C301" t="s">
        <v>315</v>
      </c>
      <c r="D301" t="s">
        <v>1255</v>
      </c>
      <c r="E301" t="s">
        <v>316</v>
      </c>
      <c r="F301">
        <v>31181</v>
      </c>
      <c r="G301">
        <v>10460</v>
      </c>
      <c r="H301">
        <v>0</v>
      </c>
      <c r="I301">
        <v>0.39069669590450495</v>
      </c>
      <c r="J301">
        <f t="shared" si="8"/>
        <v>0</v>
      </c>
      <c r="K301">
        <f t="shared" si="9"/>
        <v>0</v>
      </c>
    </row>
    <row r="302" spans="1:11" x14ac:dyDescent="0.25">
      <c r="A302" t="s">
        <v>10</v>
      </c>
      <c r="B302" t="s">
        <v>329</v>
      </c>
      <c r="C302" t="s">
        <v>315</v>
      </c>
      <c r="D302" t="s">
        <v>1255</v>
      </c>
      <c r="E302" t="s">
        <v>316</v>
      </c>
      <c r="F302">
        <v>31221</v>
      </c>
      <c r="G302">
        <v>6014</v>
      </c>
      <c r="H302">
        <v>135</v>
      </c>
      <c r="I302">
        <v>5.0191462006081045E-2</v>
      </c>
      <c r="J302">
        <f t="shared" si="8"/>
        <v>2.2447622214832059E-2</v>
      </c>
      <c r="K302">
        <f t="shared" si="9"/>
        <v>1.1266789775226042E-3</v>
      </c>
    </row>
    <row r="303" spans="1:11" x14ac:dyDescent="0.25">
      <c r="A303" t="s">
        <v>10</v>
      </c>
      <c r="B303" t="s">
        <v>330</v>
      </c>
      <c r="C303" t="s">
        <v>331</v>
      </c>
      <c r="D303" t="s">
        <v>1297</v>
      </c>
      <c r="E303" t="s">
        <v>316</v>
      </c>
      <c r="F303">
        <v>32155</v>
      </c>
      <c r="G303">
        <v>1674</v>
      </c>
      <c r="H303">
        <v>0</v>
      </c>
      <c r="I303">
        <v>0.550547225426118</v>
      </c>
      <c r="J303">
        <f t="shared" si="8"/>
        <v>0</v>
      </c>
      <c r="K303">
        <f t="shared" si="9"/>
        <v>0</v>
      </c>
    </row>
    <row r="304" spans="1:11" x14ac:dyDescent="0.25">
      <c r="A304" t="s">
        <v>10</v>
      </c>
      <c r="B304" t="s">
        <v>332</v>
      </c>
      <c r="C304" t="s">
        <v>333</v>
      </c>
      <c r="D304" t="s">
        <v>1200</v>
      </c>
      <c r="E304" t="s">
        <v>83</v>
      </c>
      <c r="F304">
        <v>32187</v>
      </c>
      <c r="G304">
        <v>3194</v>
      </c>
      <c r="H304">
        <v>75</v>
      </c>
      <c r="I304">
        <v>3.0361604207758019E-2</v>
      </c>
      <c r="J304">
        <f t="shared" si="8"/>
        <v>2.3481527864746398E-2</v>
      </c>
      <c r="K304">
        <f t="shared" si="9"/>
        <v>7.1293685522287142E-4</v>
      </c>
    </row>
    <row r="305" spans="1:11" x14ac:dyDescent="0.25">
      <c r="A305" t="s">
        <v>10</v>
      </c>
      <c r="B305" t="s">
        <v>334</v>
      </c>
      <c r="C305" t="s">
        <v>85</v>
      </c>
      <c r="D305" t="s">
        <v>991</v>
      </c>
      <c r="E305" t="s">
        <v>85</v>
      </c>
      <c r="F305">
        <v>32193</v>
      </c>
      <c r="G305">
        <v>12</v>
      </c>
      <c r="H305">
        <v>0</v>
      </c>
      <c r="I305">
        <v>0</v>
      </c>
      <c r="J305">
        <f t="shared" si="8"/>
        <v>0</v>
      </c>
      <c r="K305">
        <f t="shared" si="9"/>
        <v>0</v>
      </c>
    </row>
    <row r="306" spans="1:11" x14ac:dyDescent="0.25">
      <c r="A306" t="s">
        <v>10</v>
      </c>
      <c r="B306" t="s">
        <v>331</v>
      </c>
      <c r="C306" t="s">
        <v>331</v>
      </c>
      <c r="D306" t="s">
        <v>1297</v>
      </c>
      <c r="E306" t="s">
        <v>316</v>
      </c>
      <c r="F306">
        <v>33111</v>
      </c>
      <c r="G306">
        <v>19905</v>
      </c>
      <c r="H306">
        <v>500</v>
      </c>
      <c r="I306">
        <v>0.17306054831803008</v>
      </c>
      <c r="J306">
        <f t="shared" si="8"/>
        <v>2.5119316754584276E-2</v>
      </c>
      <c r="K306">
        <f t="shared" si="9"/>
        <v>4.3471627309226348E-3</v>
      </c>
    </row>
    <row r="307" spans="1:11" x14ac:dyDescent="0.25">
      <c r="A307" t="s">
        <v>10</v>
      </c>
      <c r="B307" t="s">
        <v>335</v>
      </c>
      <c r="C307" t="s">
        <v>331</v>
      </c>
      <c r="D307" t="s">
        <v>1297</v>
      </c>
      <c r="E307" t="s">
        <v>316</v>
      </c>
      <c r="F307">
        <v>33117</v>
      </c>
      <c r="G307">
        <v>5495</v>
      </c>
      <c r="H307">
        <v>145</v>
      </c>
      <c r="I307">
        <v>0.35442055189425004</v>
      </c>
      <c r="J307">
        <f t="shared" si="8"/>
        <v>2.6387625113739762E-2</v>
      </c>
      <c r="K307">
        <f t="shared" si="9"/>
        <v>9.3523166559902181E-3</v>
      </c>
    </row>
    <row r="308" spans="1:11" x14ac:dyDescent="0.25">
      <c r="A308" t="s">
        <v>10</v>
      </c>
      <c r="B308" t="s">
        <v>336</v>
      </c>
      <c r="C308" t="s">
        <v>331</v>
      </c>
      <c r="D308" t="s">
        <v>1297</v>
      </c>
      <c r="E308" t="s">
        <v>316</v>
      </c>
      <c r="F308">
        <v>33119</v>
      </c>
      <c r="G308">
        <v>496</v>
      </c>
      <c r="H308">
        <v>0</v>
      </c>
      <c r="I308">
        <v>0.25383279966050698</v>
      </c>
      <c r="J308">
        <f t="shared" si="8"/>
        <v>0</v>
      </c>
      <c r="K308">
        <f t="shared" si="9"/>
        <v>0</v>
      </c>
    </row>
    <row r="309" spans="1:11" x14ac:dyDescent="0.25">
      <c r="A309" t="s">
        <v>10</v>
      </c>
      <c r="B309" t="s">
        <v>337</v>
      </c>
      <c r="C309" t="s">
        <v>331</v>
      </c>
      <c r="D309" t="s">
        <v>1297</v>
      </c>
      <c r="E309" t="s">
        <v>316</v>
      </c>
      <c r="F309">
        <v>33123</v>
      </c>
      <c r="G309">
        <v>5969</v>
      </c>
      <c r="H309">
        <v>180</v>
      </c>
      <c r="I309">
        <v>0.2650888057787133</v>
      </c>
      <c r="J309">
        <f t="shared" si="8"/>
        <v>3.0155804992461049E-2</v>
      </c>
      <c r="K309">
        <f t="shared" si="9"/>
        <v>7.9939663327472602E-3</v>
      </c>
    </row>
    <row r="310" spans="1:11" x14ac:dyDescent="0.25">
      <c r="A310" t="s">
        <v>10</v>
      </c>
      <c r="B310" t="s">
        <v>338</v>
      </c>
      <c r="C310" t="s">
        <v>331</v>
      </c>
      <c r="D310" t="s">
        <v>1297</v>
      </c>
      <c r="E310" t="s">
        <v>316</v>
      </c>
      <c r="F310">
        <v>33125</v>
      </c>
      <c r="G310">
        <v>403</v>
      </c>
      <c r="H310">
        <v>0</v>
      </c>
      <c r="I310">
        <v>0.15091516019147133</v>
      </c>
      <c r="J310">
        <f t="shared" si="8"/>
        <v>0</v>
      </c>
      <c r="K310">
        <f t="shared" si="9"/>
        <v>0</v>
      </c>
    </row>
    <row r="311" spans="1:11" x14ac:dyDescent="0.25">
      <c r="A311" t="s">
        <v>10</v>
      </c>
      <c r="B311" t="s">
        <v>339</v>
      </c>
      <c r="C311" t="s">
        <v>331</v>
      </c>
      <c r="D311" t="s">
        <v>1297</v>
      </c>
      <c r="E311" t="s">
        <v>316</v>
      </c>
      <c r="F311">
        <v>33129</v>
      </c>
      <c r="G311">
        <v>12023</v>
      </c>
      <c r="H311">
        <v>250</v>
      </c>
      <c r="I311">
        <v>0.32287537277874678</v>
      </c>
      <c r="J311">
        <f t="shared" si="8"/>
        <v>2.0793479164933876E-2</v>
      </c>
      <c r="K311">
        <f t="shared" si="9"/>
        <v>6.7137023367451294E-3</v>
      </c>
    </row>
    <row r="312" spans="1:11" x14ac:dyDescent="0.25">
      <c r="A312" t="s">
        <v>10</v>
      </c>
      <c r="B312" t="s">
        <v>340</v>
      </c>
      <c r="C312" t="s">
        <v>331</v>
      </c>
      <c r="D312" t="s">
        <v>1297</v>
      </c>
      <c r="E312" t="s">
        <v>316</v>
      </c>
      <c r="F312">
        <v>33133</v>
      </c>
      <c r="G312">
        <v>2557</v>
      </c>
      <c r="H312">
        <v>270</v>
      </c>
      <c r="I312">
        <v>0.51267806012587869</v>
      </c>
      <c r="J312">
        <f t="shared" si="8"/>
        <v>0.10559249120062573</v>
      </c>
      <c r="K312">
        <f t="shared" si="9"/>
        <v>5.4134953552595719E-2</v>
      </c>
    </row>
    <row r="313" spans="1:11" x14ac:dyDescent="0.25">
      <c r="A313" t="s">
        <v>10</v>
      </c>
      <c r="B313" t="s">
        <v>341</v>
      </c>
      <c r="C313" t="s">
        <v>85</v>
      </c>
      <c r="D313" t="s">
        <v>991</v>
      </c>
      <c r="E313" t="s">
        <v>85</v>
      </c>
      <c r="F313">
        <v>33137</v>
      </c>
      <c r="G313">
        <v>532</v>
      </c>
      <c r="H313">
        <v>0</v>
      </c>
      <c r="I313">
        <v>0.25528819312937456</v>
      </c>
      <c r="J313">
        <f t="shared" si="8"/>
        <v>0</v>
      </c>
      <c r="K313">
        <f t="shared" si="9"/>
        <v>0</v>
      </c>
    </row>
    <row r="314" spans="1:11" x14ac:dyDescent="0.25">
      <c r="A314" t="s">
        <v>10</v>
      </c>
      <c r="B314" t="s">
        <v>342</v>
      </c>
      <c r="C314" t="s">
        <v>331</v>
      </c>
      <c r="D314" t="s">
        <v>1297</v>
      </c>
      <c r="E314" t="s">
        <v>316</v>
      </c>
      <c r="F314">
        <v>33141</v>
      </c>
      <c r="G314">
        <v>1054</v>
      </c>
      <c r="H314">
        <v>0</v>
      </c>
      <c r="I314">
        <v>2.107521865889217E-2</v>
      </c>
      <c r="J314">
        <f t="shared" si="8"/>
        <v>0</v>
      </c>
      <c r="K314">
        <f t="shared" si="9"/>
        <v>0</v>
      </c>
    </row>
    <row r="315" spans="1:11" x14ac:dyDescent="0.25">
      <c r="A315" t="s">
        <v>10</v>
      </c>
      <c r="B315" t="s">
        <v>343</v>
      </c>
      <c r="C315" t="s">
        <v>331</v>
      </c>
      <c r="D315" t="s">
        <v>1297</v>
      </c>
      <c r="E315" t="s">
        <v>316</v>
      </c>
      <c r="F315">
        <v>33143</v>
      </c>
      <c r="G315">
        <v>995</v>
      </c>
      <c r="H315">
        <v>0</v>
      </c>
      <c r="I315">
        <v>0.16098586727957331</v>
      </c>
      <c r="J315">
        <f t="shared" si="8"/>
        <v>0</v>
      </c>
      <c r="K315">
        <f t="shared" si="9"/>
        <v>0</v>
      </c>
    </row>
    <row r="316" spans="1:11" x14ac:dyDescent="0.25">
      <c r="A316" t="s">
        <v>10</v>
      </c>
      <c r="B316" t="s">
        <v>344</v>
      </c>
      <c r="C316" t="s">
        <v>331</v>
      </c>
      <c r="D316" t="s">
        <v>1297</v>
      </c>
      <c r="E316" t="s">
        <v>316</v>
      </c>
      <c r="F316">
        <v>33145</v>
      </c>
      <c r="G316">
        <v>1169</v>
      </c>
      <c r="H316">
        <v>15</v>
      </c>
      <c r="I316">
        <v>0.13125574443243726</v>
      </c>
      <c r="J316">
        <f t="shared" si="8"/>
        <v>1.2831479897348161E-2</v>
      </c>
      <c r="K316">
        <f t="shared" si="9"/>
        <v>1.6842054460962865E-3</v>
      </c>
    </row>
    <row r="317" spans="1:11" x14ac:dyDescent="0.25">
      <c r="A317" t="s">
        <v>10</v>
      </c>
      <c r="B317" t="s">
        <v>345</v>
      </c>
      <c r="C317" t="s">
        <v>331</v>
      </c>
      <c r="D317" t="s">
        <v>1297</v>
      </c>
      <c r="E317" t="s">
        <v>316</v>
      </c>
      <c r="F317">
        <v>33147</v>
      </c>
      <c r="G317">
        <v>263</v>
      </c>
      <c r="H317">
        <v>0</v>
      </c>
      <c r="I317">
        <v>0.16388564140716333</v>
      </c>
      <c r="J317">
        <f t="shared" si="8"/>
        <v>0</v>
      </c>
      <c r="K317">
        <f t="shared" si="9"/>
        <v>0</v>
      </c>
    </row>
    <row r="318" spans="1:11" x14ac:dyDescent="0.25">
      <c r="A318" t="s">
        <v>10</v>
      </c>
      <c r="B318" t="s">
        <v>346</v>
      </c>
      <c r="C318" t="s">
        <v>85</v>
      </c>
      <c r="D318" t="s">
        <v>991</v>
      </c>
      <c r="E318" t="s">
        <v>85</v>
      </c>
      <c r="F318">
        <v>33152</v>
      </c>
      <c r="G318">
        <v>0</v>
      </c>
      <c r="H318">
        <v>0</v>
      </c>
      <c r="I318">
        <v>0.17733595398919144</v>
      </c>
      <c r="J318">
        <f t="shared" si="8"/>
        <v>0</v>
      </c>
      <c r="K318">
        <f t="shared" si="9"/>
        <v>0</v>
      </c>
    </row>
    <row r="319" spans="1:11" x14ac:dyDescent="0.25">
      <c r="A319" t="s">
        <v>10</v>
      </c>
      <c r="B319" t="s">
        <v>347</v>
      </c>
      <c r="C319" t="s">
        <v>331</v>
      </c>
      <c r="D319" t="s">
        <v>1297</v>
      </c>
      <c r="E319" t="s">
        <v>316</v>
      </c>
      <c r="F319">
        <v>33153</v>
      </c>
      <c r="G319">
        <v>575</v>
      </c>
      <c r="H319">
        <v>45</v>
      </c>
      <c r="I319">
        <v>9.984908936803627E-2</v>
      </c>
      <c r="J319">
        <f t="shared" si="8"/>
        <v>7.8260869565217397E-2</v>
      </c>
      <c r="K319">
        <f t="shared" si="9"/>
        <v>7.8142765592376217E-3</v>
      </c>
    </row>
    <row r="320" spans="1:11" x14ac:dyDescent="0.25">
      <c r="A320" t="s">
        <v>10</v>
      </c>
      <c r="B320" t="s">
        <v>348</v>
      </c>
      <c r="C320" t="s">
        <v>331</v>
      </c>
      <c r="D320" t="s">
        <v>1297</v>
      </c>
      <c r="E320" t="s">
        <v>316</v>
      </c>
      <c r="F320">
        <v>33157</v>
      </c>
      <c r="G320">
        <v>251</v>
      </c>
      <c r="H320">
        <v>0</v>
      </c>
      <c r="I320">
        <v>0.14495576657738818</v>
      </c>
      <c r="J320">
        <f t="shared" si="8"/>
        <v>0</v>
      </c>
      <c r="K320">
        <f t="shared" si="9"/>
        <v>0</v>
      </c>
    </row>
    <row r="321" spans="1:11" x14ac:dyDescent="0.25">
      <c r="A321" t="s">
        <v>10</v>
      </c>
      <c r="B321" t="s">
        <v>349</v>
      </c>
      <c r="C321" t="s">
        <v>331</v>
      </c>
      <c r="D321" t="s">
        <v>1297</v>
      </c>
      <c r="E321" t="s">
        <v>316</v>
      </c>
      <c r="F321">
        <v>33159</v>
      </c>
      <c r="G321">
        <v>318</v>
      </c>
      <c r="H321">
        <v>0</v>
      </c>
      <c r="I321">
        <v>0.12115892167027986</v>
      </c>
      <c r="J321">
        <f t="shared" si="8"/>
        <v>0</v>
      </c>
      <c r="K321">
        <f t="shared" si="9"/>
        <v>0</v>
      </c>
    </row>
    <row r="322" spans="1:11" x14ac:dyDescent="0.25">
      <c r="A322" t="s">
        <v>10</v>
      </c>
      <c r="B322" t="s">
        <v>350</v>
      </c>
      <c r="C322" t="s">
        <v>331</v>
      </c>
      <c r="D322" t="s">
        <v>1297</v>
      </c>
      <c r="E322" t="s">
        <v>316</v>
      </c>
      <c r="F322">
        <v>33161</v>
      </c>
      <c r="G322">
        <v>950</v>
      </c>
      <c r="H322">
        <v>45</v>
      </c>
      <c r="I322">
        <v>7.1513580246913455E-2</v>
      </c>
      <c r="J322">
        <f t="shared" si="8"/>
        <v>4.736842105263158E-2</v>
      </c>
      <c r="K322">
        <f t="shared" si="9"/>
        <v>3.3874853801169531E-3</v>
      </c>
    </row>
    <row r="323" spans="1:11" x14ac:dyDescent="0.25">
      <c r="A323" t="s">
        <v>10</v>
      </c>
      <c r="B323" t="s">
        <v>351</v>
      </c>
      <c r="C323" t="s">
        <v>331</v>
      </c>
      <c r="D323" t="s">
        <v>1297</v>
      </c>
      <c r="E323" t="s">
        <v>316</v>
      </c>
      <c r="F323">
        <v>33163</v>
      </c>
      <c r="G323">
        <v>950</v>
      </c>
      <c r="H323">
        <v>0</v>
      </c>
      <c r="I323">
        <v>0.23779661016949127</v>
      </c>
      <c r="J323">
        <f t="shared" ref="J323:J386" si="10">IF(G323=0,0,H323/G323)</f>
        <v>0</v>
      </c>
      <c r="K323">
        <f t="shared" ref="K323:K386" si="11">J323*I323</f>
        <v>0</v>
      </c>
    </row>
    <row r="324" spans="1:11" x14ac:dyDescent="0.25">
      <c r="A324" t="s">
        <v>10</v>
      </c>
      <c r="B324" t="s">
        <v>352</v>
      </c>
      <c r="C324" t="s">
        <v>90</v>
      </c>
      <c r="D324" t="s">
        <v>1307</v>
      </c>
      <c r="E324" t="s">
        <v>27</v>
      </c>
      <c r="F324">
        <v>25241</v>
      </c>
      <c r="G324">
        <v>893</v>
      </c>
      <c r="H324">
        <v>0</v>
      </c>
      <c r="I324">
        <v>0.19804007141440183</v>
      </c>
      <c r="J324">
        <f t="shared" si="10"/>
        <v>0</v>
      </c>
      <c r="K324">
        <f t="shared" si="11"/>
        <v>0</v>
      </c>
    </row>
    <row r="325" spans="1:11" x14ac:dyDescent="0.25">
      <c r="A325" t="s">
        <v>10</v>
      </c>
      <c r="B325" t="s">
        <v>353</v>
      </c>
      <c r="C325" t="s">
        <v>331</v>
      </c>
      <c r="D325" t="s">
        <v>1297</v>
      </c>
      <c r="E325" t="s">
        <v>316</v>
      </c>
      <c r="F325">
        <v>33165</v>
      </c>
      <c r="G325">
        <v>675</v>
      </c>
      <c r="H325">
        <v>22</v>
      </c>
      <c r="I325">
        <v>0.11439954841419864</v>
      </c>
      <c r="J325">
        <f t="shared" si="10"/>
        <v>3.259259259259259E-2</v>
      </c>
      <c r="K325">
        <f t="shared" si="11"/>
        <v>3.7285778742405479E-3</v>
      </c>
    </row>
    <row r="326" spans="1:11" x14ac:dyDescent="0.25">
      <c r="A326" t="s">
        <v>10</v>
      </c>
      <c r="B326" t="s">
        <v>354</v>
      </c>
      <c r="C326" t="s">
        <v>331</v>
      </c>
      <c r="D326" t="s">
        <v>1297</v>
      </c>
      <c r="E326" t="s">
        <v>316</v>
      </c>
      <c r="F326">
        <v>33167</v>
      </c>
      <c r="G326">
        <v>623</v>
      </c>
      <c r="H326">
        <v>25</v>
      </c>
      <c r="I326">
        <v>0.52176930614022354</v>
      </c>
      <c r="J326">
        <f t="shared" si="10"/>
        <v>4.0128410914927769E-2</v>
      </c>
      <c r="K326">
        <f t="shared" si="11"/>
        <v>2.0937773119591635E-2</v>
      </c>
    </row>
    <row r="327" spans="1:11" x14ac:dyDescent="0.25">
      <c r="A327" t="s">
        <v>10</v>
      </c>
      <c r="B327" t="s">
        <v>355</v>
      </c>
      <c r="C327" t="s">
        <v>331</v>
      </c>
      <c r="D327" t="s">
        <v>1297</v>
      </c>
      <c r="E327" t="s">
        <v>316</v>
      </c>
      <c r="F327">
        <v>33169</v>
      </c>
      <c r="G327">
        <v>1461</v>
      </c>
      <c r="H327">
        <v>22</v>
      </c>
      <c r="I327">
        <v>0.19502961983861899</v>
      </c>
      <c r="J327">
        <f t="shared" si="10"/>
        <v>1.5058179329226557E-2</v>
      </c>
      <c r="K327">
        <f t="shared" si="11"/>
        <v>2.9367909900408062E-3</v>
      </c>
    </row>
    <row r="328" spans="1:11" x14ac:dyDescent="0.25">
      <c r="A328" t="s">
        <v>10</v>
      </c>
      <c r="B328" t="s">
        <v>356</v>
      </c>
      <c r="C328" t="s">
        <v>85</v>
      </c>
      <c r="D328" t="s">
        <v>991</v>
      </c>
      <c r="E328" t="s">
        <v>85</v>
      </c>
      <c r="F328">
        <v>33171</v>
      </c>
      <c r="G328">
        <v>46</v>
      </c>
      <c r="H328">
        <v>0</v>
      </c>
      <c r="I328">
        <v>0.21385139096463912</v>
      </c>
      <c r="J328">
        <f t="shared" si="10"/>
        <v>0</v>
      </c>
      <c r="K328">
        <f t="shared" si="11"/>
        <v>0</v>
      </c>
    </row>
    <row r="329" spans="1:11" x14ac:dyDescent="0.25">
      <c r="A329" t="s">
        <v>10</v>
      </c>
      <c r="B329" t="s">
        <v>357</v>
      </c>
      <c r="C329" t="s">
        <v>331</v>
      </c>
      <c r="D329" t="s">
        <v>1297</v>
      </c>
      <c r="E329" t="s">
        <v>316</v>
      </c>
      <c r="F329">
        <v>33219</v>
      </c>
      <c r="G329">
        <v>85</v>
      </c>
      <c r="H329">
        <v>0</v>
      </c>
      <c r="I329">
        <v>7.0813138735405401E-2</v>
      </c>
      <c r="J329">
        <f t="shared" si="10"/>
        <v>0</v>
      </c>
      <c r="K329">
        <f t="shared" si="11"/>
        <v>0</v>
      </c>
    </row>
    <row r="330" spans="1:11" x14ac:dyDescent="0.25">
      <c r="A330" t="s">
        <v>10</v>
      </c>
      <c r="B330" t="s">
        <v>358</v>
      </c>
      <c r="C330" t="s">
        <v>331</v>
      </c>
      <c r="D330" t="s">
        <v>1297</v>
      </c>
      <c r="E330" t="s">
        <v>316</v>
      </c>
      <c r="F330">
        <v>33223</v>
      </c>
      <c r="G330">
        <v>143</v>
      </c>
      <c r="H330">
        <v>0</v>
      </c>
      <c r="I330">
        <v>2.3672596138135105E-2</v>
      </c>
      <c r="J330">
        <f t="shared" si="10"/>
        <v>0</v>
      </c>
      <c r="K330">
        <f t="shared" si="11"/>
        <v>0</v>
      </c>
    </row>
    <row r="331" spans="1:11" x14ac:dyDescent="0.25">
      <c r="A331" t="s">
        <v>10</v>
      </c>
      <c r="B331" t="s">
        <v>359</v>
      </c>
      <c r="C331" t="s">
        <v>331</v>
      </c>
      <c r="D331" t="s">
        <v>1297</v>
      </c>
      <c r="E331" t="s">
        <v>316</v>
      </c>
      <c r="F331">
        <v>33227</v>
      </c>
      <c r="G331">
        <v>1071</v>
      </c>
      <c r="H331">
        <v>0</v>
      </c>
      <c r="I331">
        <v>6.2476125522779369E-2</v>
      </c>
      <c r="J331">
        <f t="shared" si="10"/>
        <v>0</v>
      </c>
      <c r="K331">
        <f t="shared" si="11"/>
        <v>0</v>
      </c>
    </row>
    <row r="332" spans="1:11" x14ac:dyDescent="0.25">
      <c r="A332" t="s">
        <v>10</v>
      </c>
      <c r="B332" t="s">
        <v>360</v>
      </c>
      <c r="C332" t="s">
        <v>331</v>
      </c>
      <c r="D332" t="s">
        <v>1297</v>
      </c>
      <c r="E332" t="s">
        <v>316</v>
      </c>
      <c r="F332">
        <v>33235</v>
      </c>
      <c r="G332">
        <v>215</v>
      </c>
      <c r="H332">
        <v>32</v>
      </c>
      <c r="I332">
        <v>7.7808948955139345E-2</v>
      </c>
      <c r="J332">
        <f t="shared" si="10"/>
        <v>0.14883720930232558</v>
      </c>
      <c r="K332">
        <f t="shared" si="11"/>
        <v>1.1580866821230043E-2</v>
      </c>
    </row>
    <row r="333" spans="1:11" x14ac:dyDescent="0.25">
      <c r="A333" t="s">
        <v>10</v>
      </c>
      <c r="B333" t="s">
        <v>361</v>
      </c>
      <c r="C333" t="s">
        <v>331</v>
      </c>
      <c r="D333" t="s">
        <v>1297</v>
      </c>
      <c r="E333" t="s">
        <v>316</v>
      </c>
      <c r="F333">
        <v>33243</v>
      </c>
      <c r="G333">
        <v>1170</v>
      </c>
      <c r="H333">
        <v>0</v>
      </c>
      <c r="I333">
        <v>8.9951592728623853E-2</v>
      </c>
      <c r="J333">
        <f t="shared" si="10"/>
        <v>0</v>
      </c>
      <c r="K333">
        <f t="shared" si="11"/>
        <v>0</v>
      </c>
    </row>
    <row r="334" spans="1:11" x14ac:dyDescent="0.25">
      <c r="A334" t="s">
        <v>10</v>
      </c>
      <c r="B334" t="s">
        <v>362</v>
      </c>
      <c r="C334" t="s">
        <v>331</v>
      </c>
      <c r="D334" t="s">
        <v>1297</v>
      </c>
      <c r="E334" t="s">
        <v>316</v>
      </c>
      <c r="F334">
        <v>33251</v>
      </c>
      <c r="G334">
        <v>4264</v>
      </c>
      <c r="H334">
        <v>500</v>
      </c>
      <c r="I334">
        <v>0.11284558286152013</v>
      </c>
      <c r="J334">
        <f t="shared" si="10"/>
        <v>0.11726078799249531</v>
      </c>
      <c r="K334">
        <f t="shared" si="11"/>
        <v>1.3232361967814275E-2</v>
      </c>
    </row>
    <row r="335" spans="1:11" x14ac:dyDescent="0.25">
      <c r="A335" t="s">
        <v>10</v>
      </c>
      <c r="B335" t="s">
        <v>363</v>
      </c>
      <c r="C335" t="s">
        <v>331</v>
      </c>
      <c r="D335" t="s">
        <v>1297</v>
      </c>
      <c r="E335" t="s">
        <v>316</v>
      </c>
      <c r="F335">
        <v>33255</v>
      </c>
      <c r="G335">
        <v>712</v>
      </c>
      <c r="H335">
        <v>0</v>
      </c>
      <c r="I335">
        <v>9.3439283591990385E-2</v>
      </c>
      <c r="J335">
        <f t="shared" si="10"/>
        <v>0</v>
      </c>
      <c r="K335">
        <f t="shared" si="11"/>
        <v>0</v>
      </c>
    </row>
    <row r="336" spans="1:11" x14ac:dyDescent="0.25">
      <c r="A336" t="s">
        <v>10</v>
      </c>
      <c r="B336" t="s">
        <v>364</v>
      </c>
      <c r="C336" t="s">
        <v>331</v>
      </c>
      <c r="D336" t="s">
        <v>1297</v>
      </c>
      <c r="E336" t="s">
        <v>316</v>
      </c>
      <c r="F336">
        <v>33259</v>
      </c>
      <c r="G336">
        <v>1383</v>
      </c>
      <c r="H336">
        <v>0</v>
      </c>
      <c r="I336">
        <v>8.6365593894095261E-2</v>
      </c>
      <c r="J336">
        <f t="shared" si="10"/>
        <v>0</v>
      </c>
      <c r="K336">
        <f t="shared" si="11"/>
        <v>0</v>
      </c>
    </row>
    <row r="337" spans="1:11" x14ac:dyDescent="0.25">
      <c r="A337" t="s">
        <v>10</v>
      </c>
      <c r="B337" t="s">
        <v>365</v>
      </c>
      <c r="C337" t="s">
        <v>331</v>
      </c>
      <c r="D337" t="s">
        <v>1297</v>
      </c>
      <c r="E337" t="s">
        <v>316</v>
      </c>
      <c r="F337">
        <v>33267</v>
      </c>
      <c r="G337">
        <v>1221</v>
      </c>
      <c r="H337">
        <v>0</v>
      </c>
      <c r="I337">
        <v>0.25917834925040861</v>
      </c>
      <c r="J337">
        <f t="shared" si="10"/>
        <v>0</v>
      </c>
      <c r="K337">
        <f t="shared" si="11"/>
        <v>0</v>
      </c>
    </row>
    <row r="338" spans="1:11" x14ac:dyDescent="0.25">
      <c r="A338" t="s">
        <v>10</v>
      </c>
      <c r="B338" t="s">
        <v>366</v>
      </c>
      <c r="C338" t="s">
        <v>331</v>
      </c>
      <c r="D338" t="s">
        <v>1297</v>
      </c>
      <c r="E338" t="s">
        <v>316</v>
      </c>
      <c r="F338">
        <v>33271</v>
      </c>
      <c r="G338">
        <v>5333</v>
      </c>
      <c r="H338">
        <v>342</v>
      </c>
      <c r="I338">
        <v>1.6280810724131012E-2</v>
      </c>
      <c r="J338">
        <f t="shared" si="10"/>
        <v>6.4129008063003937E-2</v>
      </c>
      <c r="K338">
        <f t="shared" si="11"/>
        <v>1.0440722422000385E-3</v>
      </c>
    </row>
    <row r="339" spans="1:11" x14ac:dyDescent="0.25">
      <c r="A339" t="s">
        <v>10</v>
      </c>
      <c r="B339" t="s">
        <v>367</v>
      </c>
      <c r="C339" t="s">
        <v>331</v>
      </c>
      <c r="D339" t="s">
        <v>1297</v>
      </c>
      <c r="E339" t="s">
        <v>316</v>
      </c>
      <c r="F339">
        <v>33275</v>
      </c>
      <c r="G339">
        <v>958</v>
      </c>
      <c r="H339">
        <v>15</v>
      </c>
      <c r="I339">
        <v>0.33994047974145825</v>
      </c>
      <c r="J339">
        <f t="shared" si="10"/>
        <v>1.5657620041753653E-2</v>
      </c>
      <c r="K339">
        <f t="shared" si="11"/>
        <v>5.3226588686032085E-3</v>
      </c>
    </row>
    <row r="340" spans="1:11" x14ac:dyDescent="0.25">
      <c r="A340" t="s">
        <v>10</v>
      </c>
      <c r="B340" t="s">
        <v>368</v>
      </c>
      <c r="C340" t="s">
        <v>331</v>
      </c>
      <c r="D340" t="s">
        <v>1297</v>
      </c>
      <c r="E340" t="s">
        <v>316</v>
      </c>
      <c r="F340">
        <v>33279</v>
      </c>
      <c r="G340">
        <v>182</v>
      </c>
      <c r="H340">
        <v>0</v>
      </c>
      <c r="I340">
        <v>0.35046963610586013</v>
      </c>
      <c r="J340">
        <f t="shared" si="10"/>
        <v>0</v>
      </c>
      <c r="K340">
        <f t="shared" si="11"/>
        <v>0</v>
      </c>
    </row>
    <row r="341" spans="1:11" x14ac:dyDescent="0.25">
      <c r="A341" t="s">
        <v>10</v>
      </c>
      <c r="B341" t="s">
        <v>369</v>
      </c>
      <c r="C341" t="s">
        <v>331</v>
      </c>
      <c r="D341" t="s">
        <v>1297</v>
      </c>
      <c r="E341" t="s">
        <v>316</v>
      </c>
      <c r="F341">
        <v>33287</v>
      </c>
      <c r="G341">
        <v>490</v>
      </c>
      <c r="H341">
        <v>0</v>
      </c>
      <c r="I341">
        <v>0.51727589449583733</v>
      </c>
      <c r="J341">
        <f t="shared" si="10"/>
        <v>0</v>
      </c>
      <c r="K341">
        <f t="shared" si="11"/>
        <v>0</v>
      </c>
    </row>
    <row r="342" spans="1:11" x14ac:dyDescent="0.25">
      <c r="A342" t="s">
        <v>10</v>
      </c>
      <c r="B342" t="s">
        <v>370</v>
      </c>
      <c r="C342" t="s">
        <v>331</v>
      </c>
      <c r="D342" t="s">
        <v>1297</v>
      </c>
      <c r="E342" t="s">
        <v>316</v>
      </c>
      <c r="F342">
        <v>33291</v>
      </c>
      <c r="G342">
        <v>204</v>
      </c>
      <c r="H342">
        <v>0</v>
      </c>
      <c r="I342">
        <v>0.22702286334512112</v>
      </c>
      <c r="J342">
        <f t="shared" si="10"/>
        <v>0</v>
      </c>
      <c r="K342">
        <f t="shared" si="11"/>
        <v>0</v>
      </c>
    </row>
    <row r="343" spans="1:11" x14ac:dyDescent="0.25">
      <c r="A343" t="s">
        <v>10</v>
      </c>
      <c r="B343" t="s">
        <v>371</v>
      </c>
      <c r="C343" t="s">
        <v>85</v>
      </c>
      <c r="D343" t="s">
        <v>991</v>
      </c>
      <c r="E343" t="s">
        <v>85</v>
      </c>
      <c r="F343">
        <v>34211</v>
      </c>
      <c r="G343">
        <v>138</v>
      </c>
      <c r="H343">
        <v>0</v>
      </c>
      <c r="I343">
        <v>0.35025419145484038</v>
      </c>
      <c r="J343">
        <f t="shared" si="10"/>
        <v>0</v>
      </c>
      <c r="K343">
        <f t="shared" si="11"/>
        <v>0</v>
      </c>
    </row>
    <row r="344" spans="1:11" x14ac:dyDescent="0.25">
      <c r="A344" t="s">
        <v>10</v>
      </c>
      <c r="B344" t="s">
        <v>372</v>
      </c>
      <c r="C344" t="s">
        <v>331</v>
      </c>
      <c r="D344" t="s">
        <v>1297</v>
      </c>
      <c r="E344" t="s">
        <v>316</v>
      </c>
      <c r="F344">
        <v>34212</v>
      </c>
      <c r="G344">
        <v>505</v>
      </c>
      <c r="H344">
        <v>7</v>
      </c>
      <c r="I344">
        <v>0.13368009185100393</v>
      </c>
      <c r="J344">
        <f t="shared" si="10"/>
        <v>1.3861386138613862E-2</v>
      </c>
      <c r="K344">
        <f t="shared" si="11"/>
        <v>1.8529913721921337E-3</v>
      </c>
    </row>
    <row r="345" spans="1:11" x14ac:dyDescent="0.25">
      <c r="A345" t="s">
        <v>10</v>
      </c>
      <c r="B345" t="s">
        <v>373</v>
      </c>
      <c r="C345" t="s">
        <v>234</v>
      </c>
      <c r="D345" t="s">
        <v>1278</v>
      </c>
      <c r="E345" t="s">
        <v>88</v>
      </c>
      <c r="F345">
        <v>34243</v>
      </c>
      <c r="G345">
        <v>796</v>
      </c>
      <c r="H345">
        <v>0</v>
      </c>
      <c r="I345">
        <v>0.19477660240426953</v>
      </c>
      <c r="J345">
        <f t="shared" si="10"/>
        <v>0</v>
      </c>
      <c r="K345">
        <f t="shared" si="11"/>
        <v>0</v>
      </c>
    </row>
    <row r="346" spans="1:11" x14ac:dyDescent="0.25">
      <c r="A346" t="s">
        <v>10</v>
      </c>
      <c r="B346" t="s">
        <v>374</v>
      </c>
      <c r="C346" t="s">
        <v>82</v>
      </c>
      <c r="D346" t="s">
        <v>1266</v>
      </c>
      <c r="E346" t="s">
        <v>83</v>
      </c>
      <c r="F346">
        <v>34247</v>
      </c>
      <c r="G346">
        <v>250</v>
      </c>
      <c r="H346">
        <v>0</v>
      </c>
      <c r="I346">
        <v>0.14561330986571863</v>
      </c>
      <c r="J346">
        <f t="shared" si="10"/>
        <v>0</v>
      </c>
      <c r="K346">
        <f t="shared" si="11"/>
        <v>0</v>
      </c>
    </row>
    <row r="347" spans="1:11" x14ac:dyDescent="0.25">
      <c r="A347" t="s">
        <v>10</v>
      </c>
      <c r="B347" t="s">
        <v>375</v>
      </c>
      <c r="C347" t="s">
        <v>85</v>
      </c>
      <c r="D347" t="s">
        <v>991</v>
      </c>
      <c r="E347" t="s">
        <v>85</v>
      </c>
      <c r="F347">
        <v>35111</v>
      </c>
      <c r="G347">
        <v>15896</v>
      </c>
      <c r="H347">
        <v>495</v>
      </c>
      <c r="I347">
        <v>0.52601456673049496</v>
      </c>
      <c r="J347">
        <f t="shared" si="10"/>
        <v>3.1139909411172621E-2</v>
      </c>
      <c r="K347">
        <f t="shared" si="11"/>
        <v>1.6380045956944828E-2</v>
      </c>
    </row>
    <row r="348" spans="1:11" x14ac:dyDescent="0.25">
      <c r="A348" t="s">
        <v>10</v>
      </c>
      <c r="B348" t="s">
        <v>376</v>
      </c>
      <c r="C348" t="s">
        <v>85</v>
      </c>
      <c r="D348" t="s">
        <v>991</v>
      </c>
      <c r="E348" t="s">
        <v>85</v>
      </c>
      <c r="F348">
        <v>35113</v>
      </c>
      <c r="G348">
        <v>3142</v>
      </c>
      <c r="H348">
        <v>210</v>
      </c>
      <c r="I348">
        <v>0.52123676589026569</v>
      </c>
      <c r="J348">
        <f t="shared" si="10"/>
        <v>6.6836409929980897E-2</v>
      </c>
      <c r="K348">
        <f t="shared" si="11"/>
        <v>3.4837594155619281E-2</v>
      </c>
    </row>
    <row r="349" spans="1:11" x14ac:dyDescent="0.25">
      <c r="A349" t="s">
        <v>10</v>
      </c>
      <c r="B349" t="s">
        <v>377</v>
      </c>
      <c r="C349" t="s">
        <v>85</v>
      </c>
      <c r="D349" t="s">
        <v>991</v>
      </c>
      <c r="E349" t="s">
        <v>85</v>
      </c>
      <c r="F349">
        <v>35115</v>
      </c>
      <c r="G349">
        <v>1014</v>
      </c>
      <c r="H349">
        <v>100</v>
      </c>
      <c r="I349">
        <v>0.21389378796786207</v>
      </c>
      <c r="J349">
        <f t="shared" si="10"/>
        <v>9.8619329388560162E-2</v>
      </c>
      <c r="K349">
        <f t="shared" si="11"/>
        <v>2.1094061929769436E-2</v>
      </c>
    </row>
    <row r="350" spans="1:11" x14ac:dyDescent="0.25">
      <c r="A350" t="s">
        <v>10</v>
      </c>
      <c r="B350" t="s">
        <v>378</v>
      </c>
      <c r="C350" t="s">
        <v>85</v>
      </c>
      <c r="D350" t="s">
        <v>991</v>
      </c>
      <c r="E350" t="s">
        <v>85</v>
      </c>
      <c r="F350">
        <v>35117</v>
      </c>
      <c r="G350">
        <v>1769</v>
      </c>
      <c r="H350">
        <v>67</v>
      </c>
      <c r="I350">
        <v>0.32467105065729862</v>
      </c>
      <c r="J350">
        <f t="shared" si="10"/>
        <v>3.7874505370265689E-2</v>
      </c>
      <c r="K350">
        <f t="shared" si="11"/>
        <v>1.2296755451689661E-2</v>
      </c>
    </row>
    <row r="351" spans="1:11" x14ac:dyDescent="0.25">
      <c r="A351" t="s">
        <v>10</v>
      </c>
      <c r="B351" t="s">
        <v>379</v>
      </c>
      <c r="C351" t="s">
        <v>85</v>
      </c>
      <c r="D351" t="s">
        <v>991</v>
      </c>
      <c r="E351" t="s">
        <v>85</v>
      </c>
      <c r="F351">
        <v>35119</v>
      </c>
      <c r="G351">
        <v>921</v>
      </c>
      <c r="H351">
        <v>324</v>
      </c>
      <c r="I351">
        <v>3.7310612770279139E-2</v>
      </c>
      <c r="J351">
        <f t="shared" si="10"/>
        <v>0.3517915309446254</v>
      </c>
      <c r="K351">
        <f t="shared" si="11"/>
        <v>1.3125557586938589E-2</v>
      </c>
    </row>
    <row r="352" spans="1:11" x14ac:dyDescent="0.25">
      <c r="A352" t="s">
        <v>10</v>
      </c>
      <c r="B352" t="s">
        <v>380</v>
      </c>
      <c r="C352" t="s">
        <v>85</v>
      </c>
      <c r="D352" t="s">
        <v>991</v>
      </c>
      <c r="E352" t="s">
        <v>85</v>
      </c>
      <c r="F352">
        <v>35121</v>
      </c>
      <c r="G352">
        <v>185</v>
      </c>
      <c r="H352">
        <v>0</v>
      </c>
      <c r="I352">
        <v>0</v>
      </c>
      <c r="J352">
        <f t="shared" si="10"/>
        <v>0</v>
      </c>
      <c r="K352">
        <f t="shared" si="11"/>
        <v>0</v>
      </c>
    </row>
    <row r="353" spans="1:11" x14ac:dyDescent="0.25">
      <c r="A353" t="s">
        <v>10</v>
      </c>
      <c r="B353" t="s">
        <v>381</v>
      </c>
      <c r="C353" t="s">
        <v>85</v>
      </c>
      <c r="D353" t="s">
        <v>991</v>
      </c>
      <c r="E353" t="s">
        <v>85</v>
      </c>
      <c r="F353">
        <v>35123</v>
      </c>
      <c r="G353">
        <v>2338</v>
      </c>
      <c r="H353">
        <v>14</v>
      </c>
      <c r="I353">
        <v>0.25802706349352544</v>
      </c>
      <c r="J353">
        <f t="shared" si="10"/>
        <v>5.9880239520958087E-3</v>
      </c>
      <c r="K353">
        <f t="shared" si="11"/>
        <v>1.5450722364881765E-3</v>
      </c>
    </row>
    <row r="354" spans="1:11" x14ac:dyDescent="0.25">
      <c r="A354" t="s">
        <v>10</v>
      </c>
      <c r="B354" t="s">
        <v>382</v>
      </c>
      <c r="C354" t="s">
        <v>85</v>
      </c>
      <c r="D354" t="s">
        <v>991</v>
      </c>
      <c r="E354" t="s">
        <v>85</v>
      </c>
      <c r="F354">
        <v>35126</v>
      </c>
      <c r="G354">
        <v>2541</v>
      </c>
      <c r="H354">
        <v>75</v>
      </c>
      <c r="I354">
        <v>0.13323176373991585</v>
      </c>
      <c r="J354">
        <f t="shared" si="10"/>
        <v>2.9515938606847699E-2</v>
      </c>
      <c r="K354">
        <f t="shared" si="11"/>
        <v>3.9324605590293936E-3</v>
      </c>
    </row>
    <row r="355" spans="1:11" x14ac:dyDescent="0.25">
      <c r="A355" t="s">
        <v>10</v>
      </c>
      <c r="B355" t="s">
        <v>383</v>
      </c>
      <c r="C355" t="s">
        <v>85</v>
      </c>
      <c r="D355" t="s">
        <v>991</v>
      </c>
      <c r="E355" t="s">
        <v>85</v>
      </c>
      <c r="F355">
        <v>35127</v>
      </c>
      <c r="G355">
        <v>2134</v>
      </c>
      <c r="H355">
        <v>135</v>
      </c>
      <c r="I355">
        <v>0.18379181258302135</v>
      </c>
      <c r="J355">
        <f t="shared" si="10"/>
        <v>6.3261480787253979E-2</v>
      </c>
      <c r="K355">
        <f t="shared" si="11"/>
        <v>1.1626942220575389E-2</v>
      </c>
    </row>
    <row r="356" spans="1:11" x14ac:dyDescent="0.25">
      <c r="A356" t="s">
        <v>10</v>
      </c>
      <c r="B356" t="s">
        <v>384</v>
      </c>
      <c r="C356" t="s">
        <v>85</v>
      </c>
      <c r="D356" t="s">
        <v>991</v>
      </c>
      <c r="E356" t="s">
        <v>85</v>
      </c>
      <c r="F356">
        <v>35129</v>
      </c>
      <c r="G356">
        <v>6756</v>
      </c>
      <c r="H356">
        <v>75</v>
      </c>
      <c r="I356">
        <v>0.62560455712209573</v>
      </c>
      <c r="J356">
        <f t="shared" si="10"/>
        <v>1.1101243339253997E-2</v>
      </c>
      <c r="K356">
        <f t="shared" si="11"/>
        <v>6.944988422758612E-3</v>
      </c>
    </row>
    <row r="357" spans="1:11" x14ac:dyDescent="0.25">
      <c r="A357" t="s">
        <v>10</v>
      </c>
      <c r="B357" t="s">
        <v>385</v>
      </c>
      <c r="C357" t="s">
        <v>85</v>
      </c>
      <c r="D357" t="s">
        <v>991</v>
      </c>
      <c r="E357" t="s">
        <v>85</v>
      </c>
      <c r="F357">
        <v>35131</v>
      </c>
      <c r="G357">
        <v>641</v>
      </c>
      <c r="H357">
        <v>81</v>
      </c>
      <c r="I357">
        <v>0.2248639609759705</v>
      </c>
      <c r="J357">
        <f t="shared" si="10"/>
        <v>0.12636505460218408</v>
      </c>
      <c r="K357">
        <f t="shared" si="11"/>
        <v>2.8414946706791903E-2</v>
      </c>
    </row>
    <row r="358" spans="1:11" x14ac:dyDescent="0.25">
      <c r="A358" t="s">
        <v>10</v>
      </c>
      <c r="B358" t="s">
        <v>386</v>
      </c>
      <c r="C358" t="s">
        <v>85</v>
      </c>
      <c r="D358" t="s">
        <v>991</v>
      </c>
      <c r="E358" t="s">
        <v>85</v>
      </c>
      <c r="F358">
        <v>35133</v>
      </c>
      <c r="G358">
        <v>753</v>
      </c>
      <c r="H358">
        <v>0</v>
      </c>
      <c r="I358">
        <v>0.62902805204890577</v>
      </c>
      <c r="J358">
        <f t="shared" si="10"/>
        <v>0</v>
      </c>
      <c r="K358">
        <f t="shared" si="11"/>
        <v>0</v>
      </c>
    </row>
    <row r="359" spans="1:11" x14ac:dyDescent="0.25">
      <c r="A359" t="s">
        <v>10</v>
      </c>
      <c r="B359" t="s">
        <v>387</v>
      </c>
      <c r="C359" t="s">
        <v>85</v>
      </c>
      <c r="D359" t="s">
        <v>991</v>
      </c>
      <c r="E359" t="s">
        <v>85</v>
      </c>
      <c r="F359">
        <v>35134</v>
      </c>
      <c r="G359">
        <v>122</v>
      </c>
      <c r="H359">
        <v>0</v>
      </c>
      <c r="I359">
        <v>0.6023585904950215</v>
      </c>
      <c r="J359">
        <f t="shared" si="10"/>
        <v>0</v>
      </c>
      <c r="K359">
        <f t="shared" si="11"/>
        <v>0</v>
      </c>
    </row>
    <row r="360" spans="1:11" x14ac:dyDescent="0.25">
      <c r="A360" t="s">
        <v>10</v>
      </c>
      <c r="B360" t="s">
        <v>388</v>
      </c>
      <c r="C360" t="s">
        <v>85</v>
      </c>
      <c r="D360" t="s">
        <v>991</v>
      </c>
      <c r="E360" t="s">
        <v>85</v>
      </c>
      <c r="F360">
        <v>35137</v>
      </c>
      <c r="G360">
        <v>5383</v>
      </c>
      <c r="H360">
        <v>22</v>
      </c>
      <c r="I360">
        <v>6.6590798576098287E-3</v>
      </c>
      <c r="J360">
        <f t="shared" si="10"/>
        <v>4.0869403678246334E-3</v>
      </c>
      <c r="K360">
        <f t="shared" si="11"/>
        <v>2.7215262282633522E-5</v>
      </c>
    </row>
    <row r="361" spans="1:11" x14ac:dyDescent="0.25">
      <c r="A361" t="s">
        <v>10</v>
      </c>
      <c r="B361" t="s">
        <v>389</v>
      </c>
      <c r="C361" t="s">
        <v>85</v>
      </c>
      <c r="D361" t="s">
        <v>991</v>
      </c>
      <c r="E361" t="s">
        <v>85</v>
      </c>
      <c r="F361">
        <v>35139</v>
      </c>
      <c r="G361">
        <v>1487</v>
      </c>
      <c r="H361">
        <v>57</v>
      </c>
      <c r="I361">
        <v>1.6718853812953016E-2</v>
      </c>
      <c r="J361">
        <f t="shared" si="10"/>
        <v>3.833221250840619E-2</v>
      </c>
      <c r="K361">
        <f t="shared" si="11"/>
        <v>6.4087065725509213E-4</v>
      </c>
    </row>
    <row r="362" spans="1:11" x14ac:dyDescent="0.25">
      <c r="A362" t="s">
        <v>10</v>
      </c>
      <c r="B362" t="s">
        <v>390</v>
      </c>
      <c r="C362" t="s">
        <v>85</v>
      </c>
      <c r="D362" t="s">
        <v>991</v>
      </c>
      <c r="E362" t="s">
        <v>85</v>
      </c>
      <c r="F362">
        <v>35141</v>
      </c>
      <c r="G362">
        <v>5483</v>
      </c>
      <c r="H362">
        <v>90</v>
      </c>
      <c r="I362">
        <v>2.4332869133200541E-2</v>
      </c>
      <c r="J362">
        <f t="shared" si="10"/>
        <v>1.6414371694327922E-2</v>
      </c>
      <c r="K362">
        <f t="shared" si="11"/>
        <v>3.9940875834179254E-4</v>
      </c>
    </row>
    <row r="363" spans="1:11" x14ac:dyDescent="0.25">
      <c r="A363" t="s">
        <v>10</v>
      </c>
      <c r="B363" t="s">
        <v>391</v>
      </c>
      <c r="C363" t="s">
        <v>85</v>
      </c>
      <c r="D363" t="s">
        <v>991</v>
      </c>
      <c r="E363" t="s">
        <v>85</v>
      </c>
      <c r="F363">
        <v>35143</v>
      </c>
      <c r="G363">
        <v>1291</v>
      </c>
      <c r="H363">
        <v>27</v>
      </c>
      <c r="I363">
        <v>1.0365228666118997E-2</v>
      </c>
      <c r="J363">
        <f t="shared" si="10"/>
        <v>2.0914020139426802E-2</v>
      </c>
      <c r="K363">
        <f t="shared" si="11"/>
        <v>2.1677860107297673E-4</v>
      </c>
    </row>
    <row r="364" spans="1:11" x14ac:dyDescent="0.25">
      <c r="A364" t="s">
        <v>10</v>
      </c>
      <c r="B364" t="s">
        <v>392</v>
      </c>
      <c r="C364" t="s">
        <v>85</v>
      </c>
      <c r="D364" t="s">
        <v>991</v>
      </c>
      <c r="E364" t="s">
        <v>85</v>
      </c>
      <c r="F364">
        <v>35145</v>
      </c>
      <c r="G364">
        <v>1049</v>
      </c>
      <c r="H364">
        <v>0</v>
      </c>
      <c r="I364">
        <v>0.53603672925002566</v>
      </c>
      <c r="J364">
        <f t="shared" si="10"/>
        <v>0</v>
      </c>
      <c r="K364">
        <f t="shared" si="11"/>
        <v>0</v>
      </c>
    </row>
    <row r="365" spans="1:11" x14ac:dyDescent="0.25">
      <c r="A365" t="s">
        <v>10</v>
      </c>
      <c r="B365" t="s">
        <v>393</v>
      </c>
      <c r="C365" t="s">
        <v>85</v>
      </c>
      <c r="D365" t="s">
        <v>991</v>
      </c>
      <c r="E365" t="s">
        <v>85</v>
      </c>
      <c r="F365">
        <v>35147</v>
      </c>
      <c r="G365">
        <v>2622</v>
      </c>
      <c r="H365">
        <v>27</v>
      </c>
      <c r="I365">
        <v>0.16995748900280017</v>
      </c>
      <c r="J365">
        <f t="shared" si="10"/>
        <v>1.0297482837528604E-2</v>
      </c>
      <c r="K365">
        <f t="shared" si="11"/>
        <v>1.7501343261157913E-3</v>
      </c>
    </row>
    <row r="366" spans="1:11" x14ac:dyDescent="0.25">
      <c r="A366" t="s">
        <v>10</v>
      </c>
      <c r="B366" t="s">
        <v>394</v>
      </c>
      <c r="C366" t="s">
        <v>85</v>
      </c>
      <c r="D366" t="s">
        <v>991</v>
      </c>
      <c r="E366" t="s">
        <v>85</v>
      </c>
      <c r="F366">
        <v>35149</v>
      </c>
      <c r="G366">
        <v>7974</v>
      </c>
      <c r="H366">
        <v>247</v>
      </c>
      <c r="I366">
        <v>0.54728745411106572</v>
      </c>
      <c r="J366">
        <f t="shared" si="10"/>
        <v>3.0975670930524203E-2</v>
      </c>
      <c r="K366">
        <f t="shared" si="11"/>
        <v>1.6952596082948738E-2</v>
      </c>
    </row>
    <row r="367" spans="1:11" x14ac:dyDescent="0.25">
      <c r="A367" t="s">
        <v>10</v>
      </c>
      <c r="B367" t="s">
        <v>395</v>
      </c>
      <c r="C367" t="s">
        <v>85</v>
      </c>
      <c r="D367" t="s">
        <v>991</v>
      </c>
      <c r="E367" t="s">
        <v>85</v>
      </c>
      <c r="F367">
        <v>35151</v>
      </c>
      <c r="G367">
        <v>1720</v>
      </c>
      <c r="H367">
        <v>135</v>
      </c>
      <c r="I367">
        <v>9.4538595546987958E-3</v>
      </c>
      <c r="J367">
        <f t="shared" si="10"/>
        <v>7.8488372093023256E-2</v>
      </c>
      <c r="K367">
        <f t="shared" si="11"/>
        <v>7.4201804644438219E-4</v>
      </c>
    </row>
    <row r="368" spans="1:11" x14ac:dyDescent="0.25">
      <c r="A368" t="s">
        <v>10</v>
      </c>
      <c r="B368" t="s">
        <v>396</v>
      </c>
      <c r="C368" t="s">
        <v>85</v>
      </c>
      <c r="D368" t="s">
        <v>991</v>
      </c>
      <c r="E368" t="s">
        <v>85</v>
      </c>
      <c r="F368">
        <v>35153</v>
      </c>
      <c r="G368">
        <v>636</v>
      </c>
      <c r="H368">
        <v>5</v>
      </c>
      <c r="I368">
        <v>1.8053634677011154E-2</v>
      </c>
      <c r="J368">
        <f t="shared" si="10"/>
        <v>7.8616352201257862E-3</v>
      </c>
      <c r="K368">
        <f t="shared" si="11"/>
        <v>1.419310902280751E-4</v>
      </c>
    </row>
    <row r="369" spans="1:11" x14ac:dyDescent="0.25">
      <c r="A369" t="s">
        <v>10</v>
      </c>
      <c r="B369" t="s">
        <v>397</v>
      </c>
      <c r="C369" t="s">
        <v>85</v>
      </c>
      <c r="D369" t="s">
        <v>991</v>
      </c>
      <c r="E369" t="s">
        <v>85</v>
      </c>
      <c r="F369">
        <v>35155</v>
      </c>
      <c r="G369">
        <v>614</v>
      </c>
      <c r="H369">
        <v>0</v>
      </c>
      <c r="I369">
        <v>0.2846013699597485</v>
      </c>
      <c r="J369">
        <f t="shared" si="10"/>
        <v>0</v>
      </c>
      <c r="K369">
        <f t="shared" si="11"/>
        <v>0</v>
      </c>
    </row>
    <row r="370" spans="1:11" x14ac:dyDescent="0.25">
      <c r="A370" t="s">
        <v>10</v>
      </c>
      <c r="B370" t="s">
        <v>398</v>
      </c>
      <c r="C370" t="s">
        <v>85</v>
      </c>
      <c r="D370" t="s">
        <v>991</v>
      </c>
      <c r="E370" t="s">
        <v>85</v>
      </c>
      <c r="F370">
        <v>35159</v>
      </c>
      <c r="G370">
        <v>599</v>
      </c>
      <c r="H370">
        <v>25</v>
      </c>
      <c r="I370">
        <v>9.6450892836545066E-2</v>
      </c>
      <c r="J370">
        <f t="shared" si="10"/>
        <v>4.1736227045075125E-2</v>
      </c>
      <c r="K370">
        <f t="shared" si="11"/>
        <v>4.0254963621262551E-3</v>
      </c>
    </row>
    <row r="371" spans="1:11" x14ac:dyDescent="0.25">
      <c r="A371" t="s">
        <v>10</v>
      </c>
      <c r="B371" t="s">
        <v>399</v>
      </c>
      <c r="C371" t="s">
        <v>85</v>
      </c>
      <c r="D371" t="s">
        <v>991</v>
      </c>
      <c r="E371" t="s">
        <v>85</v>
      </c>
      <c r="F371">
        <v>35161</v>
      </c>
      <c r="G371">
        <v>463</v>
      </c>
      <c r="H371">
        <v>0</v>
      </c>
      <c r="I371">
        <v>0.27494020792019724</v>
      </c>
      <c r="J371">
        <f t="shared" si="10"/>
        <v>0</v>
      </c>
      <c r="K371">
        <f t="shared" si="11"/>
        <v>0</v>
      </c>
    </row>
    <row r="372" spans="1:11" x14ac:dyDescent="0.25">
      <c r="A372" t="s">
        <v>10</v>
      </c>
      <c r="B372" t="s">
        <v>400</v>
      </c>
      <c r="C372" t="s">
        <v>85</v>
      </c>
      <c r="D372" t="s">
        <v>991</v>
      </c>
      <c r="E372" t="s">
        <v>85</v>
      </c>
      <c r="F372">
        <v>35163</v>
      </c>
      <c r="G372">
        <v>1284</v>
      </c>
      <c r="H372">
        <v>23</v>
      </c>
      <c r="I372">
        <v>0.19142291021483615</v>
      </c>
      <c r="J372">
        <f t="shared" si="10"/>
        <v>1.791277258566978E-2</v>
      </c>
      <c r="K372">
        <f t="shared" si="11"/>
        <v>3.4289150583654447E-3</v>
      </c>
    </row>
    <row r="373" spans="1:11" x14ac:dyDescent="0.25">
      <c r="A373" t="s">
        <v>10</v>
      </c>
      <c r="B373" t="s">
        <v>401</v>
      </c>
      <c r="C373" t="s">
        <v>85</v>
      </c>
      <c r="D373" t="s">
        <v>991</v>
      </c>
      <c r="E373" t="s">
        <v>85</v>
      </c>
      <c r="F373">
        <v>35167</v>
      </c>
      <c r="G373">
        <v>1051</v>
      </c>
      <c r="H373">
        <v>23</v>
      </c>
      <c r="I373">
        <v>6.904405058430152E-3</v>
      </c>
      <c r="J373">
        <f t="shared" si="10"/>
        <v>2.1883920076117985E-2</v>
      </c>
      <c r="K373">
        <f t="shared" si="11"/>
        <v>1.5109544847183016E-4</v>
      </c>
    </row>
    <row r="374" spans="1:11" x14ac:dyDescent="0.25">
      <c r="A374" t="s">
        <v>10</v>
      </c>
      <c r="B374" t="s">
        <v>402</v>
      </c>
      <c r="C374" t="s">
        <v>85</v>
      </c>
      <c r="D374" t="s">
        <v>991</v>
      </c>
      <c r="E374" t="s">
        <v>85</v>
      </c>
      <c r="F374">
        <v>35169</v>
      </c>
      <c r="G374">
        <v>224</v>
      </c>
      <c r="H374">
        <v>14</v>
      </c>
      <c r="I374">
        <v>0.13774046126049533</v>
      </c>
      <c r="J374">
        <f t="shared" si="10"/>
        <v>6.25E-2</v>
      </c>
      <c r="K374">
        <f t="shared" si="11"/>
        <v>8.608778828780958E-3</v>
      </c>
    </row>
    <row r="375" spans="1:11" x14ac:dyDescent="0.25">
      <c r="A375" t="s">
        <v>10</v>
      </c>
      <c r="B375" t="s">
        <v>403</v>
      </c>
      <c r="C375" t="s">
        <v>85</v>
      </c>
      <c r="D375" t="s">
        <v>991</v>
      </c>
      <c r="E375" t="s">
        <v>85</v>
      </c>
      <c r="F375">
        <v>35171</v>
      </c>
      <c r="G375">
        <v>5726</v>
      </c>
      <c r="H375">
        <v>100</v>
      </c>
      <c r="I375">
        <v>7.6218940083940256E-2</v>
      </c>
      <c r="J375">
        <f t="shared" si="10"/>
        <v>1.7464198393293748E-2</v>
      </c>
      <c r="K375">
        <f t="shared" si="11"/>
        <v>1.3311026909525018E-3</v>
      </c>
    </row>
    <row r="376" spans="1:11" x14ac:dyDescent="0.25">
      <c r="A376" t="s">
        <v>10</v>
      </c>
      <c r="B376" t="s">
        <v>404</v>
      </c>
      <c r="C376" t="s">
        <v>85</v>
      </c>
      <c r="D376" t="s">
        <v>991</v>
      </c>
      <c r="E376" t="s">
        <v>85</v>
      </c>
      <c r="F376">
        <v>35174</v>
      </c>
      <c r="G376">
        <v>1027</v>
      </c>
      <c r="H376">
        <v>0</v>
      </c>
      <c r="I376">
        <v>0.19137012101741846</v>
      </c>
      <c r="J376">
        <f t="shared" si="10"/>
        <v>0</v>
      </c>
      <c r="K376">
        <f t="shared" si="11"/>
        <v>0</v>
      </c>
    </row>
    <row r="377" spans="1:11" x14ac:dyDescent="0.25">
      <c r="A377" t="s">
        <v>10</v>
      </c>
      <c r="B377" t="s">
        <v>405</v>
      </c>
      <c r="C377" t="s">
        <v>85</v>
      </c>
      <c r="D377" t="s">
        <v>991</v>
      </c>
      <c r="E377" t="s">
        <v>85</v>
      </c>
      <c r="F377">
        <v>35175</v>
      </c>
      <c r="G377">
        <v>2220</v>
      </c>
      <c r="H377">
        <v>315</v>
      </c>
      <c r="I377">
        <v>0.44977225363893758</v>
      </c>
      <c r="J377">
        <f t="shared" si="10"/>
        <v>0.14189189189189189</v>
      </c>
      <c r="K377">
        <f t="shared" si="11"/>
        <v>6.3819035989308714E-2</v>
      </c>
    </row>
    <row r="378" spans="1:11" x14ac:dyDescent="0.25">
      <c r="A378" t="s">
        <v>10</v>
      </c>
      <c r="B378" t="s">
        <v>406</v>
      </c>
      <c r="C378" t="s">
        <v>85</v>
      </c>
      <c r="D378" t="s">
        <v>991</v>
      </c>
      <c r="E378" t="s">
        <v>85</v>
      </c>
      <c r="F378">
        <v>35177</v>
      </c>
      <c r="G378">
        <v>1157</v>
      </c>
      <c r="H378">
        <v>18</v>
      </c>
      <c r="I378">
        <v>2.263286613120552E-2</v>
      </c>
      <c r="J378">
        <f t="shared" si="10"/>
        <v>1.5557476231633534E-2</v>
      </c>
      <c r="K378">
        <f t="shared" si="11"/>
        <v>3.521102768899735E-4</v>
      </c>
    </row>
    <row r="379" spans="1:11" x14ac:dyDescent="0.25">
      <c r="A379" t="s">
        <v>10</v>
      </c>
      <c r="B379" t="s">
        <v>407</v>
      </c>
      <c r="C379" t="s">
        <v>85</v>
      </c>
      <c r="D379" t="s">
        <v>991</v>
      </c>
      <c r="E379" t="s">
        <v>85</v>
      </c>
      <c r="F379">
        <v>35179</v>
      </c>
      <c r="G379">
        <v>734</v>
      </c>
      <c r="H379">
        <v>0</v>
      </c>
      <c r="I379">
        <v>0.41515827664399063</v>
      </c>
      <c r="J379">
        <f t="shared" si="10"/>
        <v>0</v>
      </c>
      <c r="K379">
        <f t="shared" si="11"/>
        <v>0</v>
      </c>
    </row>
    <row r="380" spans="1:11" x14ac:dyDescent="0.25">
      <c r="A380" t="s">
        <v>10</v>
      </c>
      <c r="B380" t="s">
        <v>408</v>
      </c>
      <c r="C380" t="s">
        <v>85</v>
      </c>
      <c r="D380" t="s">
        <v>991</v>
      </c>
      <c r="E380" t="s">
        <v>85</v>
      </c>
      <c r="F380">
        <v>35181</v>
      </c>
      <c r="G380">
        <v>418</v>
      </c>
      <c r="H380">
        <v>18</v>
      </c>
      <c r="I380">
        <v>0.53064755313890255</v>
      </c>
      <c r="J380">
        <f t="shared" si="10"/>
        <v>4.3062200956937802E-2</v>
      </c>
      <c r="K380">
        <f t="shared" si="11"/>
        <v>2.2850851570574753E-2</v>
      </c>
    </row>
    <row r="381" spans="1:11" x14ac:dyDescent="0.25">
      <c r="A381" t="s">
        <v>10</v>
      </c>
      <c r="B381" t="s">
        <v>409</v>
      </c>
      <c r="C381" t="s">
        <v>85</v>
      </c>
      <c r="D381" t="s">
        <v>991</v>
      </c>
      <c r="E381" t="s">
        <v>85</v>
      </c>
      <c r="F381">
        <v>35183</v>
      </c>
      <c r="G381">
        <v>927</v>
      </c>
      <c r="H381">
        <v>36</v>
      </c>
      <c r="I381">
        <v>2.5340241507373573E-2</v>
      </c>
      <c r="J381">
        <f t="shared" si="10"/>
        <v>3.8834951456310676E-2</v>
      </c>
      <c r="K381">
        <f t="shared" si="11"/>
        <v>9.840870488300416E-4</v>
      </c>
    </row>
    <row r="382" spans="1:11" x14ac:dyDescent="0.25">
      <c r="A382" t="s">
        <v>10</v>
      </c>
      <c r="B382" t="s">
        <v>410</v>
      </c>
      <c r="C382" t="s">
        <v>85</v>
      </c>
      <c r="D382" t="s">
        <v>991</v>
      </c>
      <c r="E382" t="s">
        <v>85</v>
      </c>
      <c r="F382">
        <v>35185</v>
      </c>
      <c r="G382">
        <v>1885</v>
      </c>
      <c r="H382">
        <v>40</v>
      </c>
      <c r="I382">
        <v>3.1707569311381967E-2</v>
      </c>
      <c r="J382">
        <f t="shared" si="10"/>
        <v>2.1220159151193633E-2</v>
      </c>
      <c r="K382">
        <f t="shared" si="11"/>
        <v>6.7283966708502844E-4</v>
      </c>
    </row>
    <row r="383" spans="1:11" x14ac:dyDescent="0.25">
      <c r="A383" t="s">
        <v>10</v>
      </c>
      <c r="B383" t="s">
        <v>411</v>
      </c>
      <c r="C383" t="s">
        <v>85</v>
      </c>
      <c r="D383" t="s">
        <v>991</v>
      </c>
      <c r="E383" t="s">
        <v>85</v>
      </c>
      <c r="F383">
        <v>35187</v>
      </c>
      <c r="G383">
        <v>1820</v>
      </c>
      <c r="H383">
        <v>14</v>
      </c>
      <c r="I383">
        <v>0.21000693492958378</v>
      </c>
      <c r="J383">
        <f t="shared" si="10"/>
        <v>7.6923076923076927E-3</v>
      </c>
      <c r="K383">
        <f t="shared" si="11"/>
        <v>1.6154379609967984E-3</v>
      </c>
    </row>
    <row r="384" spans="1:11" x14ac:dyDescent="0.25">
      <c r="A384" t="s">
        <v>10</v>
      </c>
      <c r="B384" t="s">
        <v>412</v>
      </c>
      <c r="C384" t="s">
        <v>85</v>
      </c>
      <c r="D384" t="s">
        <v>991</v>
      </c>
      <c r="E384" t="s">
        <v>85</v>
      </c>
      <c r="F384">
        <v>35189</v>
      </c>
      <c r="G384">
        <v>2924</v>
      </c>
      <c r="H384">
        <v>184</v>
      </c>
      <c r="I384">
        <v>0.57219727354974581</v>
      </c>
      <c r="J384">
        <f t="shared" si="10"/>
        <v>6.2927496580027359E-2</v>
      </c>
      <c r="K384">
        <f t="shared" si="11"/>
        <v>3.6006941974402608E-2</v>
      </c>
    </row>
    <row r="385" spans="1:11" x14ac:dyDescent="0.25">
      <c r="A385" t="s">
        <v>10</v>
      </c>
      <c r="B385" t="s">
        <v>413</v>
      </c>
      <c r="C385" t="s">
        <v>85</v>
      </c>
      <c r="D385" t="s">
        <v>991</v>
      </c>
      <c r="E385" t="s">
        <v>85</v>
      </c>
      <c r="F385">
        <v>35191</v>
      </c>
      <c r="G385">
        <v>10147</v>
      </c>
      <c r="H385">
        <v>199</v>
      </c>
      <c r="I385">
        <v>2.170504312594046E-2</v>
      </c>
      <c r="J385">
        <f t="shared" si="10"/>
        <v>1.9611707893958805E-2</v>
      </c>
      <c r="K385">
        <f t="shared" si="11"/>
        <v>4.2567296561172284E-4</v>
      </c>
    </row>
    <row r="386" spans="1:11" x14ac:dyDescent="0.25">
      <c r="A386" t="s">
        <v>10</v>
      </c>
      <c r="B386" t="s">
        <v>414</v>
      </c>
      <c r="C386" t="s">
        <v>85</v>
      </c>
      <c r="D386" t="s">
        <v>991</v>
      </c>
      <c r="E386" t="s">
        <v>85</v>
      </c>
      <c r="F386">
        <v>35213</v>
      </c>
      <c r="G386">
        <v>2255</v>
      </c>
      <c r="H386">
        <v>225</v>
      </c>
      <c r="I386">
        <v>0.54349683744884381</v>
      </c>
      <c r="J386">
        <f t="shared" si="10"/>
        <v>9.9778270509977826E-2</v>
      </c>
      <c r="K386">
        <f t="shared" si="11"/>
        <v>5.4229174468288184E-2</v>
      </c>
    </row>
    <row r="387" spans="1:11" x14ac:dyDescent="0.25">
      <c r="A387" t="s">
        <v>10</v>
      </c>
      <c r="B387" t="s">
        <v>415</v>
      </c>
      <c r="C387" t="s">
        <v>85</v>
      </c>
      <c r="D387" t="s">
        <v>991</v>
      </c>
      <c r="E387" t="s">
        <v>85</v>
      </c>
      <c r="F387">
        <v>35215</v>
      </c>
      <c r="G387">
        <v>1985</v>
      </c>
      <c r="H387">
        <v>22</v>
      </c>
      <c r="I387">
        <v>1.1572978637101161E-2</v>
      </c>
      <c r="J387">
        <f t="shared" ref="J387:J450" si="12">IF(G387=0,0,H387/G387)</f>
        <v>1.1083123425692695E-2</v>
      </c>
      <c r="K387">
        <f t="shared" ref="K387:K450" si="13">J387*I387</f>
        <v>1.28264750637897E-4</v>
      </c>
    </row>
    <row r="388" spans="1:11" x14ac:dyDescent="0.25">
      <c r="A388" t="s">
        <v>10</v>
      </c>
      <c r="B388" t="s">
        <v>416</v>
      </c>
      <c r="C388" t="s">
        <v>85</v>
      </c>
      <c r="D388" t="s">
        <v>991</v>
      </c>
      <c r="E388" t="s">
        <v>85</v>
      </c>
      <c r="F388">
        <v>35216</v>
      </c>
      <c r="G388">
        <v>6692</v>
      </c>
      <c r="H388">
        <v>446</v>
      </c>
      <c r="I388">
        <v>3.1083636906698464E-2</v>
      </c>
      <c r="J388">
        <f t="shared" si="12"/>
        <v>6.6646742378959956E-2</v>
      </c>
      <c r="K388">
        <f t="shared" si="13"/>
        <v>2.0716231411218641E-3</v>
      </c>
    </row>
    <row r="389" spans="1:11" x14ac:dyDescent="0.25">
      <c r="A389" t="s">
        <v>10</v>
      </c>
      <c r="B389" t="s">
        <v>417</v>
      </c>
      <c r="C389" t="s">
        <v>85</v>
      </c>
      <c r="D389" t="s">
        <v>991</v>
      </c>
      <c r="E389" t="s">
        <v>85</v>
      </c>
      <c r="F389">
        <v>35217</v>
      </c>
      <c r="G389">
        <v>1192</v>
      </c>
      <c r="H389">
        <v>0</v>
      </c>
      <c r="I389">
        <v>8.46273699690131E-2</v>
      </c>
      <c r="J389">
        <f t="shared" si="12"/>
        <v>0</v>
      </c>
      <c r="K389">
        <f t="shared" si="13"/>
        <v>0</v>
      </c>
    </row>
    <row r="390" spans="1:11" x14ac:dyDescent="0.25">
      <c r="A390" t="s">
        <v>10</v>
      </c>
      <c r="B390" t="s">
        <v>418</v>
      </c>
      <c r="C390" t="s">
        <v>85</v>
      </c>
      <c r="D390" t="s">
        <v>991</v>
      </c>
      <c r="E390" t="s">
        <v>85</v>
      </c>
      <c r="F390">
        <v>35221</v>
      </c>
      <c r="G390">
        <v>4651</v>
      </c>
      <c r="H390">
        <v>0</v>
      </c>
      <c r="I390">
        <v>0.51813593696763305</v>
      </c>
      <c r="J390">
        <f t="shared" si="12"/>
        <v>0</v>
      </c>
      <c r="K390">
        <f t="shared" si="13"/>
        <v>0</v>
      </c>
    </row>
    <row r="391" spans="1:11" x14ac:dyDescent="0.25">
      <c r="A391" t="s">
        <v>10</v>
      </c>
      <c r="B391" t="s">
        <v>419</v>
      </c>
      <c r="C391" t="s">
        <v>85</v>
      </c>
      <c r="D391" t="s">
        <v>991</v>
      </c>
      <c r="E391" t="s">
        <v>85</v>
      </c>
      <c r="F391">
        <v>35224</v>
      </c>
      <c r="G391">
        <v>4376</v>
      </c>
      <c r="H391">
        <v>0</v>
      </c>
      <c r="I391">
        <v>1.7352834614137946E-2</v>
      </c>
      <c r="J391">
        <f t="shared" si="12"/>
        <v>0</v>
      </c>
      <c r="K391">
        <f t="shared" si="13"/>
        <v>0</v>
      </c>
    </row>
    <row r="392" spans="1:11" x14ac:dyDescent="0.25">
      <c r="A392" t="s">
        <v>10</v>
      </c>
      <c r="B392" t="s">
        <v>420</v>
      </c>
      <c r="C392" t="s">
        <v>85</v>
      </c>
      <c r="D392" t="s">
        <v>991</v>
      </c>
      <c r="E392" t="s">
        <v>85</v>
      </c>
      <c r="F392">
        <v>35225</v>
      </c>
      <c r="G392">
        <v>1116</v>
      </c>
      <c r="H392">
        <v>0</v>
      </c>
      <c r="I392">
        <v>0.40778443511531526</v>
      </c>
      <c r="J392">
        <f t="shared" si="12"/>
        <v>0</v>
      </c>
      <c r="K392">
        <f t="shared" si="13"/>
        <v>0</v>
      </c>
    </row>
    <row r="393" spans="1:11" x14ac:dyDescent="0.25">
      <c r="A393" t="s">
        <v>10</v>
      </c>
      <c r="B393" t="s">
        <v>421</v>
      </c>
      <c r="C393" t="s">
        <v>85</v>
      </c>
      <c r="D393" t="s">
        <v>991</v>
      </c>
      <c r="E393" t="s">
        <v>85</v>
      </c>
      <c r="F393">
        <v>35227</v>
      </c>
      <c r="G393">
        <v>2272</v>
      </c>
      <c r="H393">
        <v>27</v>
      </c>
      <c r="I393">
        <v>2.8979238754325065E-2</v>
      </c>
      <c r="J393">
        <f t="shared" si="12"/>
        <v>1.1883802816901408E-2</v>
      </c>
      <c r="K393">
        <f t="shared" si="13"/>
        <v>3.4438355914030667E-4</v>
      </c>
    </row>
    <row r="394" spans="1:11" x14ac:dyDescent="0.25">
      <c r="A394" t="s">
        <v>10</v>
      </c>
      <c r="B394" t="s">
        <v>422</v>
      </c>
      <c r="C394" t="s">
        <v>85</v>
      </c>
      <c r="D394" t="s">
        <v>991</v>
      </c>
      <c r="E394" t="s">
        <v>85</v>
      </c>
      <c r="F394">
        <v>35229</v>
      </c>
      <c r="G394">
        <v>4800</v>
      </c>
      <c r="H394">
        <v>0</v>
      </c>
      <c r="I394">
        <v>0.34636121783479867</v>
      </c>
      <c r="J394">
        <f t="shared" si="12"/>
        <v>0</v>
      </c>
      <c r="K394">
        <f t="shared" si="13"/>
        <v>0</v>
      </c>
    </row>
    <row r="395" spans="1:11" x14ac:dyDescent="0.25">
      <c r="A395" t="s">
        <v>10</v>
      </c>
      <c r="B395" t="s">
        <v>423</v>
      </c>
      <c r="C395" t="s">
        <v>424</v>
      </c>
      <c r="D395" t="s">
        <v>1288</v>
      </c>
      <c r="E395" t="s">
        <v>93</v>
      </c>
      <c r="F395">
        <v>35234</v>
      </c>
      <c r="G395">
        <v>1737</v>
      </c>
      <c r="H395">
        <v>0</v>
      </c>
      <c r="I395">
        <v>5.733806346774406E-2</v>
      </c>
      <c r="J395">
        <f t="shared" si="12"/>
        <v>0</v>
      </c>
      <c r="K395">
        <f t="shared" si="13"/>
        <v>0</v>
      </c>
    </row>
    <row r="396" spans="1:11" x14ac:dyDescent="0.25">
      <c r="A396" t="s">
        <v>10</v>
      </c>
      <c r="B396" t="s">
        <v>425</v>
      </c>
      <c r="C396" t="s">
        <v>85</v>
      </c>
      <c r="D396" t="s">
        <v>991</v>
      </c>
      <c r="E396" t="s">
        <v>85</v>
      </c>
      <c r="F396">
        <v>35235</v>
      </c>
      <c r="G396">
        <v>2817</v>
      </c>
      <c r="H396">
        <v>100</v>
      </c>
      <c r="I396">
        <v>0.22784203435311201</v>
      </c>
      <c r="J396">
        <f t="shared" si="12"/>
        <v>3.5498757543485977E-2</v>
      </c>
      <c r="K396">
        <f t="shared" si="13"/>
        <v>8.0881091357157264E-3</v>
      </c>
    </row>
    <row r="397" spans="1:11" x14ac:dyDescent="0.25">
      <c r="A397" t="s">
        <v>10</v>
      </c>
      <c r="B397" t="s">
        <v>426</v>
      </c>
      <c r="C397" t="s">
        <v>85</v>
      </c>
      <c r="D397" t="s">
        <v>991</v>
      </c>
      <c r="E397" t="s">
        <v>85</v>
      </c>
      <c r="F397">
        <v>35237</v>
      </c>
      <c r="G397">
        <v>3081</v>
      </c>
      <c r="H397">
        <v>0</v>
      </c>
      <c r="I397">
        <v>0.47764153672442911</v>
      </c>
      <c r="J397">
        <f t="shared" si="12"/>
        <v>0</v>
      </c>
      <c r="K397">
        <f t="shared" si="13"/>
        <v>0</v>
      </c>
    </row>
    <row r="398" spans="1:11" x14ac:dyDescent="0.25">
      <c r="A398" t="s">
        <v>10</v>
      </c>
      <c r="B398" t="s">
        <v>427</v>
      </c>
      <c r="C398" t="s">
        <v>302</v>
      </c>
      <c r="D398" t="s">
        <v>1269</v>
      </c>
      <c r="E398" t="s">
        <v>93</v>
      </c>
      <c r="F398">
        <v>35239</v>
      </c>
      <c r="G398">
        <v>714</v>
      </c>
      <c r="H398">
        <v>0</v>
      </c>
      <c r="I398">
        <v>0.1447238228593104</v>
      </c>
      <c r="J398">
        <f t="shared" si="12"/>
        <v>0</v>
      </c>
      <c r="K398">
        <f t="shared" si="13"/>
        <v>0</v>
      </c>
    </row>
    <row r="399" spans="1:11" x14ac:dyDescent="0.25">
      <c r="A399" t="s">
        <v>10</v>
      </c>
      <c r="B399" t="s">
        <v>428</v>
      </c>
      <c r="C399" t="s">
        <v>85</v>
      </c>
      <c r="D399" t="s">
        <v>991</v>
      </c>
      <c r="E399" t="s">
        <v>85</v>
      </c>
      <c r="F399">
        <v>35243</v>
      </c>
      <c r="G399">
        <v>4510</v>
      </c>
      <c r="H399">
        <v>30</v>
      </c>
      <c r="I399">
        <v>2.7975891620498516E-2</v>
      </c>
      <c r="J399">
        <f t="shared" si="12"/>
        <v>6.6518847006651885E-3</v>
      </c>
      <c r="K399">
        <f t="shared" si="13"/>
        <v>1.8609240545786152E-4</v>
      </c>
    </row>
    <row r="400" spans="1:11" x14ac:dyDescent="0.25">
      <c r="A400" t="s">
        <v>10</v>
      </c>
      <c r="B400" t="s">
        <v>429</v>
      </c>
      <c r="C400" t="s">
        <v>85</v>
      </c>
      <c r="D400" t="s">
        <v>991</v>
      </c>
      <c r="E400" t="s">
        <v>85</v>
      </c>
      <c r="F400">
        <v>35245</v>
      </c>
      <c r="G400">
        <v>860</v>
      </c>
      <c r="H400">
        <v>0</v>
      </c>
      <c r="I400">
        <v>0</v>
      </c>
      <c r="J400">
        <f t="shared" si="12"/>
        <v>0</v>
      </c>
      <c r="K400">
        <f t="shared" si="13"/>
        <v>0</v>
      </c>
    </row>
    <row r="401" spans="1:11" x14ac:dyDescent="0.25">
      <c r="A401" t="s">
        <v>10</v>
      </c>
      <c r="B401" t="s">
        <v>430</v>
      </c>
      <c r="C401" t="s">
        <v>85</v>
      </c>
      <c r="D401" t="s">
        <v>991</v>
      </c>
      <c r="E401" t="s">
        <v>85</v>
      </c>
      <c r="F401">
        <v>35249</v>
      </c>
      <c r="G401">
        <v>2641</v>
      </c>
      <c r="H401">
        <v>0</v>
      </c>
      <c r="I401">
        <v>0.3634083063245066</v>
      </c>
      <c r="J401">
        <f t="shared" si="12"/>
        <v>0</v>
      </c>
      <c r="K401">
        <f t="shared" si="13"/>
        <v>0</v>
      </c>
    </row>
    <row r="402" spans="1:11" x14ac:dyDescent="0.25">
      <c r="A402" t="s">
        <v>10</v>
      </c>
      <c r="B402" t="s">
        <v>431</v>
      </c>
      <c r="C402" t="s">
        <v>85</v>
      </c>
      <c r="D402" t="s">
        <v>991</v>
      </c>
      <c r="E402" t="s">
        <v>85</v>
      </c>
      <c r="F402">
        <v>35253</v>
      </c>
      <c r="G402">
        <v>1196</v>
      </c>
      <c r="H402">
        <v>0</v>
      </c>
      <c r="I402">
        <v>0.33676726583578098</v>
      </c>
      <c r="J402">
        <f t="shared" si="12"/>
        <v>0</v>
      </c>
      <c r="K402">
        <f t="shared" si="13"/>
        <v>0</v>
      </c>
    </row>
    <row r="403" spans="1:11" x14ac:dyDescent="0.25">
      <c r="A403" t="s">
        <v>10</v>
      </c>
      <c r="B403" t="s">
        <v>432</v>
      </c>
      <c r="C403" t="s">
        <v>85</v>
      </c>
      <c r="D403" t="s">
        <v>991</v>
      </c>
      <c r="E403" t="s">
        <v>85</v>
      </c>
      <c r="F403">
        <v>35261</v>
      </c>
      <c r="G403">
        <v>5307</v>
      </c>
      <c r="H403">
        <v>13</v>
      </c>
      <c r="I403">
        <v>1.9085448408687755E-2</v>
      </c>
      <c r="J403">
        <f t="shared" si="12"/>
        <v>2.4495948746938007E-3</v>
      </c>
      <c r="K403">
        <f t="shared" si="13"/>
        <v>4.6751616603154481E-5</v>
      </c>
    </row>
    <row r="404" spans="1:11" x14ac:dyDescent="0.25">
      <c r="A404" t="s">
        <v>10</v>
      </c>
      <c r="B404" t="s">
        <v>433</v>
      </c>
      <c r="C404" t="s">
        <v>85</v>
      </c>
      <c r="D404" t="s">
        <v>991</v>
      </c>
      <c r="E404" t="s">
        <v>85</v>
      </c>
      <c r="F404">
        <v>35265</v>
      </c>
      <c r="G404">
        <v>1306</v>
      </c>
      <c r="H404">
        <v>77</v>
      </c>
      <c r="I404">
        <v>0</v>
      </c>
      <c r="J404">
        <f t="shared" si="12"/>
        <v>5.8958652373660034E-2</v>
      </c>
      <c r="K404">
        <f t="shared" si="13"/>
        <v>0</v>
      </c>
    </row>
    <row r="405" spans="1:11" x14ac:dyDescent="0.25">
      <c r="A405" t="s">
        <v>10</v>
      </c>
      <c r="B405" t="s">
        <v>434</v>
      </c>
      <c r="C405" t="s">
        <v>85</v>
      </c>
      <c r="D405" t="s">
        <v>991</v>
      </c>
      <c r="E405" t="s">
        <v>85</v>
      </c>
      <c r="F405">
        <v>35267</v>
      </c>
      <c r="G405">
        <v>1577</v>
      </c>
      <c r="H405">
        <v>0</v>
      </c>
      <c r="I405">
        <v>1.2549189639037173E-2</v>
      </c>
      <c r="J405">
        <f t="shared" si="12"/>
        <v>0</v>
      </c>
      <c r="K405">
        <f t="shared" si="13"/>
        <v>0</v>
      </c>
    </row>
    <row r="406" spans="1:11" x14ac:dyDescent="0.25">
      <c r="A406" t="s">
        <v>10</v>
      </c>
      <c r="B406" t="s">
        <v>435</v>
      </c>
      <c r="C406" t="s">
        <v>85</v>
      </c>
      <c r="D406" t="s">
        <v>991</v>
      </c>
      <c r="E406" t="s">
        <v>85</v>
      </c>
      <c r="F406">
        <v>35271</v>
      </c>
      <c r="G406">
        <v>3004</v>
      </c>
      <c r="H406">
        <v>0</v>
      </c>
      <c r="I406">
        <v>0.50742774439717564</v>
      </c>
      <c r="J406">
        <f t="shared" si="12"/>
        <v>0</v>
      </c>
      <c r="K406">
        <f t="shared" si="13"/>
        <v>0</v>
      </c>
    </row>
    <row r="407" spans="1:11" x14ac:dyDescent="0.25">
      <c r="A407" t="s">
        <v>10</v>
      </c>
      <c r="B407" t="s">
        <v>436</v>
      </c>
      <c r="C407" t="s">
        <v>85</v>
      </c>
      <c r="D407" t="s">
        <v>991</v>
      </c>
      <c r="E407" t="s">
        <v>85</v>
      </c>
      <c r="F407">
        <v>35273</v>
      </c>
      <c r="G407">
        <v>1055</v>
      </c>
      <c r="H407">
        <v>0</v>
      </c>
      <c r="I407">
        <v>0.21907706338235677</v>
      </c>
      <c r="J407">
        <f t="shared" si="12"/>
        <v>0</v>
      </c>
      <c r="K407">
        <f t="shared" si="13"/>
        <v>0</v>
      </c>
    </row>
    <row r="408" spans="1:11" x14ac:dyDescent="0.25">
      <c r="A408" t="s">
        <v>10</v>
      </c>
      <c r="B408" t="s">
        <v>437</v>
      </c>
      <c r="C408" t="s">
        <v>85</v>
      </c>
      <c r="D408" t="s">
        <v>991</v>
      </c>
      <c r="E408" t="s">
        <v>85</v>
      </c>
      <c r="F408">
        <v>35275</v>
      </c>
      <c r="G408">
        <v>23577</v>
      </c>
      <c r="H408">
        <v>1431</v>
      </c>
      <c r="I408">
        <v>1.2390570929489253E-2</v>
      </c>
      <c r="J408">
        <f t="shared" si="12"/>
        <v>6.0694744878483267E-2</v>
      </c>
      <c r="K408">
        <f t="shared" si="13"/>
        <v>7.520425414641015E-4</v>
      </c>
    </row>
    <row r="409" spans="1:11" x14ac:dyDescent="0.25">
      <c r="A409" t="s">
        <v>10</v>
      </c>
      <c r="B409" t="s">
        <v>438</v>
      </c>
      <c r="C409" t="s">
        <v>85</v>
      </c>
      <c r="D409" t="s">
        <v>991</v>
      </c>
      <c r="E409" t="s">
        <v>85</v>
      </c>
      <c r="F409">
        <v>35277</v>
      </c>
      <c r="G409">
        <v>68737</v>
      </c>
      <c r="H409">
        <v>4250</v>
      </c>
      <c r="I409">
        <v>1.2713416051832072E-2</v>
      </c>
      <c r="J409">
        <f t="shared" si="12"/>
        <v>6.1829873285130281E-2</v>
      </c>
      <c r="K409">
        <f t="shared" si="13"/>
        <v>7.8606890350591831E-4</v>
      </c>
    </row>
    <row r="410" spans="1:11" x14ac:dyDescent="0.25">
      <c r="A410" t="s">
        <v>10</v>
      </c>
      <c r="B410" t="s">
        <v>439</v>
      </c>
      <c r="C410" t="s">
        <v>85</v>
      </c>
      <c r="D410" t="s">
        <v>991</v>
      </c>
      <c r="E410" t="s">
        <v>85</v>
      </c>
      <c r="F410">
        <v>35311</v>
      </c>
      <c r="G410">
        <v>176</v>
      </c>
      <c r="H410">
        <v>0</v>
      </c>
      <c r="I410">
        <v>0.13414283366206425</v>
      </c>
      <c r="J410">
        <f t="shared" si="12"/>
        <v>0</v>
      </c>
      <c r="K410">
        <f t="shared" si="13"/>
        <v>0</v>
      </c>
    </row>
    <row r="411" spans="1:11" x14ac:dyDescent="0.25">
      <c r="A411" t="s">
        <v>10</v>
      </c>
      <c r="B411" t="s">
        <v>440</v>
      </c>
      <c r="C411" t="s">
        <v>85</v>
      </c>
      <c r="D411" t="s">
        <v>991</v>
      </c>
      <c r="E411" t="s">
        <v>85</v>
      </c>
      <c r="F411">
        <v>35314</v>
      </c>
      <c r="G411">
        <v>12521</v>
      </c>
      <c r="H411">
        <v>765</v>
      </c>
      <c r="I411">
        <v>1.1371976639710568E-2</v>
      </c>
      <c r="J411">
        <f t="shared" si="12"/>
        <v>6.1097356441178821E-2</v>
      </c>
      <c r="K411">
        <f t="shared" si="13"/>
        <v>6.9479771019715557E-4</v>
      </c>
    </row>
    <row r="412" spans="1:11" x14ac:dyDescent="0.25">
      <c r="A412" t="s">
        <v>10</v>
      </c>
      <c r="B412" t="s">
        <v>441</v>
      </c>
      <c r="C412" t="s">
        <v>85</v>
      </c>
      <c r="D412" t="s">
        <v>991</v>
      </c>
      <c r="E412" t="s">
        <v>85</v>
      </c>
      <c r="F412">
        <v>35316</v>
      </c>
      <c r="G412">
        <v>2935</v>
      </c>
      <c r="H412">
        <v>108</v>
      </c>
      <c r="I412">
        <v>1.2229147429978604E-2</v>
      </c>
      <c r="J412">
        <f t="shared" si="12"/>
        <v>3.6797274275979557E-2</v>
      </c>
      <c r="K412">
        <f t="shared" si="13"/>
        <v>4.4999929214231319E-4</v>
      </c>
    </row>
    <row r="413" spans="1:11" x14ac:dyDescent="0.25">
      <c r="A413" t="s">
        <v>10</v>
      </c>
      <c r="B413" t="s">
        <v>442</v>
      </c>
      <c r="C413" t="s">
        <v>85</v>
      </c>
      <c r="D413" t="s">
        <v>991</v>
      </c>
      <c r="E413" t="s">
        <v>85</v>
      </c>
      <c r="F413">
        <v>35317</v>
      </c>
      <c r="G413">
        <v>187</v>
      </c>
      <c r="H413">
        <v>0</v>
      </c>
      <c r="I413">
        <v>0.1395746579417011</v>
      </c>
      <c r="J413">
        <f t="shared" si="12"/>
        <v>0</v>
      </c>
      <c r="K413">
        <f t="shared" si="13"/>
        <v>0</v>
      </c>
    </row>
    <row r="414" spans="1:11" x14ac:dyDescent="0.25">
      <c r="A414" t="s">
        <v>10</v>
      </c>
      <c r="B414" t="s">
        <v>443</v>
      </c>
      <c r="C414" t="s">
        <v>85</v>
      </c>
      <c r="D414" t="s">
        <v>991</v>
      </c>
      <c r="E414" t="s">
        <v>85</v>
      </c>
      <c r="F414">
        <v>35320</v>
      </c>
      <c r="G414">
        <v>1678</v>
      </c>
      <c r="H414">
        <v>32</v>
      </c>
      <c r="I414">
        <v>2.0271903167918714E-2</v>
      </c>
      <c r="J414">
        <f t="shared" si="12"/>
        <v>1.9070321811680571E-2</v>
      </c>
      <c r="K414">
        <f t="shared" si="13"/>
        <v>3.8659171714743674E-4</v>
      </c>
    </row>
    <row r="415" spans="1:11" x14ac:dyDescent="0.25">
      <c r="A415" t="s">
        <v>10</v>
      </c>
      <c r="B415" t="s">
        <v>444</v>
      </c>
      <c r="C415" t="s">
        <v>85</v>
      </c>
      <c r="D415" t="s">
        <v>991</v>
      </c>
      <c r="E415" t="s">
        <v>85</v>
      </c>
      <c r="F415">
        <v>35321</v>
      </c>
      <c r="G415">
        <v>973</v>
      </c>
      <c r="H415">
        <v>50</v>
      </c>
      <c r="I415">
        <v>8.6122542295382631E-3</v>
      </c>
      <c r="J415">
        <f t="shared" si="12"/>
        <v>5.1387461459403906E-2</v>
      </c>
      <c r="K415">
        <f t="shared" si="13"/>
        <v>4.4256188229898578E-4</v>
      </c>
    </row>
    <row r="416" spans="1:11" x14ac:dyDescent="0.25">
      <c r="A416" t="s">
        <v>10</v>
      </c>
      <c r="B416" t="s">
        <v>445</v>
      </c>
      <c r="C416" t="s">
        <v>85</v>
      </c>
      <c r="D416" t="s">
        <v>991</v>
      </c>
      <c r="E416" t="s">
        <v>85</v>
      </c>
      <c r="F416">
        <v>35322</v>
      </c>
      <c r="G416">
        <v>1827</v>
      </c>
      <c r="H416">
        <v>54</v>
      </c>
      <c r="I416">
        <v>0.12839512562611788</v>
      </c>
      <c r="J416">
        <f t="shared" si="12"/>
        <v>2.9556650246305417E-2</v>
      </c>
      <c r="K416">
        <f t="shared" si="13"/>
        <v>3.7949298214616121E-3</v>
      </c>
    </row>
    <row r="417" spans="1:11" x14ac:dyDescent="0.25">
      <c r="A417" t="s">
        <v>10</v>
      </c>
      <c r="B417" t="s">
        <v>446</v>
      </c>
      <c r="C417" t="s">
        <v>85</v>
      </c>
      <c r="D417" t="s">
        <v>991</v>
      </c>
      <c r="E417" t="s">
        <v>85</v>
      </c>
      <c r="F417">
        <v>35324</v>
      </c>
      <c r="G417">
        <v>1555</v>
      </c>
      <c r="H417">
        <v>13</v>
      </c>
      <c r="I417">
        <v>2.0502284920158598E-3</v>
      </c>
      <c r="J417">
        <f t="shared" si="12"/>
        <v>8.3601286173633441E-3</v>
      </c>
      <c r="K417">
        <f t="shared" si="13"/>
        <v>1.7140173888235484E-5</v>
      </c>
    </row>
    <row r="418" spans="1:11" x14ac:dyDescent="0.25">
      <c r="A418" t="s">
        <v>10</v>
      </c>
      <c r="B418" t="s">
        <v>447</v>
      </c>
      <c r="C418" t="s">
        <v>85</v>
      </c>
      <c r="D418" t="s">
        <v>991</v>
      </c>
      <c r="E418" t="s">
        <v>85</v>
      </c>
      <c r="F418">
        <v>35325</v>
      </c>
      <c r="G418">
        <v>3346</v>
      </c>
      <c r="H418">
        <v>495</v>
      </c>
      <c r="I418">
        <v>1.0716956112073794E-2</v>
      </c>
      <c r="J418">
        <f t="shared" si="12"/>
        <v>0.14793783622235504</v>
      </c>
      <c r="K418">
        <f t="shared" si="13"/>
        <v>1.5854432981101398E-3</v>
      </c>
    </row>
    <row r="419" spans="1:11" x14ac:dyDescent="0.25">
      <c r="A419" t="s">
        <v>10</v>
      </c>
      <c r="B419" t="s">
        <v>448</v>
      </c>
      <c r="C419" t="s">
        <v>85</v>
      </c>
      <c r="D419" t="s">
        <v>991</v>
      </c>
      <c r="E419" t="s">
        <v>85</v>
      </c>
      <c r="F419">
        <v>35326</v>
      </c>
      <c r="G419">
        <v>1475</v>
      </c>
      <c r="H419">
        <v>270</v>
      </c>
      <c r="I419">
        <v>0.14783736969335515</v>
      </c>
      <c r="J419">
        <f t="shared" si="12"/>
        <v>0.18305084745762712</v>
      </c>
      <c r="K419">
        <f t="shared" si="13"/>
        <v>2.7061755808275179E-2</v>
      </c>
    </row>
    <row r="420" spans="1:11" x14ac:dyDescent="0.25">
      <c r="A420" t="s">
        <v>10</v>
      </c>
      <c r="B420" t="s">
        <v>449</v>
      </c>
      <c r="C420" t="s">
        <v>85</v>
      </c>
      <c r="D420" t="s">
        <v>991</v>
      </c>
      <c r="E420" t="s">
        <v>85</v>
      </c>
      <c r="F420">
        <v>35328</v>
      </c>
      <c r="G420">
        <v>4172</v>
      </c>
      <c r="H420">
        <v>350</v>
      </c>
      <c r="I420">
        <v>7.5600445803809202E-2</v>
      </c>
      <c r="J420">
        <f t="shared" si="12"/>
        <v>8.3892617449664433E-2</v>
      </c>
      <c r="K420">
        <f t="shared" si="13"/>
        <v>6.3423192788430545E-3</v>
      </c>
    </row>
    <row r="421" spans="1:11" x14ac:dyDescent="0.25">
      <c r="A421" t="s">
        <v>10</v>
      </c>
      <c r="B421" t="s">
        <v>450</v>
      </c>
      <c r="C421" t="s">
        <v>85</v>
      </c>
      <c r="D421" t="s">
        <v>991</v>
      </c>
      <c r="E421" t="s">
        <v>85</v>
      </c>
      <c r="F421">
        <v>35331</v>
      </c>
      <c r="G421">
        <v>562</v>
      </c>
      <c r="H421">
        <v>59</v>
      </c>
      <c r="I421">
        <v>0.37021211912986796</v>
      </c>
      <c r="J421">
        <f t="shared" si="12"/>
        <v>0.10498220640569395</v>
      </c>
      <c r="K421">
        <f t="shared" si="13"/>
        <v>3.8865685104381154E-2</v>
      </c>
    </row>
    <row r="422" spans="1:11" x14ac:dyDescent="0.25">
      <c r="A422" t="s">
        <v>10</v>
      </c>
      <c r="B422" t="s">
        <v>451</v>
      </c>
      <c r="C422" t="s">
        <v>85</v>
      </c>
      <c r="D422" t="s">
        <v>991</v>
      </c>
      <c r="E422" t="s">
        <v>85</v>
      </c>
      <c r="F422">
        <v>35334</v>
      </c>
      <c r="G422">
        <v>850</v>
      </c>
      <c r="H422">
        <v>0</v>
      </c>
      <c r="I422">
        <v>0.11683585479133951</v>
      </c>
      <c r="J422">
        <f t="shared" si="12"/>
        <v>0</v>
      </c>
      <c r="K422">
        <f t="shared" si="13"/>
        <v>0</v>
      </c>
    </row>
    <row r="423" spans="1:11" x14ac:dyDescent="0.25">
      <c r="A423" t="s">
        <v>10</v>
      </c>
      <c r="B423" t="s">
        <v>452</v>
      </c>
      <c r="C423" t="s">
        <v>85</v>
      </c>
      <c r="D423" t="s">
        <v>991</v>
      </c>
      <c r="E423" t="s">
        <v>85</v>
      </c>
      <c r="F423">
        <v>35337</v>
      </c>
      <c r="G423">
        <v>1024</v>
      </c>
      <c r="H423">
        <v>22</v>
      </c>
      <c r="I423">
        <v>4.0641126426581575E-3</v>
      </c>
      <c r="J423">
        <f t="shared" si="12"/>
        <v>2.1484375E-2</v>
      </c>
      <c r="K423">
        <f t="shared" si="13"/>
        <v>8.7314920057108853E-5</v>
      </c>
    </row>
    <row r="424" spans="1:11" x14ac:dyDescent="0.25">
      <c r="A424" t="s">
        <v>10</v>
      </c>
      <c r="B424" t="s">
        <v>453</v>
      </c>
      <c r="C424" t="s">
        <v>85</v>
      </c>
      <c r="D424" t="s">
        <v>991</v>
      </c>
      <c r="E424" t="s">
        <v>85</v>
      </c>
      <c r="F424">
        <v>35341</v>
      </c>
      <c r="G424">
        <v>2227</v>
      </c>
      <c r="H424">
        <v>90</v>
      </c>
      <c r="I424">
        <v>8.9768590569510032E-3</v>
      </c>
      <c r="J424">
        <f t="shared" si="12"/>
        <v>4.0413111809609339E-2</v>
      </c>
      <c r="K424">
        <f t="shared" si="13"/>
        <v>3.6278280876766517E-4</v>
      </c>
    </row>
    <row r="425" spans="1:11" x14ac:dyDescent="0.25">
      <c r="A425" t="s">
        <v>10</v>
      </c>
      <c r="B425" t="s">
        <v>454</v>
      </c>
      <c r="C425" t="s">
        <v>85</v>
      </c>
      <c r="D425" t="s">
        <v>991</v>
      </c>
      <c r="E425" t="s">
        <v>85</v>
      </c>
      <c r="F425">
        <v>35344</v>
      </c>
      <c r="G425">
        <v>3326</v>
      </c>
      <c r="H425">
        <v>140</v>
      </c>
      <c r="I425">
        <v>1.0593922804384093E-2</v>
      </c>
      <c r="J425">
        <f t="shared" si="12"/>
        <v>4.2092603728202047E-2</v>
      </c>
      <c r="K425">
        <f t="shared" si="13"/>
        <v>4.4592579453210256E-4</v>
      </c>
    </row>
    <row r="426" spans="1:11" x14ac:dyDescent="0.25">
      <c r="A426" t="s">
        <v>10</v>
      </c>
      <c r="B426" t="s">
        <v>455</v>
      </c>
      <c r="C426" t="s">
        <v>85</v>
      </c>
      <c r="D426" t="s">
        <v>991</v>
      </c>
      <c r="E426" t="s">
        <v>85</v>
      </c>
      <c r="F426">
        <v>35347</v>
      </c>
      <c r="G426">
        <v>242</v>
      </c>
      <c r="H426">
        <v>0</v>
      </c>
      <c r="I426">
        <v>5.3474203882985405E-2</v>
      </c>
      <c r="J426">
        <f t="shared" si="12"/>
        <v>0</v>
      </c>
      <c r="K426">
        <f t="shared" si="13"/>
        <v>0</v>
      </c>
    </row>
    <row r="427" spans="1:11" x14ac:dyDescent="0.25">
      <c r="A427" t="s">
        <v>10</v>
      </c>
      <c r="B427" t="s">
        <v>456</v>
      </c>
      <c r="C427" t="s">
        <v>227</v>
      </c>
      <c r="D427" t="s">
        <v>1295</v>
      </c>
      <c r="E427" t="s">
        <v>27</v>
      </c>
      <c r="F427">
        <v>26218</v>
      </c>
      <c r="G427">
        <v>2003</v>
      </c>
      <c r="H427">
        <v>22</v>
      </c>
      <c r="I427">
        <v>0.14592486858217346</v>
      </c>
      <c r="J427">
        <f t="shared" si="12"/>
        <v>1.0983524712930605E-2</v>
      </c>
      <c r="K427">
        <f t="shared" si="13"/>
        <v>1.6027694003034529E-3</v>
      </c>
    </row>
    <row r="428" spans="1:11" x14ac:dyDescent="0.25">
      <c r="A428" t="s">
        <v>10</v>
      </c>
      <c r="B428" t="s">
        <v>457</v>
      </c>
      <c r="C428" t="s">
        <v>85</v>
      </c>
      <c r="D428" t="s">
        <v>991</v>
      </c>
      <c r="E428" t="s">
        <v>85</v>
      </c>
      <c r="F428">
        <v>35351</v>
      </c>
      <c r="G428">
        <v>6622</v>
      </c>
      <c r="H428">
        <v>99</v>
      </c>
      <c r="I428">
        <v>1.0214214855059245E-2</v>
      </c>
      <c r="J428">
        <f t="shared" si="12"/>
        <v>1.4950166112956811E-2</v>
      </c>
      <c r="K428">
        <f t="shared" si="13"/>
        <v>1.5270420879656679E-4</v>
      </c>
    </row>
    <row r="429" spans="1:11" x14ac:dyDescent="0.25">
      <c r="A429" t="s">
        <v>10</v>
      </c>
      <c r="B429" t="s">
        <v>458</v>
      </c>
      <c r="C429" t="s">
        <v>85</v>
      </c>
      <c r="D429" t="s">
        <v>991</v>
      </c>
      <c r="E429" t="s">
        <v>85</v>
      </c>
      <c r="F429">
        <v>35352</v>
      </c>
      <c r="G429">
        <v>2929</v>
      </c>
      <c r="H429">
        <v>0</v>
      </c>
      <c r="I429">
        <v>4.3749892853907069E-3</v>
      </c>
      <c r="J429">
        <f t="shared" si="12"/>
        <v>0</v>
      </c>
      <c r="K429">
        <f t="shared" si="13"/>
        <v>0</v>
      </c>
    </row>
    <row r="430" spans="1:11" x14ac:dyDescent="0.25">
      <c r="A430" t="s">
        <v>10</v>
      </c>
      <c r="B430" t="s">
        <v>459</v>
      </c>
      <c r="C430" t="s">
        <v>85</v>
      </c>
      <c r="D430" t="s">
        <v>991</v>
      </c>
      <c r="E430" t="s">
        <v>85</v>
      </c>
      <c r="F430">
        <v>35353</v>
      </c>
      <c r="G430">
        <v>12172</v>
      </c>
      <c r="H430">
        <v>131</v>
      </c>
      <c r="I430">
        <v>0.13229717220579917</v>
      </c>
      <c r="J430">
        <f t="shared" si="12"/>
        <v>1.0762405520867565E-2</v>
      </c>
      <c r="K430">
        <f t="shared" si="13"/>
        <v>1.4238358165428601E-3</v>
      </c>
    </row>
    <row r="431" spans="1:11" x14ac:dyDescent="0.25">
      <c r="A431" t="s">
        <v>10</v>
      </c>
      <c r="B431" t="s">
        <v>460</v>
      </c>
      <c r="C431" t="s">
        <v>85</v>
      </c>
      <c r="D431" t="s">
        <v>991</v>
      </c>
      <c r="E431" t="s">
        <v>85</v>
      </c>
      <c r="F431">
        <v>35354</v>
      </c>
      <c r="G431">
        <v>1319</v>
      </c>
      <c r="H431">
        <v>158</v>
      </c>
      <c r="I431">
        <v>1.222650296635952E-2</v>
      </c>
      <c r="J431">
        <f t="shared" si="12"/>
        <v>0.11978771796815769</v>
      </c>
      <c r="K431">
        <f t="shared" si="13"/>
        <v>1.4645848890711176E-3</v>
      </c>
    </row>
    <row r="432" spans="1:11" x14ac:dyDescent="0.25">
      <c r="A432" t="s">
        <v>10</v>
      </c>
      <c r="B432" t="s">
        <v>461</v>
      </c>
      <c r="C432" t="s">
        <v>85</v>
      </c>
      <c r="D432" t="s">
        <v>991</v>
      </c>
      <c r="E432" t="s">
        <v>85</v>
      </c>
      <c r="F432">
        <v>35356</v>
      </c>
      <c r="G432">
        <v>268</v>
      </c>
      <c r="H432">
        <v>0</v>
      </c>
      <c r="I432">
        <v>0.1620233750922272</v>
      </c>
      <c r="J432">
        <f t="shared" si="12"/>
        <v>0</v>
      </c>
      <c r="K432">
        <f t="shared" si="13"/>
        <v>0</v>
      </c>
    </row>
    <row r="433" spans="1:11" x14ac:dyDescent="0.25">
      <c r="A433" t="s">
        <v>10</v>
      </c>
      <c r="B433" t="s">
        <v>462</v>
      </c>
      <c r="C433" t="s">
        <v>85</v>
      </c>
      <c r="D433" t="s">
        <v>991</v>
      </c>
      <c r="E433" t="s">
        <v>85</v>
      </c>
      <c r="F433">
        <v>35357</v>
      </c>
      <c r="G433">
        <v>8220</v>
      </c>
      <c r="H433">
        <v>558</v>
      </c>
      <c r="I433">
        <v>0.22188168177855039</v>
      </c>
      <c r="J433">
        <f t="shared" si="12"/>
        <v>6.7883211678832114E-2</v>
      </c>
      <c r="K433">
        <f t="shared" si="13"/>
        <v>1.5062041171828602E-2</v>
      </c>
    </row>
    <row r="434" spans="1:11" x14ac:dyDescent="0.25">
      <c r="A434" t="s">
        <v>10</v>
      </c>
      <c r="B434" t="s">
        <v>463</v>
      </c>
      <c r="C434" t="s">
        <v>85</v>
      </c>
      <c r="D434" t="s">
        <v>991</v>
      </c>
      <c r="E434" t="s">
        <v>85</v>
      </c>
      <c r="F434">
        <v>35364</v>
      </c>
      <c r="G434">
        <v>7447</v>
      </c>
      <c r="H434">
        <v>180</v>
      </c>
      <c r="I434">
        <v>7.3186328592644845E-3</v>
      </c>
      <c r="J434">
        <f t="shared" si="12"/>
        <v>2.4170807036390494E-2</v>
      </c>
      <c r="K434">
        <f t="shared" si="13"/>
        <v>1.7689726261146867E-4</v>
      </c>
    </row>
    <row r="435" spans="1:11" x14ac:dyDescent="0.25">
      <c r="A435" t="s">
        <v>10</v>
      </c>
      <c r="B435" t="s">
        <v>464</v>
      </c>
      <c r="C435" t="s">
        <v>85</v>
      </c>
      <c r="D435" t="s">
        <v>991</v>
      </c>
      <c r="E435" t="s">
        <v>85</v>
      </c>
      <c r="F435">
        <v>35367</v>
      </c>
      <c r="G435">
        <v>180</v>
      </c>
      <c r="H435">
        <v>0</v>
      </c>
      <c r="I435">
        <v>2.4894522154724319E-2</v>
      </c>
      <c r="J435">
        <f t="shared" si="12"/>
        <v>0</v>
      </c>
      <c r="K435">
        <f t="shared" si="13"/>
        <v>0</v>
      </c>
    </row>
    <row r="436" spans="1:11" x14ac:dyDescent="0.25">
      <c r="A436" t="s">
        <v>10</v>
      </c>
      <c r="B436" t="s">
        <v>465</v>
      </c>
      <c r="C436" t="s">
        <v>85</v>
      </c>
      <c r="D436" t="s">
        <v>991</v>
      </c>
      <c r="E436" t="s">
        <v>85</v>
      </c>
      <c r="F436">
        <v>35371</v>
      </c>
      <c r="G436">
        <v>256</v>
      </c>
      <c r="H436">
        <v>0</v>
      </c>
      <c r="I436">
        <v>0.1824086917157085</v>
      </c>
      <c r="J436">
        <f t="shared" si="12"/>
        <v>0</v>
      </c>
      <c r="K436">
        <f t="shared" si="13"/>
        <v>0</v>
      </c>
    </row>
    <row r="437" spans="1:11" x14ac:dyDescent="0.25">
      <c r="A437" t="s">
        <v>10</v>
      </c>
      <c r="B437" t="s">
        <v>466</v>
      </c>
      <c r="C437" t="s">
        <v>85</v>
      </c>
      <c r="D437" t="s">
        <v>991</v>
      </c>
      <c r="E437" t="s">
        <v>85</v>
      </c>
      <c r="F437">
        <v>35402</v>
      </c>
      <c r="G437">
        <v>784</v>
      </c>
      <c r="H437">
        <v>0</v>
      </c>
      <c r="I437">
        <v>0.36955507224682815</v>
      </c>
      <c r="J437">
        <f t="shared" si="12"/>
        <v>0</v>
      </c>
      <c r="K437">
        <f t="shared" si="13"/>
        <v>0</v>
      </c>
    </row>
    <row r="438" spans="1:11" x14ac:dyDescent="0.25">
      <c r="A438" t="s">
        <v>10</v>
      </c>
      <c r="B438" t="s">
        <v>467</v>
      </c>
      <c r="C438" t="s">
        <v>85</v>
      </c>
      <c r="D438" t="s">
        <v>991</v>
      </c>
      <c r="E438" t="s">
        <v>85</v>
      </c>
      <c r="F438">
        <v>35404</v>
      </c>
      <c r="G438">
        <v>751</v>
      </c>
      <c r="H438">
        <v>0</v>
      </c>
      <c r="I438">
        <v>0.60990004164931277</v>
      </c>
      <c r="J438">
        <f t="shared" si="12"/>
        <v>0</v>
      </c>
      <c r="K438">
        <f t="shared" si="13"/>
        <v>0</v>
      </c>
    </row>
    <row r="439" spans="1:11" x14ac:dyDescent="0.25">
      <c r="A439" t="s">
        <v>10</v>
      </c>
      <c r="B439" t="s">
        <v>468</v>
      </c>
      <c r="C439" t="s">
        <v>85</v>
      </c>
      <c r="D439" t="s">
        <v>991</v>
      </c>
      <c r="E439" t="s">
        <v>85</v>
      </c>
      <c r="F439">
        <v>35406</v>
      </c>
      <c r="G439">
        <v>217</v>
      </c>
      <c r="H439">
        <v>0</v>
      </c>
      <c r="I439">
        <v>0.202552026727851</v>
      </c>
      <c r="J439">
        <f t="shared" si="12"/>
        <v>0</v>
      </c>
      <c r="K439">
        <f t="shared" si="13"/>
        <v>0</v>
      </c>
    </row>
    <row r="440" spans="1:11" x14ac:dyDescent="0.25">
      <c r="A440" t="s">
        <v>10</v>
      </c>
      <c r="B440" t="s">
        <v>469</v>
      </c>
      <c r="C440" t="s">
        <v>85</v>
      </c>
      <c r="D440" t="s">
        <v>991</v>
      </c>
      <c r="E440" t="s">
        <v>85</v>
      </c>
      <c r="F440">
        <v>35412</v>
      </c>
      <c r="G440">
        <v>306</v>
      </c>
      <c r="H440">
        <v>0</v>
      </c>
      <c r="I440">
        <v>0.6185668771918561</v>
      </c>
      <c r="J440">
        <f t="shared" si="12"/>
        <v>0</v>
      </c>
      <c r="K440">
        <f t="shared" si="13"/>
        <v>0</v>
      </c>
    </row>
    <row r="441" spans="1:11" x14ac:dyDescent="0.25">
      <c r="A441" t="s">
        <v>10</v>
      </c>
      <c r="B441" t="s">
        <v>470</v>
      </c>
      <c r="C441" t="s">
        <v>80</v>
      </c>
      <c r="D441" t="s">
        <v>1282</v>
      </c>
      <c r="E441" t="s">
        <v>27</v>
      </c>
      <c r="F441">
        <v>23467</v>
      </c>
      <c r="G441">
        <v>682</v>
      </c>
      <c r="H441">
        <v>76</v>
      </c>
      <c r="I441">
        <v>0.6185668771918561</v>
      </c>
      <c r="J441">
        <f t="shared" si="12"/>
        <v>0.11143695014662756</v>
      </c>
      <c r="K441">
        <f t="shared" si="13"/>
        <v>6.8931206255983965E-2</v>
      </c>
    </row>
    <row r="442" spans="1:11" x14ac:dyDescent="0.25">
      <c r="A442" t="s">
        <v>10</v>
      </c>
      <c r="B442" t="s">
        <v>471</v>
      </c>
      <c r="C442" t="s">
        <v>85</v>
      </c>
      <c r="D442" t="s">
        <v>991</v>
      </c>
      <c r="E442" t="s">
        <v>85</v>
      </c>
      <c r="F442">
        <v>35414</v>
      </c>
      <c r="G442">
        <v>1231</v>
      </c>
      <c r="H442">
        <v>0</v>
      </c>
      <c r="I442">
        <v>0.25067934560460936</v>
      </c>
      <c r="J442">
        <f t="shared" si="12"/>
        <v>0</v>
      </c>
      <c r="K442">
        <f t="shared" si="13"/>
        <v>0</v>
      </c>
    </row>
    <row r="443" spans="1:11" x14ac:dyDescent="0.25">
      <c r="A443" t="s">
        <v>10</v>
      </c>
      <c r="B443" t="s">
        <v>472</v>
      </c>
      <c r="C443" t="s">
        <v>234</v>
      </c>
      <c r="D443" t="s">
        <v>1278</v>
      </c>
      <c r="E443" t="s">
        <v>88</v>
      </c>
      <c r="F443">
        <v>35415</v>
      </c>
      <c r="G443">
        <v>123</v>
      </c>
      <c r="H443">
        <v>0</v>
      </c>
      <c r="I443">
        <v>3.1737773152965554E-2</v>
      </c>
      <c r="J443">
        <f t="shared" si="12"/>
        <v>0</v>
      </c>
      <c r="K443">
        <f t="shared" si="13"/>
        <v>0</v>
      </c>
    </row>
    <row r="444" spans="1:11" x14ac:dyDescent="0.25">
      <c r="A444" t="s">
        <v>10</v>
      </c>
      <c r="B444" t="s">
        <v>473</v>
      </c>
      <c r="C444" t="s">
        <v>85</v>
      </c>
      <c r="D444" t="s">
        <v>991</v>
      </c>
      <c r="E444" t="s">
        <v>85</v>
      </c>
      <c r="F444">
        <v>35417</v>
      </c>
      <c r="G444">
        <v>2756</v>
      </c>
      <c r="H444">
        <v>20</v>
      </c>
      <c r="I444">
        <v>4.4374400786376E-2</v>
      </c>
      <c r="J444">
        <f t="shared" si="12"/>
        <v>7.2568940493468797E-3</v>
      </c>
      <c r="K444">
        <f t="shared" si="13"/>
        <v>3.2202032500998551E-4</v>
      </c>
    </row>
    <row r="445" spans="1:11" x14ac:dyDescent="0.25">
      <c r="A445" t="s">
        <v>10</v>
      </c>
      <c r="B445" t="s">
        <v>474</v>
      </c>
      <c r="C445" t="s">
        <v>85</v>
      </c>
      <c r="D445" t="s">
        <v>991</v>
      </c>
      <c r="E445" t="s">
        <v>85</v>
      </c>
      <c r="F445">
        <v>35419</v>
      </c>
      <c r="G445">
        <v>720</v>
      </c>
      <c r="H445">
        <v>5</v>
      </c>
      <c r="I445">
        <v>0.58295909855161421</v>
      </c>
      <c r="J445">
        <f t="shared" si="12"/>
        <v>6.9444444444444441E-3</v>
      </c>
      <c r="K445">
        <f t="shared" si="13"/>
        <v>4.0483270732750987E-3</v>
      </c>
    </row>
    <row r="446" spans="1:11" x14ac:dyDescent="0.25">
      <c r="A446" t="s">
        <v>10</v>
      </c>
      <c r="B446" t="s">
        <v>475</v>
      </c>
      <c r="C446" t="s">
        <v>85</v>
      </c>
      <c r="D446" t="s">
        <v>991</v>
      </c>
      <c r="E446" t="s">
        <v>85</v>
      </c>
      <c r="F446">
        <v>35420</v>
      </c>
      <c r="G446">
        <v>941</v>
      </c>
      <c r="H446">
        <v>0</v>
      </c>
      <c r="I446">
        <v>0.37877156735396433</v>
      </c>
      <c r="J446">
        <f t="shared" si="12"/>
        <v>0</v>
      </c>
      <c r="K446">
        <f t="shared" si="13"/>
        <v>0</v>
      </c>
    </row>
    <row r="447" spans="1:11" x14ac:dyDescent="0.25">
      <c r="A447" t="s">
        <v>10</v>
      </c>
      <c r="B447" t="s">
        <v>476</v>
      </c>
      <c r="C447" t="s">
        <v>85</v>
      </c>
      <c r="D447" t="s">
        <v>991</v>
      </c>
      <c r="E447" t="s">
        <v>85</v>
      </c>
      <c r="F447">
        <v>35423</v>
      </c>
      <c r="G447">
        <v>50</v>
      </c>
      <c r="H447">
        <v>0</v>
      </c>
      <c r="I447">
        <v>0</v>
      </c>
      <c r="J447">
        <f t="shared" si="12"/>
        <v>0</v>
      </c>
      <c r="K447">
        <f t="shared" si="13"/>
        <v>0</v>
      </c>
    </row>
    <row r="448" spans="1:11" x14ac:dyDescent="0.25">
      <c r="A448" t="s">
        <v>10</v>
      </c>
      <c r="B448" t="s">
        <v>477</v>
      </c>
      <c r="C448" t="s">
        <v>85</v>
      </c>
      <c r="D448" t="s">
        <v>991</v>
      </c>
      <c r="E448" t="s">
        <v>85</v>
      </c>
      <c r="F448">
        <v>35427</v>
      </c>
      <c r="G448">
        <v>1854</v>
      </c>
      <c r="H448">
        <v>38</v>
      </c>
      <c r="I448">
        <v>0.17939484455079935</v>
      </c>
      <c r="J448">
        <f t="shared" si="12"/>
        <v>2.0496224379719527E-2</v>
      </c>
      <c r="K448">
        <f t="shared" si="13"/>
        <v>3.6769169864780881E-3</v>
      </c>
    </row>
    <row r="449" spans="1:11" x14ac:dyDescent="0.25">
      <c r="A449" t="s">
        <v>10</v>
      </c>
      <c r="B449" t="s">
        <v>478</v>
      </c>
      <c r="C449" t="s">
        <v>85</v>
      </c>
      <c r="D449" t="s">
        <v>991</v>
      </c>
      <c r="E449" t="s">
        <v>85</v>
      </c>
      <c r="F449">
        <v>35429</v>
      </c>
      <c r="G449">
        <v>3858</v>
      </c>
      <c r="H449">
        <v>135</v>
      </c>
      <c r="I449">
        <v>1.2567994831375162E-2</v>
      </c>
      <c r="J449">
        <f t="shared" si="12"/>
        <v>3.4992223950233284E-2</v>
      </c>
      <c r="K449">
        <f t="shared" si="13"/>
        <v>4.3978208974485407E-4</v>
      </c>
    </row>
    <row r="450" spans="1:11" x14ac:dyDescent="0.25">
      <c r="A450" t="s">
        <v>10</v>
      </c>
      <c r="B450" t="s">
        <v>479</v>
      </c>
      <c r="C450" t="s">
        <v>85</v>
      </c>
      <c r="D450" t="s">
        <v>991</v>
      </c>
      <c r="E450" t="s">
        <v>85</v>
      </c>
      <c r="F450">
        <v>35431</v>
      </c>
      <c r="G450">
        <v>986</v>
      </c>
      <c r="H450">
        <v>0</v>
      </c>
      <c r="I450">
        <v>1.1504674940929771E-2</v>
      </c>
      <c r="J450">
        <f t="shared" si="12"/>
        <v>0</v>
      </c>
      <c r="K450">
        <f t="shared" si="13"/>
        <v>0</v>
      </c>
    </row>
    <row r="451" spans="1:11" x14ac:dyDescent="0.25">
      <c r="A451" t="s">
        <v>10</v>
      </c>
      <c r="B451" t="s">
        <v>480</v>
      </c>
      <c r="C451" t="s">
        <v>85</v>
      </c>
      <c r="D451" t="s">
        <v>991</v>
      </c>
      <c r="E451" t="s">
        <v>85</v>
      </c>
      <c r="F451">
        <v>35432</v>
      </c>
      <c r="G451">
        <v>805</v>
      </c>
      <c r="H451">
        <v>36</v>
      </c>
      <c r="I451">
        <v>0.58710840372673423</v>
      </c>
      <c r="J451">
        <f t="shared" ref="J451:J514" si="14">IF(G451=0,0,H451/G451)</f>
        <v>4.472049689440994E-2</v>
      </c>
      <c r="K451">
        <f t="shared" ref="K451:K514" si="15">J451*I451</f>
        <v>2.6255779545543395E-2</v>
      </c>
    </row>
    <row r="452" spans="1:11" x14ac:dyDescent="0.25">
      <c r="A452" t="s">
        <v>10</v>
      </c>
      <c r="B452" t="s">
        <v>481</v>
      </c>
      <c r="C452" t="s">
        <v>85</v>
      </c>
      <c r="D452" t="s">
        <v>991</v>
      </c>
      <c r="E452" t="s">
        <v>85</v>
      </c>
      <c r="F452">
        <v>35433</v>
      </c>
      <c r="G452">
        <v>523</v>
      </c>
      <c r="H452">
        <v>0</v>
      </c>
      <c r="I452">
        <v>0.14076947603358481</v>
      </c>
      <c r="J452">
        <f t="shared" si="14"/>
        <v>0</v>
      </c>
      <c r="K452">
        <f t="shared" si="15"/>
        <v>0</v>
      </c>
    </row>
    <row r="453" spans="1:11" x14ac:dyDescent="0.25">
      <c r="A453" t="s">
        <v>10</v>
      </c>
      <c r="B453" t="s">
        <v>482</v>
      </c>
      <c r="C453" t="s">
        <v>85</v>
      </c>
      <c r="D453" t="s">
        <v>991</v>
      </c>
      <c r="E453" t="s">
        <v>85</v>
      </c>
      <c r="F453">
        <v>35435</v>
      </c>
      <c r="G453">
        <v>588</v>
      </c>
      <c r="H453">
        <v>27</v>
      </c>
      <c r="I453">
        <v>3.018571534800718E-2</v>
      </c>
      <c r="J453">
        <f t="shared" si="14"/>
        <v>4.5918367346938778E-2</v>
      </c>
      <c r="K453">
        <f t="shared" si="15"/>
        <v>1.3860787659799216E-3</v>
      </c>
    </row>
    <row r="454" spans="1:11" x14ac:dyDescent="0.25">
      <c r="A454" t="s">
        <v>10</v>
      </c>
      <c r="B454" t="s">
        <v>483</v>
      </c>
      <c r="C454" t="s">
        <v>85</v>
      </c>
      <c r="D454" t="s">
        <v>991</v>
      </c>
      <c r="E454" t="s">
        <v>85</v>
      </c>
      <c r="F454">
        <v>35437</v>
      </c>
      <c r="G454">
        <v>13368</v>
      </c>
      <c r="H454">
        <v>50</v>
      </c>
      <c r="I454">
        <v>2.6986290092970711E-2</v>
      </c>
      <c r="J454">
        <f t="shared" si="14"/>
        <v>3.7402752842609216E-3</v>
      </c>
      <c r="K454">
        <f t="shared" si="15"/>
        <v>1.0093615384863371E-4</v>
      </c>
    </row>
    <row r="455" spans="1:11" x14ac:dyDescent="0.25">
      <c r="A455" t="s">
        <v>10</v>
      </c>
      <c r="B455" t="s">
        <v>484</v>
      </c>
      <c r="C455" t="s">
        <v>85</v>
      </c>
      <c r="D455" t="s">
        <v>991</v>
      </c>
      <c r="E455" t="s">
        <v>85</v>
      </c>
      <c r="F455">
        <v>35439</v>
      </c>
      <c r="G455">
        <v>2583</v>
      </c>
      <c r="H455">
        <v>20</v>
      </c>
      <c r="I455">
        <v>8.6042578324250218E-3</v>
      </c>
      <c r="J455">
        <f t="shared" si="14"/>
        <v>7.7429345722028649E-3</v>
      </c>
      <c r="K455">
        <f t="shared" si="15"/>
        <v>6.6622205438830986E-5</v>
      </c>
    </row>
    <row r="456" spans="1:11" x14ac:dyDescent="0.25">
      <c r="A456" t="s">
        <v>10</v>
      </c>
      <c r="B456" t="s">
        <v>485</v>
      </c>
      <c r="C456" t="s">
        <v>85</v>
      </c>
      <c r="D456" t="s">
        <v>991</v>
      </c>
      <c r="E456" t="s">
        <v>85</v>
      </c>
      <c r="F456">
        <v>35441</v>
      </c>
      <c r="G456">
        <v>852</v>
      </c>
      <c r="H456">
        <v>0</v>
      </c>
      <c r="I456">
        <v>0.1394808004326662</v>
      </c>
      <c r="J456">
        <f t="shared" si="14"/>
        <v>0</v>
      </c>
      <c r="K456">
        <f t="shared" si="15"/>
        <v>0</v>
      </c>
    </row>
    <row r="457" spans="1:11" x14ac:dyDescent="0.25">
      <c r="A457" t="s">
        <v>10</v>
      </c>
      <c r="B457" t="s">
        <v>486</v>
      </c>
      <c r="C457" t="s">
        <v>85</v>
      </c>
      <c r="D457" t="s">
        <v>991</v>
      </c>
      <c r="E457" t="s">
        <v>85</v>
      </c>
      <c r="F457">
        <v>35443</v>
      </c>
      <c r="G457">
        <v>548</v>
      </c>
      <c r="H457">
        <v>9</v>
      </c>
      <c r="I457">
        <v>1.1998294382348673E-2</v>
      </c>
      <c r="J457">
        <f t="shared" si="14"/>
        <v>1.6423357664233577E-2</v>
      </c>
      <c r="K457">
        <f t="shared" si="15"/>
        <v>1.9705228000207675E-4</v>
      </c>
    </row>
    <row r="458" spans="1:11" x14ac:dyDescent="0.25">
      <c r="A458" t="s">
        <v>10</v>
      </c>
      <c r="B458" t="s">
        <v>487</v>
      </c>
      <c r="C458" t="s">
        <v>85</v>
      </c>
      <c r="D458" t="s">
        <v>991</v>
      </c>
      <c r="E458" t="s">
        <v>85</v>
      </c>
      <c r="F458">
        <v>35447</v>
      </c>
      <c r="G458">
        <v>511</v>
      </c>
      <c r="H458">
        <v>9</v>
      </c>
      <c r="I458">
        <v>0.11368217799212432</v>
      </c>
      <c r="J458">
        <f t="shared" si="14"/>
        <v>1.7612524461839529E-2</v>
      </c>
      <c r="K458">
        <f t="shared" si="15"/>
        <v>2.0022301407614852E-3</v>
      </c>
    </row>
    <row r="459" spans="1:11" x14ac:dyDescent="0.25">
      <c r="A459" t="s">
        <v>10</v>
      </c>
      <c r="B459" t="s">
        <v>488</v>
      </c>
      <c r="C459" t="s">
        <v>85</v>
      </c>
      <c r="D459" t="s">
        <v>991</v>
      </c>
      <c r="E459" t="s">
        <v>85</v>
      </c>
      <c r="F459">
        <v>35449</v>
      </c>
      <c r="G459">
        <v>1565</v>
      </c>
      <c r="H459">
        <v>67</v>
      </c>
      <c r="I459">
        <v>0.22686795224977052</v>
      </c>
      <c r="J459">
        <f t="shared" si="14"/>
        <v>4.2811501597444089E-2</v>
      </c>
      <c r="K459">
        <f t="shared" si="15"/>
        <v>9.7125577001499208E-3</v>
      </c>
    </row>
    <row r="460" spans="1:11" x14ac:dyDescent="0.25">
      <c r="A460" t="s">
        <v>10</v>
      </c>
      <c r="B460" t="s">
        <v>489</v>
      </c>
      <c r="C460" t="s">
        <v>85</v>
      </c>
      <c r="D460" t="s">
        <v>991</v>
      </c>
      <c r="E460" t="s">
        <v>85</v>
      </c>
      <c r="F460">
        <v>35453</v>
      </c>
      <c r="G460">
        <v>279</v>
      </c>
      <c r="H460">
        <v>0</v>
      </c>
      <c r="I460">
        <v>0.27948927483721908</v>
      </c>
      <c r="J460">
        <f t="shared" si="14"/>
        <v>0</v>
      </c>
      <c r="K460">
        <f t="shared" si="15"/>
        <v>0</v>
      </c>
    </row>
    <row r="461" spans="1:11" x14ac:dyDescent="0.25">
      <c r="A461" t="s">
        <v>10</v>
      </c>
      <c r="B461" t="s">
        <v>490</v>
      </c>
      <c r="C461" t="s">
        <v>85</v>
      </c>
      <c r="D461" t="s">
        <v>991</v>
      </c>
      <c r="E461" t="s">
        <v>85</v>
      </c>
      <c r="F461">
        <v>35455</v>
      </c>
      <c r="G461">
        <v>442</v>
      </c>
      <c r="H461">
        <v>7</v>
      </c>
      <c r="I461">
        <v>2.0027572689749085E-2</v>
      </c>
      <c r="J461">
        <f t="shared" si="14"/>
        <v>1.5837104072398189E-2</v>
      </c>
      <c r="K461">
        <f t="shared" si="15"/>
        <v>3.1717875300507598E-4</v>
      </c>
    </row>
    <row r="462" spans="1:11" x14ac:dyDescent="0.25">
      <c r="A462" t="s">
        <v>10</v>
      </c>
      <c r="B462" t="s">
        <v>491</v>
      </c>
      <c r="C462" t="s">
        <v>85</v>
      </c>
      <c r="D462" t="s">
        <v>991</v>
      </c>
      <c r="E462" t="s">
        <v>85</v>
      </c>
      <c r="F462">
        <v>35457</v>
      </c>
      <c r="G462">
        <v>519</v>
      </c>
      <c r="H462">
        <v>0</v>
      </c>
      <c r="I462">
        <v>0.41588522445631204</v>
      </c>
      <c r="J462">
        <f t="shared" si="14"/>
        <v>0</v>
      </c>
      <c r="K462">
        <f t="shared" si="15"/>
        <v>0</v>
      </c>
    </row>
    <row r="463" spans="1:11" x14ac:dyDescent="0.25">
      <c r="A463" t="s">
        <v>10</v>
      </c>
      <c r="B463" t="s">
        <v>492</v>
      </c>
      <c r="C463" t="s">
        <v>85</v>
      </c>
      <c r="D463" t="s">
        <v>991</v>
      </c>
      <c r="E463" t="s">
        <v>85</v>
      </c>
      <c r="F463">
        <v>35459</v>
      </c>
      <c r="G463">
        <v>3059</v>
      </c>
      <c r="H463">
        <v>83</v>
      </c>
      <c r="I463">
        <v>0.66040744302511245</v>
      </c>
      <c r="J463">
        <f t="shared" si="14"/>
        <v>2.7133050016345212E-2</v>
      </c>
      <c r="K463">
        <f t="shared" si="15"/>
        <v>1.7918868182767028E-2</v>
      </c>
    </row>
    <row r="464" spans="1:11" x14ac:dyDescent="0.25">
      <c r="A464" t="s">
        <v>10</v>
      </c>
      <c r="B464" t="s">
        <v>493</v>
      </c>
      <c r="C464" t="s">
        <v>85</v>
      </c>
      <c r="D464" t="s">
        <v>991</v>
      </c>
      <c r="E464" t="s">
        <v>85</v>
      </c>
      <c r="F464">
        <v>35463</v>
      </c>
      <c r="G464">
        <v>974</v>
      </c>
      <c r="H464">
        <v>0</v>
      </c>
      <c r="I464">
        <v>0.59957749742560229</v>
      </c>
      <c r="J464">
        <f t="shared" si="14"/>
        <v>0</v>
      </c>
      <c r="K464">
        <f t="shared" si="15"/>
        <v>0</v>
      </c>
    </row>
    <row r="465" spans="1:11" x14ac:dyDescent="0.25">
      <c r="A465" t="s">
        <v>10</v>
      </c>
      <c r="B465" t="s">
        <v>494</v>
      </c>
      <c r="C465" t="s">
        <v>302</v>
      </c>
      <c r="D465" t="s">
        <v>1269</v>
      </c>
      <c r="E465" t="s">
        <v>93</v>
      </c>
      <c r="F465">
        <v>62267</v>
      </c>
      <c r="G465">
        <v>861</v>
      </c>
      <c r="H465">
        <v>0</v>
      </c>
      <c r="I465">
        <v>2.1633836120592664E-2</v>
      </c>
      <c r="J465">
        <f t="shared" si="14"/>
        <v>0</v>
      </c>
      <c r="K465">
        <f t="shared" si="15"/>
        <v>0</v>
      </c>
    </row>
    <row r="466" spans="1:11" x14ac:dyDescent="0.25">
      <c r="A466" t="s">
        <v>10</v>
      </c>
      <c r="B466" t="s">
        <v>495</v>
      </c>
      <c r="C466" t="s">
        <v>82</v>
      </c>
      <c r="D466" t="s">
        <v>1266</v>
      </c>
      <c r="E466" t="s">
        <v>83</v>
      </c>
      <c r="F466">
        <v>53322</v>
      </c>
      <c r="G466">
        <v>1077</v>
      </c>
      <c r="H466">
        <v>200</v>
      </c>
      <c r="I466">
        <v>5.7971269566931105E-2</v>
      </c>
      <c r="J466">
        <f t="shared" si="14"/>
        <v>0.18570102135561745</v>
      </c>
      <c r="K466">
        <f t="shared" si="15"/>
        <v>1.0765323967860929E-2</v>
      </c>
    </row>
    <row r="467" spans="1:11" x14ac:dyDescent="0.25">
      <c r="A467" t="s">
        <v>10</v>
      </c>
      <c r="B467" t="s">
        <v>496</v>
      </c>
      <c r="C467" t="s">
        <v>85</v>
      </c>
      <c r="D467" t="s">
        <v>991</v>
      </c>
      <c r="E467" t="s">
        <v>85</v>
      </c>
      <c r="F467">
        <v>35467</v>
      </c>
      <c r="G467">
        <v>4234</v>
      </c>
      <c r="H467">
        <v>0</v>
      </c>
      <c r="I467">
        <v>0.28185969948048728</v>
      </c>
      <c r="J467">
        <f t="shared" si="14"/>
        <v>0</v>
      </c>
      <c r="K467">
        <f t="shared" si="15"/>
        <v>0</v>
      </c>
    </row>
    <row r="468" spans="1:11" x14ac:dyDescent="0.25">
      <c r="A468" t="s">
        <v>10</v>
      </c>
      <c r="B468" t="s">
        <v>497</v>
      </c>
      <c r="C468" t="s">
        <v>85</v>
      </c>
      <c r="D468" t="s">
        <v>991</v>
      </c>
      <c r="E468" t="s">
        <v>85</v>
      </c>
      <c r="F468">
        <v>35469</v>
      </c>
      <c r="G468">
        <v>318</v>
      </c>
      <c r="H468">
        <v>0</v>
      </c>
      <c r="I468">
        <v>1.1342115729580104E-2</v>
      </c>
      <c r="J468">
        <f t="shared" si="14"/>
        <v>0</v>
      </c>
      <c r="K468">
        <f t="shared" si="15"/>
        <v>0</v>
      </c>
    </row>
    <row r="469" spans="1:11" x14ac:dyDescent="0.25">
      <c r="A469" t="s">
        <v>10</v>
      </c>
      <c r="B469" t="s">
        <v>498</v>
      </c>
      <c r="C469" t="s">
        <v>331</v>
      </c>
      <c r="D469" t="s">
        <v>1297</v>
      </c>
      <c r="E469" t="s">
        <v>316</v>
      </c>
      <c r="F469">
        <v>35470</v>
      </c>
      <c r="G469">
        <v>15</v>
      </c>
      <c r="H469">
        <v>0</v>
      </c>
      <c r="I469">
        <v>0.13566344751270054</v>
      </c>
      <c r="J469">
        <f t="shared" si="14"/>
        <v>0</v>
      </c>
      <c r="K469">
        <f t="shared" si="15"/>
        <v>0</v>
      </c>
    </row>
    <row r="470" spans="1:11" x14ac:dyDescent="0.25">
      <c r="A470" t="s">
        <v>10</v>
      </c>
      <c r="B470" t="s">
        <v>499</v>
      </c>
      <c r="C470" t="s">
        <v>85</v>
      </c>
      <c r="D470" t="s">
        <v>991</v>
      </c>
      <c r="E470" t="s">
        <v>85</v>
      </c>
      <c r="F470">
        <v>35471</v>
      </c>
      <c r="G470">
        <v>84</v>
      </c>
      <c r="H470">
        <v>0</v>
      </c>
      <c r="I470">
        <v>0.3231294840181822</v>
      </c>
      <c r="J470">
        <f t="shared" si="14"/>
        <v>0</v>
      </c>
      <c r="K470">
        <f t="shared" si="15"/>
        <v>0</v>
      </c>
    </row>
    <row r="471" spans="1:11" x14ac:dyDescent="0.25">
      <c r="A471" t="s">
        <v>10</v>
      </c>
      <c r="B471" t="s">
        <v>500</v>
      </c>
      <c r="C471" t="s">
        <v>85</v>
      </c>
      <c r="D471" t="s">
        <v>991</v>
      </c>
      <c r="E471" t="s">
        <v>85</v>
      </c>
      <c r="F471">
        <v>35475</v>
      </c>
      <c r="G471">
        <v>963</v>
      </c>
      <c r="H471">
        <v>23</v>
      </c>
      <c r="I471">
        <v>0.44789688872322331</v>
      </c>
      <c r="J471">
        <f t="shared" si="14"/>
        <v>2.3883696780893044E-2</v>
      </c>
      <c r="K471">
        <f t="shared" si="15"/>
        <v>1.0697433479370858E-2</v>
      </c>
    </row>
    <row r="472" spans="1:11" x14ac:dyDescent="0.25">
      <c r="A472" t="s">
        <v>10</v>
      </c>
      <c r="B472" t="s">
        <v>501</v>
      </c>
      <c r="C472" t="s">
        <v>85</v>
      </c>
      <c r="D472" t="s">
        <v>991</v>
      </c>
      <c r="E472" t="s">
        <v>85</v>
      </c>
      <c r="F472">
        <v>35486</v>
      </c>
      <c r="G472">
        <v>3312</v>
      </c>
      <c r="H472">
        <v>0</v>
      </c>
      <c r="I472">
        <v>0.30151456504638585</v>
      </c>
      <c r="J472">
        <f t="shared" si="14"/>
        <v>0</v>
      </c>
      <c r="K472">
        <f t="shared" si="15"/>
        <v>0</v>
      </c>
    </row>
    <row r="473" spans="1:11" x14ac:dyDescent="0.25">
      <c r="A473" t="s">
        <v>10</v>
      </c>
      <c r="B473" t="s">
        <v>502</v>
      </c>
      <c r="C473" t="s">
        <v>85</v>
      </c>
      <c r="D473" t="s">
        <v>991</v>
      </c>
      <c r="E473" t="s">
        <v>85</v>
      </c>
      <c r="F473">
        <v>35487</v>
      </c>
      <c r="G473">
        <v>8480</v>
      </c>
      <c r="H473">
        <v>5</v>
      </c>
      <c r="I473">
        <v>0.17380208513982698</v>
      </c>
      <c r="J473">
        <f t="shared" si="14"/>
        <v>5.8962264150943394E-4</v>
      </c>
      <c r="K473">
        <f t="shared" si="15"/>
        <v>1.0247764453999232E-4</v>
      </c>
    </row>
    <row r="474" spans="1:11" x14ac:dyDescent="0.25">
      <c r="A474" t="s">
        <v>10</v>
      </c>
      <c r="B474" t="s">
        <v>503</v>
      </c>
      <c r="C474" t="s">
        <v>85</v>
      </c>
      <c r="D474" t="s">
        <v>991</v>
      </c>
      <c r="E474" t="s">
        <v>85</v>
      </c>
      <c r="F474">
        <v>35498</v>
      </c>
      <c r="G474">
        <v>4412</v>
      </c>
      <c r="H474">
        <v>48</v>
      </c>
      <c r="I474">
        <v>0.17062717765378066</v>
      </c>
      <c r="J474">
        <f t="shared" si="14"/>
        <v>1.0879419764279238E-2</v>
      </c>
      <c r="K474">
        <f t="shared" si="15"/>
        <v>1.8563246888897262E-3</v>
      </c>
    </row>
    <row r="475" spans="1:11" x14ac:dyDescent="0.25">
      <c r="A475" t="s">
        <v>10</v>
      </c>
      <c r="B475" t="s">
        <v>504</v>
      </c>
      <c r="C475" t="s">
        <v>85</v>
      </c>
      <c r="D475" t="s">
        <v>991</v>
      </c>
      <c r="E475" t="s">
        <v>85</v>
      </c>
      <c r="F475">
        <v>35512</v>
      </c>
      <c r="G475">
        <v>20409</v>
      </c>
      <c r="H475">
        <v>29</v>
      </c>
      <c r="I475">
        <v>5.684400616833063E-2</v>
      </c>
      <c r="J475">
        <f t="shared" si="14"/>
        <v>1.4209417413886031E-3</v>
      </c>
      <c r="K475">
        <f t="shared" si="15"/>
        <v>8.0772021112332225E-5</v>
      </c>
    </row>
    <row r="476" spans="1:11" x14ac:dyDescent="0.25">
      <c r="A476" t="s">
        <v>10</v>
      </c>
      <c r="B476" t="s">
        <v>505</v>
      </c>
      <c r="C476" t="s">
        <v>85</v>
      </c>
      <c r="D476" t="s">
        <v>991</v>
      </c>
      <c r="E476" t="s">
        <v>85</v>
      </c>
      <c r="F476">
        <v>35514</v>
      </c>
      <c r="G476">
        <v>2201</v>
      </c>
      <c r="H476">
        <v>0</v>
      </c>
      <c r="I476">
        <v>0.1109519341330869</v>
      </c>
      <c r="J476">
        <f t="shared" si="14"/>
        <v>0</v>
      </c>
      <c r="K476">
        <f t="shared" si="15"/>
        <v>0</v>
      </c>
    </row>
    <row r="477" spans="1:11" x14ac:dyDescent="0.25">
      <c r="A477" t="s">
        <v>10</v>
      </c>
      <c r="B477" t="s">
        <v>506</v>
      </c>
      <c r="C477" t="s">
        <v>85</v>
      </c>
      <c r="D477" t="s">
        <v>991</v>
      </c>
      <c r="E477" t="s">
        <v>85</v>
      </c>
      <c r="F477">
        <v>35516</v>
      </c>
      <c r="G477">
        <v>12696</v>
      </c>
      <c r="H477">
        <v>166</v>
      </c>
      <c r="I477">
        <v>4.9024816487635903E-2</v>
      </c>
      <c r="J477">
        <f t="shared" si="14"/>
        <v>1.3074984247006932E-2</v>
      </c>
      <c r="K477">
        <f t="shared" si="15"/>
        <v>6.4099870328824518E-4</v>
      </c>
    </row>
    <row r="478" spans="1:11" x14ac:dyDescent="0.25">
      <c r="A478" t="s">
        <v>10</v>
      </c>
      <c r="B478" t="s">
        <v>507</v>
      </c>
      <c r="C478" t="s">
        <v>85</v>
      </c>
      <c r="D478" t="s">
        <v>991</v>
      </c>
      <c r="E478" t="s">
        <v>85</v>
      </c>
      <c r="F478">
        <v>36134</v>
      </c>
      <c r="G478">
        <v>228</v>
      </c>
      <c r="H478">
        <v>0</v>
      </c>
      <c r="I478">
        <v>0</v>
      </c>
      <c r="J478">
        <f t="shared" si="14"/>
        <v>0</v>
      </c>
      <c r="K478">
        <f t="shared" si="15"/>
        <v>0</v>
      </c>
    </row>
    <row r="479" spans="1:11" x14ac:dyDescent="0.25">
      <c r="A479" t="s">
        <v>10</v>
      </c>
      <c r="B479" t="s">
        <v>508</v>
      </c>
      <c r="C479" t="s">
        <v>315</v>
      </c>
      <c r="D479" t="s">
        <v>1255</v>
      </c>
      <c r="E479" t="s">
        <v>316</v>
      </c>
      <c r="F479">
        <v>37231</v>
      </c>
      <c r="G479">
        <v>63116</v>
      </c>
      <c r="H479">
        <v>4343</v>
      </c>
      <c r="I479">
        <v>2.1340271306925285E-2</v>
      </c>
      <c r="J479">
        <f t="shared" si="14"/>
        <v>6.8809810507636737E-2</v>
      </c>
      <c r="K479">
        <f t="shared" si="15"/>
        <v>1.4684200248110861E-3</v>
      </c>
    </row>
    <row r="480" spans="1:11" x14ac:dyDescent="0.25">
      <c r="A480" t="s">
        <v>10</v>
      </c>
      <c r="B480" t="s">
        <v>509</v>
      </c>
      <c r="C480" t="s">
        <v>26</v>
      </c>
      <c r="D480" t="s">
        <v>1275</v>
      </c>
      <c r="E480" t="s">
        <v>27</v>
      </c>
      <c r="F480">
        <v>37321</v>
      </c>
      <c r="G480">
        <v>254</v>
      </c>
      <c r="H480">
        <v>0</v>
      </c>
      <c r="I480">
        <v>0.60045064658607084</v>
      </c>
      <c r="J480">
        <f t="shared" si="14"/>
        <v>0</v>
      </c>
      <c r="K480">
        <f t="shared" si="15"/>
        <v>0</v>
      </c>
    </row>
    <row r="481" spans="1:11" x14ac:dyDescent="0.25">
      <c r="A481" t="s">
        <v>10</v>
      </c>
      <c r="B481" t="s">
        <v>510</v>
      </c>
      <c r="C481" t="s">
        <v>82</v>
      </c>
      <c r="D481" t="s">
        <v>1266</v>
      </c>
      <c r="E481" t="s">
        <v>83</v>
      </c>
      <c r="F481">
        <v>37337</v>
      </c>
      <c r="G481">
        <v>2190</v>
      </c>
      <c r="H481">
        <v>126</v>
      </c>
      <c r="I481">
        <v>0.11721076585941448</v>
      </c>
      <c r="J481">
        <f t="shared" si="14"/>
        <v>5.7534246575342465E-2</v>
      </c>
      <c r="K481">
        <f t="shared" si="15"/>
        <v>6.7436331042402854E-3</v>
      </c>
    </row>
    <row r="482" spans="1:11" x14ac:dyDescent="0.25">
      <c r="A482" t="s">
        <v>10</v>
      </c>
      <c r="B482" t="s">
        <v>511</v>
      </c>
      <c r="C482" t="s">
        <v>100</v>
      </c>
      <c r="D482" t="s">
        <v>1259</v>
      </c>
      <c r="E482" t="s">
        <v>96</v>
      </c>
      <c r="F482">
        <v>51113</v>
      </c>
      <c r="G482">
        <v>1341</v>
      </c>
      <c r="H482">
        <v>0</v>
      </c>
      <c r="I482">
        <v>0.82228237063821852</v>
      </c>
      <c r="J482">
        <f t="shared" si="14"/>
        <v>0</v>
      </c>
      <c r="K482">
        <f t="shared" si="15"/>
        <v>0</v>
      </c>
    </row>
    <row r="483" spans="1:11" x14ac:dyDescent="0.25">
      <c r="A483" t="s">
        <v>10</v>
      </c>
      <c r="B483" t="s">
        <v>512</v>
      </c>
      <c r="C483" t="s">
        <v>100</v>
      </c>
      <c r="D483" t="s">
        <v>1259</v>
      </c>
      <c r="E483" t="s">
        <v>96</v>
      </c>
      <c r="F483">
        <v>51117</v>
      </c>
      <c r="G483">
        <v>4131</v>
      </c>
      <c r="H483">
        <v>251</v>
      </c>
      <c r="I483">
        <v>0.63857414410961466</v>
      </c>
      <c r="J483">
        <f t="shared" si="14"/>
        <v>6.0760106511740498E-2</v>
      </c>
      <c r="K483">
        <f t="shared" si="15"/>
        <v>3.8799833011743716E-2</v>
      </c>
    </row>
    <row r="484" spans="1:11" x14ac:dyDescent="0.25">
      <c r="A484" t="s">
        <v>10</v>
      </c>
      <c r="B484" t="s">
        <v>513</v>
      </c>
      <c r="C484" t="s">
        <v>100</v>
      </c>
      <c r="D484" t="s">
        <v>1259</v>
      </c>
      <c r="E484" t="s">
        <v>96</v>
      </c>
      <c r="F484">
        <v>51119</v>
      </c>
      <c r="G484">
        <v>1597</v>
      </c>
      <c r="H484">
        <v>225</v>
      </c>
      <c r="I484">
        <v>0.73172523249410548</v>
      </c>
      <c r="J484">
        <f t="shared" si="14"/>
        <v>0.14088916718847841</v>
      </c>
      <c r="K484">
        <f t="shared" si="15"/>
        <v>0.10309215861689026</v>
      </c>
    </row>
    <row r="485" spans="1:11" x14ac:dyDescent="0.25">
      <c r="A485" t="s">
        <v>10</v>
      </c>
      <c r="B485" t="s">
        <v>514</v>
      </c>
      <c r="C485" t="s">
        <v>100</v>
      </c>
      <c r="D485" t="s">
        <v>1259</v>
      </c>
      <c r="E485" t="s">
        <v>96</v>
      </c>
      <c r="F485">
        <v>51121</v>
      </c>
      <c r="G485">
        <v>16591</v>
      </c>
      <c r="H485">
        <v>900</v>
      </c>
      <c r="I485">
        <v>0.79648561883556135</v>
      </c>
      <c r="J485">
        <f t="shared" si="14"/>
        <v>5.424627810258574E-2</v>
      </c>
      <c r="K485">
        <f t="shared" si="15"/>
        <v>4.3206380384063964E-2</v>
      </c>
    </row>
    <row r="486" spans="1:11" x14ac:dyDescent="0.25">
      <c r="A486" t="s">
        <v>10</v>
      </c>
      <c r="B486" t="s">
        <v>515</v>
      </c>
      <c r="C486" t="s">
        <v>100</v>
      </c>
      <c r="D486" t="s">
        <v>1259</v>
      </c>
      <c r="E486" t="s">
        <v>96</v>
      </c>
      <c r="F486">
        <v>51123</v>
      </c>
      <c r="G486">
        <v>49</v>
      </c>
      <c r="H486">
        <v>0</v>
      </c>
      <c r="I486">
        <v>0.6848625587889634</v>
      </c>
      <c r="J486">
        <f t="shared" si="14"/>
        <v>0</v>
      </c>
      <c r="K486">
        <f t="shared" si="15"/>
        <v>0</v>
      </c>
    </row>
    <row r="487" spans="1:11" x14ac:dyDescent="0.25">
      <c r="A487" t="s">
        <v>10</v>
      </c>
      <c r="B487" t="s">
        <v>516</v>
      </c>
      <c r="C487" t="s">
        <v>100</v>
      </c>
      <c r="D487" t="s">
        <v>1259</v>
      </c>
      <c r="E487" t="s">
        <v>96</v>
      </c>
      <c r="F487">
        <v>51127</v>
      </c>
      <c r="G487">
        <v>4165</v>
      </c>
      <c r="H487">
        <v>0</v>
      </c>
      <c r="I487">
        <v>0.79078708838158596</v>
      </c>
      <c r="J487">
        <f t="shared" si="14"/>
        <v>0</v>
      </c>
      <c r="K487">
        <f t="shared" si="15"/>
        <v>0</v>
      </c>
    </row>
    <row r="488" spans="1:11" x14ac:dyDescent="0.25">
      <c r="A488" t="s">
        <v>10</v>
      </c>
      <c r="B488" t="s">
        <v>517</v>
      </c>
      <c r="C488" t="s">
        <v>100</v>
      </c>
      <c r="D488" t="s">
        <v>1259</v>
      </c>
      <c r="E488" t="s">
        <v>96</v>
      </c>
      <c r="F488">
        <v>51129</v>
      </c>
      <c r="G488">
        <v>48</v>
      </c>
      <c r="H488">
        <v>0</v>
      </c>
      <c r="I488">
        <v>0.65351303161269381</v>
      </c>
      <c r="J488">
        <f t="shared" si="14"/>
        <v>0</v>
      </c>
      <c r="K488">
        <f t="shared" si="15"/>
        <v>0</v>
      </c>
    </row>
    <row r="489" spans="1:11" x14ac:dyDescent="0.25">
      <c r="A489" t="s">
        <v>10</v>
      </c>
      <c r="B489" t="s">
        <v>518</v>
      </c>
      <c r="C489" t="s">
        <v>100</v>
      </c>
      <c r="D489" t="s">
        <v>1259</v>
      </c>
      <c r="E489" t="s">
        <v>96</v>
      </c>
      <c r="F489">
        <v>51135</v>
      </c>
      <c r="G489">
        <v>4174</v>
      </c>
      <c r="H489">
        <v>0</v>
      </c>
      <c r="I489">
        <v>0.75064204023472292</v>
      </c>
      <c r="J489">
        <f t="shared" si="14"/>
        <v>0</v>
      </c>
      <c r="K489">
        <f t="shared" si="15"/>
        <v>0</v>
      </c>
    </row>
    <row r="490" spans="1:11" x14ac:dyDescent="0.25">
      <c r="A490" t="s">
        <v>10</v>
      </c>
      <c r="B490" t="s">
        <v>519</v>
      </c>
      <c r="C490" t="s">
        <v>100</v>
      </c>
      <c r="D490" t="s">
        <v>1259</v>
      </c>
      <c r="E490" t="s">
        <v>96</v>
      </c>
      <c r="F490">
        <v>51139</v>
      </c>
      <c r="G490">
        <v>6431</v>
      </c>
      <c r="H490">
        <v>0</v>
      </c>
      <c r="I490">
        <v>0.37551937122906054</v>
      </c>
      <c r="J490">
        <f t="shared" si="14"/>
        <v>0</v>
      </c>
      <c r="K490">
        <f t="shared" si="15"/>
        <v>0</v>
      </c>
    </row>
    <row r="491" spans="1:11" x14ac:dyDescent="0.25">
      <c r="A491" t="s">
        <v>10</v>
      </c>
      <c r="B491" t="s">
        <v>520</v>
      </c>
      <c r="C491" t="s">
        <v>100</v>
      </c>
      <c r="D491" t="s">
        <v>1259</v>
      </c>
      <c r="E491" t="s">
        <v>96</v>
      </c>
      <c r="F491">
        <v>51145</v>
      </c>
      <c r="G491">
        <v>198</v>
      </c>
      <c r="H491">
        <v>0</v>
      </c>
      <c r="I491">
        <v>0.55212302294345006</v>
      </c>
      <c r="J491">
        <f t="shared" si="14"/>
        <v>0</v>
      </c>
      <c r="K491">
        <f t="shared" si="15"/>
        <v>0</v>
      </c>
    </row>
    <row r="492" spans="1:11" x14ac:dyDescent="0.25">
      <c r="A492" t="s">
        <v>10</v>
      </c>
      <c r="B492" t="s">
        <v>521</v>
      </c>
      <c r="C492" t="s">
        <v>100</v>
      </c>
      <c r="D492" t="s">
        <v>1259</v>
      </c>
      <c r="E492" t="s">
        <v>96</v>
      </c>
      <c r="F492">
        <v>51151</v>
      </c>
      <c r="G492">
        <v>717</v>
      </c>
      <c r="H492">
        <v>2</v>
      </c>
      <c r="I492">
        <v>7.1425896157090274E-2</v>
      </c>
      <c r="J492">
        <f t="shared" si="14"/>
        <v>2.7894002789400278E-3</v>
      </c>
      <c r="K492">
        <f t="shared" si="15"/>
        <v>1.9923541466412907E-4</v>
      </c>
    </row>
    <row r="493" spans="1:11" x14ac:dyDescent="0.25">
      <c r="A493" t="s">
        <v>10</v>
      </c>
      <c r="B493" t="s">
        <v>522</v>
      </c>
      <c r="C493" t="s">
        <v>100</v>
      </c>
      <c r="D493" t="s">
        <v>1259</v>
      </c>
      <c r="E493" t="s">
        <v>96</v>
      </c>
      <c r="F493">
        <v>51157</v>
      </c>
      <c r="G493">
        <v>1969</v>
      </c>
      <c r="H493">
        <v>603</v>
      </c>
      <c r="I493">
        <v>4.7774700050152497E-2</v>
      </c>
      <c r="J493">
        <f t="shared" si="14"/>
        <v>0.30624682579989843</v>
      </c>
      <c r="K493">
        <f t="shared" si="15"/>
        <v>1.463085024390145E-2</v>
      </c>
    </row>
    <row r="494" spans="1:11" x14ac:dyDescent="0.25">
      <c r="A494" t="s">
        <v>10</v>
      </c>
      <c r="B494" t="s">
        <v>523</v>
      </c>
      <c r="C494" t="s">
        <v>100</v>
      </c>
      <c r="D494" t="s">
        <v>1259</v>
      </c>
      <c r="E494" t="s">
        <v>96</v>
      </c>
      <c r="F494">
        <v>51163</v>
      </c>
      <c r="G494">
        <v>5421</v>
      </c>
      <c r="H494">
        <v>22</v>
      </c>
      <c r="I494">
        <v>0.66298246608060463</v>
      </c>
      <c r="J494">
        <f t="shared" si="14"/>
        <v>4.0582918280760005E-3</v>
      </c>
      <c r="K494">
        <f t="shared" si="15"/>
        <v>2.6905763242525919E-3</v>
      </c>
    </row>
    <row r="495" spans="1:11" x14ac:dyDescent="0.25">
      <c r="A495" t="s">
        <v>10</v>
      </c>
      <c r="B495" t="s">
        <v>524</v>
      </c>
      <c r="C495" t="s">
        <v>100</v>
      </c>
      <c r="D495" t="s">
        <v>1259</v>
      </c>
      <c r="E495" t="s">
        <v>96</v>
      </c>
      <c r="F495">
        <v>51173</v>
      </c>
      <c r="G495">
        <v>1552</v>
      </c>
      <c r="H495">
        <v>13</v>
      </c>
      <c r="I495">
        <v>0.5823245036287672</v>
      </c>
      <c r="J495">
        <f t="shared" si="14"/>
        <v>8.3762886597938142E-3</v>
      </c>
      <c r="K495">
        <f t="shared" si="15"/>
        <v>4.8777181360657043E-3</v>
      </c>
    </row>
    <row r="496" spans="1:11" x14ac:dyDescent="0.25">
      <c r="A496" t="s">
        <v>10</v>
      </c>
      <c r="B496" t="s">
        <v>525</v>
      </c>
      <c r="C496" t="s">
        <v>100</v>
      </c>
      <c r="D496" t="s">
        <v>1259</v>
      </c>
      <c r="E496" t="s">
        <v>96</v>
      </c>
      <c r="F496">
        <v>51189</v>
      </c>
      <c r="G496">
        <v>1172</v>
      </c>
      <c r="H496">
        <v>0</v>
      </c>
      <c r="I496">
        <v>0.44381164564124331</v>
      </c>
      <c r="J496">
        <f t="shared" si="14"/>
        <v>0</v>
      </c>
      <c r="K496">
        <f t="shared" si="15"/>
        <v>0</v>
      </c>
    </row>
    <row r="497" spans="1:11" x14ac:dyDescent="0.25">
      <c r="A497" t="s">
        <v>10</v>
      </c>
      <c r="B497" t="s">
        <v>526</v>
      </c>
      <c r="C497" t="s">
        <v>100</v>
      </c>
      <c r="D497" t="s">
        <v>1259</v>
      </c>
      <c r="E497" t="s">
        <v>96</v>
      </c>
      <c r="F497">
        <v>51211</v>
      </c>
      <c r="G497">
        <v>3599</v>
      </c>
      <c r="H497">
        <v>225</v>
      </c>
      <c r="I497">
        <v>0.76220021650525638</v>
      </c>
      <c r="J497">
        <f t="shared" si="14"/>
        <v>6.2517365934981944E-2</v>
      </c>
      <c r="K497">
        <f t="shared" si="15"/>
        <v>4.7650749850981576E-2</v>
      </c>
    </row>
    <row r="498" spans="1:11" x14ac:dyDescent="0.25">
      <c r="A498" t="s">
        <v>10</v>
      </c>
      <c r="B498" t="s">
        <v>527</v>
      </c>
      <c r="C498" t="s">
        <v>100</v>
      </c>
      <c r="D498" t="s">
        <v>1259</v>
      </c>
      <c r="E498" t="s">
        <v>96</v>
      </c>
      <c r="F498">
        <v>51217</v>
      </c>
      <c r="G498">
        <v>3367</v>
      </c>
      <c r="H498">
        <v>360</v>
      </c>
      <c r="I498">
        <v>0.57499579979265314</v>
      </c>
      <c r="J498">
        <f t="shared" si="14"/>
        <v>0.10692010692010692</v>
      </c>
      <c r="K498">
        <f t="shared" si="15"/>
        <v>6.1478612392442865E-2</v>
      </c>
    </row>
    <row r="499" spans="1:11" x14ac:dyDescent="0.25">
      <c r="A499" t="s">
        <v>10</v>
      </c>
      <c r="B499" t="s">
        <v>528</v>
      </c>
      <c r="C499" t="s">
        <v>100</v>
      </c>
      <c r="D499" t="s">
        <v>1259</v>
      </c>
      <c r="E499" t="s">
        <v>96</v>
      </c>
      <c r="F499">
        <v>51221</v>
      </c>
      <c r="G499">
        <v>17577</v>
      </c>
      <c r="H499">
        <v>1350</v>
      </c>
      <c r="I499">
        <v>0.60124673410683871</v>
      </c>
      <c r="J499">
        <f t="shared" si="14"/>
        <v>7.6804915514592939E-2</v>
      </c>
      <c r="K499">
        <f t="shared" si="15"/>
        <v>4.6178704616500671E-2</v>
      </c>
    </row>
    <row r="500" spans="1:11" x14ac:dyDescent="0.25">
      <c r="A500" t="s">
        <v>10</v>
      </c>
      <c r="B500" t="s">
        <v>529</v>
      </c>
      <c r="C500" t="s">
        <v>100</v>
      </c>
      <c r="D500" t="s">
        <v>1259</v>
      </c>
      <c r="E500" t="s">
        <v>96</v>
      </c>
      <c r="F500">
        <v>51224</v>
      </c>
      <c r="G500">
        <v>6891</v>
      </c>
      <c r="H500">
        <v>1350</v>
      </c>
      <c r="I500">
        <v>0.73878734906384669</v>
      </c>
      <c r="J500">
        <f t="shared" si="14"/>
        <v>0.19590770570309099</v>
      </c>
      <c r="K500">
        <f t="shared" si="15"/>
        <v>0.14473413455756684</v>
      </c>
    </row>
    <row r="501" spans="1:11" x14ac:dyDescent="0.25">
      <c r="A501" t="s">
        <v>10</v>
      </c>
      <c r="B501" t="s">
        <v>530</v>
      </c>
      <c r="C501" t="s">
        <v>100</v>
      </c>
      <c r="D501" t="s">
        <v>1259</v>
      </c>
      <c r="E501" t="s">
        <v>96</v>
      </c>
      <c r="F501">
        <v>51227</v>
      </c>
      <c r="G501">
        <v>4303</v>
      </c>
      <c r="H501">
        <v>225</v>
      </c>
      <c r="I501">
        <v>0.52335735850855281</v>
      </c>
      <c r="J501">
        <f t="shared" si="14"/>
        <v>5.2289100627469207E-2</v>
      </c>
      <c r="K501">
        <f t="shared" si="15"/>
        <v>2.7365885583180195E-2</v>
      </c>
    </row>
    <row r="502" spans="1:11" x14ac:dyDescent="0.25">
      <c r="A502" t="s">
        <v>10</v>
      </c>
      <c r="B502" t="s">
        <v>531</v>
      </c>
      <c r="C502" t="s">
        <v>100</v>
      </c>
      <c r="D502" t="s">
        <v>1259</v>
      </c>
      <c r="E502" t="s">
        <v>96</v>
      </c>
      <c r="F502">
        <v>51231</v>
      </c>
      <c r="G502">
        <v>17998</v>
      </c>
      <c r="H502">
        <v>360</v>
      </c>
      <c r="I502">
        <v>6.3416258831766492E-2</v>
      </c>
      <c r="J502">
        <f t="shared" si="14"/>
        <v>2.000222246916324E-2</v>
      </c>
      <c r="K502">
        <f t="shared" si="15"/>
        <v>1.2684661173150314E-3</v>
      </c>
    </row>
    <row r="503" spans="1:11" x14ac:dyDescent="0.25">
      <c r="A503" t="s">
        <v>10</v>
      </c>
      <c r="B503" t="s">
        <v>532</v>
      </c>
      <c r="C503" t="s">
        <v>100</v>
      </c>
      <c r="D503" t="s">
        <v>1259</v>
      </c>
      <c r="E503" t="s">
        <v>96</v>
      </c>
      <c r="F503">
        <v>51234</v>
      </c>
      <c r="G503">
        <v>26381</v>
      </c>
      <c r="H503">
        <v>1440</v>
      </c>
      <c r="I503">
        <v>0.52486773557158739</v>
      </c>
      <c r="J503">
        <f t="shared" si="14"/>
        <v>5.458473901671658E-2</v>
      </c>
      <c r="K503">
        <f t="shared" si="15"/>
        <v>2.8649768364470106E-2</v>
      </c>
    </row>
    <row r="504" spans="1:11" x14ac:dyDescent="0.25">
      <c r="A504" t="s">
        <v>10</v>
      </c>
      <c r="B504" t="s">
        <v>533</v>
      </c>
      <c r="C504" t="s">
        <v>100</v>
      </c>
      <c r="D504" t="s">
        <v>1259</v>
      </c>
      <c r="E504" t="s">
        <v>96</v>
      </c>
      <c r="F504">
        <v>51241</v>
      </c>
      <c r="G504">
        <v>1294</v>
      </c>
      <c r="H504">
        <v>402</v>
      </c>
      <c r="I504">
        <v>0.6256405693820416</v>
      </c>
      <c r="J504">
        <f t="shared" si="14"/>
        <v>0.31066460587326122</v>
      </c>
      <c r="K504">
        <f t="shared" si="15"/>
        <v>0.19436438090539471</v>
      </c>
    </row>
    <row r="505" spans="1:11" x14ac:dyDescent="0.25">
      <c r="A505" t="s">
        <v>10</v>
      </c>
      <c r="B505" t="s">
        <v>534</v>
      </c>
      <c r="C505" t="s">
        <v>80</v>
      </c>
      <c r="D505" t="s">
        <v>1282</v>
      </c>
      <c r="E505" t="s">
        <v>27</v>
      </c>
      <c r="F505">
        <v>24481</v>
      </c>
      <c r="G505">
        <v>99</v>
      </c>
      <c r="H505">
        <v>0</v>
      </c>
      <c r="I505">
        <v>0.6256405693820416</v>
      </c>
      <c r="J505">
        <f t="shared" si="14"/>
        <v>0</v>
      </c>
      <c r="K505">
        <f t="shared" si="15"/>
        <v>0</v>
      </c>
    </row>
    <row r="506" spans="1:11" x14ac:dyDescent="0.25">
      <c r="A506" t="s">
        <v>10</v>
      </c>
      <c r="B506" t="s">
        <v>535</v>
      </c>
      <c r="C506" t="s">
        <v>100</v>
      </c>
      <c r="D506" t="s">
        <v>1259</v>
      </c>
      <c r="E506" t="s">
        <v>96</v>
      </c>
      <c r="F506">
        <v>51244</v>
      </c>
      <c r="G506">
        <v>1279</v>
      </c>
      <c r="H506">
        <v>270</v>
      </c>
      <c r="I506">
        <v>8.9423351862558675E-2</v>
      </c>
      <c r="J506">
        <f t="shared" si="14"/>
        <v>0.21110242376856919</v>
      </c>
      <c r="K506">
        <f t="shared" si="15"/>
        <v>1.8877486319695734E-2</v>
      </c>
    </row>
    <row r="507" spans="1:11" x14ac:dyDescent="0.25">
      <c r="A507" t="s">
        <v>10</v>
      </c>
      <c r="B507" t="s">
        <v>536</v>
      </c>
      <c r="C507" t="s">
        <v>100</v>
      </c>
      <c r="D507" t="s">
        <v>1259</v>
      </c>
      <c r="E507" t="s">
        <v>96</v>
      </c>
      <c r="F507">
        <v>51257</v>
      </c>
      <c r="G507">
        <v>830</v>
      </c>
      <c r="H507">
        <v>0</v>
      </c>
      <c r="I507">
        <v>0.6854903775085901</v>
      </c>
      <c r="J507">
        <f t="shared" si="14"/>
        <v>0</v>
      </c>
      <c r="K507">
        <f t="shared" si="15"/>
        <v>0</v>
      </c>
    </row>
    <row r="508" spans="1:11" x14ac:dyDescent="0.25">
      <c r="A508" t="s">
        <v>10</v>
      </c>
      <c r="B508" t="s">
        <v>537</v>
      </c>
      <c r="C508" t="s">
        <v>100</v>
      </c>
      <c r="D508" t="s">
        <v>1259</v>
      </c>
      <c r="E508" t="s">
        <v>96</v>
      </c>
      <c r="F508">
        <v>51267</v>
      </c>
      <c r="G508">
        <v>37304</v>
      </c>
      <c r="H508">
        <v>1125</v>
      </c>
      <c r="I508">
        <v>0.17428214136027032</v>
      </c>
      <c r="J508">
        <f t="shared" si="14"/>
        <v>3.01576238473086E-2</v>
      </c>
      <c r="K508">
        <f t="shared" si="15"/>
        <v>5.2559352624464966E-3</v>
      </c>
    </row>
    <row r="509" spans="1:11" x14ac:dyDescent="0.25">
      <c r="A509" t="s">
        <v>10</v>
      </c>
      <c r="B509" t="s">
        <v>538</v>
      </c>
      <c r="C509" t="s">
        <v>100</v>
      </c>
      <c r="D509" t="s">
        <v>1259</v>
      </c>
      <c r="E509" t="s">
        <v>96</v>
      </c>
      <c r="F509">
        <v>51284</v>
      </c>
      <c r="G509">
        <v>17146</v>
      </c>
      <c r="H509">
        <v>2250</v>
      </c>
      <c r="I509">
        <v>1.6915431866956321E-2</v>
      </c>
      <c r="J509">
        <f t="shared" si="14"/>
        <v>0.13122594191064971</v>
      </c>
      <c r="K509">
        <f t="shared" si="15"/>
        <v>2.2197434795667632E-3</v>
      </c>
    </row>
    <row r="510" spans="1:11" x14ac:dyDescent="0.25">
      <c r="A510" t="s">
        <v>10</v>
      </c>
      <c r="B510" t="s">
        <v>539</v>
      </c>
      <c r="C510" t="s">
        <v>100</v>
      </c>
      <c r="D510" t="s">
        <v>1259</v>
      </c>
      <c r="E510" t="s">
        <v>96</v>
      </c>
      <c r="F510">
        <v>51287</v>
      </c>
      <c r="G510">
        <v>157</v>
      </c>
      <c r="H510">
        <v>0</v>
      </c>
      <c r="I510">
        <v>0.29815609701356449</v>
      </c>
      <c r="J510">
        <f t="shared" si="14"/>
        <v>0</v>
      </c>
      <c r="K510">
        <f t="shared" si="15"/>
        <v>0</v>
      </c>
    </row>
    <row r="511" spans="1:11" x14ac:dyDescent="0.25">
      <c r="A511" t="s">
        <v>10</v>
      </c>
      <c r="B511" t="s">
        <v>540</v>
      </c>
      <c r="C511" t="s">
        <v>100</v>
      </c>
      <c r="D511" t="s">
        <v>1259</v>
      </c>
      <c r="E511" t="s">
        <v>96</v>
      </c>
      <c r="F511">
        <v>51311</v>
      </c>
      <c r="G511">
        <v>8437</v>
      </c>
      <c r="H511">
        <v>1350</v>
      </c>
      <c r="I511">
        <v>0.75378600333050083</v>
      </c>
      <c r="J511">
        <f t="shared" si="14"/>
        <v>0.16000948204338034</v>
      </c>
      <c r="K511">
        <f t="shared" si="15"/>
        <v>0.12061290796446321</v>
      </c>
    </row>
    <row r="512" spans="1:11" x14ac:dyDescent="0.25">
      <c r="A512" t="s">
        <v>10</v>
      </c>
      <c r="B512" t="s">
        <v>541</v>
      </c>
      <c r="C512" t="s">
        <v>100</v>
      </c>
      <c r="D512" t="s">
        <v>1259</v>
      </c>
      <c r="E512" t="s">
        <v>96</v>
      </c>
      <c r="F512">
        <v>51317</v>
      </c>
      <c r="G512">
        <v>4666</v>
      </c>
      <c r="H512">
        <v>400</v>
      </c>
      <c r="I512">
        <v>0.76614392626403172</v>
      </c>
      <c r="J512">
        <f t="shared" si="14"/>
        <v>8.5726532361765972E-2</v>
      </c>
      <c r="K512">
        <f t="shared" si="15"/>
        <v>6.5678862088643958E-2</v>
      </c>
    </row>
    <row r="513" spans="1:11" x14ac:dyDescent="0.25">
      <c r="A513" t="s">
        <v>10</v>
      </c>
      <c r="B513" t="s">
        <v>542</v>
      </c>
      <c r="C513" t="s">
        <v>100</v>
      </c>
      <c r="D513" t="s">
        <v>1259</v>
      </c>
      <c r="E513" t="s">
        <v>96</v>
      </c>
      <c r="F513">
        <v>51323</v>
      </c>
      <c r="G513">
        <v>8616</v>
      </c>
      <c r="H513">
        <v>0</v>
      </c>
      <c r="I513">
        <v>4.5646717426622962E-2</v>
      </c>
      <c r="J513">
        <f t="shared" si="14"/>
        <v>0</v>
      </c>
      <c r="K513">
        <f t="shared" si="15"/>
        <v>0</v>
      </c>
    </row>
    <row r="514" spans="1:11" x14ac:dyDescent="0.25">
      <c r="A514" t="s">
        <v>10</v>
      </c>
      <c r="B514" t="s">
        <v>543</v>
      </c>
      <c r="C514" t="s">
        <v>100</v>
      </c>
      <c r="D514" t="s">
        <v>1259</v>
      </c>
      <c r="E514" t="s">
        <v>96</v>
      </c>
      <c r="F514">
        <v>51329</v>
      </c>
      <c r="G514">
        <v>713</v>
      </c>
      <c r="H514">
        <v>0</v>
      </c>
      <c r="I514">
        <v>0.30412498717167025</v>
      </c>
      <c r="J514">
        <f t="shared" si="14"/>
        <v>0</v>
      </c>
      <c r="K514">
        <f t="shared" si="15"/>
        <v>0</v>
      </c>
    </row>
    <row r="515" spans="1:11" x14ac:dyDescent="0.25">
      <c r="A515" t="s">
        <v>10</v>
      </c>
      <c r="B515" t="s">
        <v>544</v>
      </c>
      <c r="C515" t="s">
        <v>100</v>
      </c>
      <c r="D515" t="s">
        <v>1259</v>
      </c>
      <c r="E515" t="s">
        <v>96</v>
      </c>
      <c r="F515">
        <v>51347</v>
      </c>
      <c r="G515">
        <v>571</v>
      </c>
      <c r="H515">
        <v>0</v>
      </c>
      <c r="I515">
        <v>0.54023949608614297</v>
      </c>
      <c r="J515">
        <f t="shared" ref="J515:J578" si="16">IF(G515=0,0,H515/G515)</f>
        <v>0</v>
      </c>
      <c r="K515">
        <f t="shared" ref="K515:K578" si="17">J515*I515</f>
        <v>0</v>
      </c>
    </row>
    <row r="516" spans="1:11" x14ac:dyDescent="0.25">
      <c r="A516" t="s">
        <v>10</v>
      </c>
      <c r="B516" t="s">
        <v>545</v>
      </c>
      <c r="C516" t="s">
        <v>100</v>
      </c>
      <c r="D516" t="s">
        <v>1259</v>
      </c>
      <c r="E516" t="s">
        <v>96</v>
      </c>
      <c r="F516">
        <v>51353</v>
      </c>
      <c r="G516">
        <v>658</v>
      </c>
      <c r="H516">
        <v>0</v>
      </c>
      <c r="I516">
        <v>0.36003539550630959</v>
      </c>
      <c r="J516">
        <f t="shared" si="16"/>
        <v>0</v>
      </c>
      <c r="K516">
        <f t="shared" si="17"/>
        <v>0</v>
      </c>
    </row>
    <row r="517" spans="1:11" x14ac:dyDescent="0.25">
      <c r="A517" t="s">
        <v>10</v>
      </c>
      <c r="B517" t="s">
        <v>546</v>
      </c>
      <c r="C517" t="s">
        <v>100</v>
      </c>
      <c r="D517" t="s">
        <v>1259</v>
      </c>
      <c r="E517" t="s">
        <v>96</v>
      </c>
      <c r="F517">
        <v>51359</v>
      </c>
      <c r="G517">
        <v>3897</v>
      </c>
      <c r="H517">
        <v>90</v>
      </c>
      <c r="I517">
        <v>0.2554307102325335</v>
      </c>
      <c r="J517">
        <f t="shared" si="16"/>
        <v>2.3094688221709007E-2</v>
      </c>
      <c r="K517">
        <f t="shared" si="17"/>
        <v>5.8990926150700581E-3</v>
      </c>
    </row>
    <row r="518" spans="1:11" x14ac:dyDescent="0.25">
      <c r="A518" t="s">
        <v>10</v>
      </c>
      <c r="B518" t="s">
        <v>547</v>
      </c>
      <c r="C518" t="s">
        <v>100</v>
      </c>
      <c r="D518" t="s">
        <v>1259</v>
      </c>
      <c r="E518" t="s">
        <v>96</v>
      </c>
      <c r="F518">
        <v>51365</v>
      </c>
      <c r="G518">
        <v>5817</v>
      </c>
      <c r="H518">
        <v>0</v>
      </c>
      <c r="I518">
        <v>0.59154203313274145</v>
      </c>
      <c r="J518">
        <f t="shared" si="16"/>
        <v>0</v>
      </c>
      <c r="K518">
        <f t="shared" si="17"/>
        <v>0</v>
      </c>
    </row>
    <row r="519" spans="1:11" x14ac:dyDescent="0.25">
      <c r="A519" t="s">
        <v>10</v>
      </c>
      <c r="B519" t="s">
        <v>548</v>
      </c>
      <c r="C519" t="s">
        <v>100</v>
      </c>
      <c r="D519" t="s">
        <v>1259</v>
      </c>
      <c r="E519" t="s">
        <v>96</v>
      </c>
      <c r="F519">
        <v>51371</v>
      </c>
      <c r="G519">
        <v>1122</v>
      </c>
      <c r="H519">
        <v>0</v>
      </c>
      <c r="I519">
        <v>4.3525552335952566E-2</v>
      </c>
      <c r="J519">
        <f t="shared" si="16"/>
        <v>0</v>
      </c>
      <c r="K519">
        <f t="shared" si="17"/>
        <v>0</v>
      </c>
    </row>
    <row r="520" spans="1:11" x14ac:dyDescent="0.25">
      <c r="A520" t="s">
        <v>10</v>
      </c>
      <c r="B520" t="s">
        <v>549</v>
      </c>
      <c r="C520" t="s">
        <v>100</v>
      </c>
      <c r="D520" t="s">
        <v>1259</v>
      </c>
      <c r="E520" t="s">
        <v>96</v>
      </c>
      <c r="F520">
        <v>51377</v>
      </c>
      <c r="G520">
        <v>1432</v>
      </c>
      <c r="H520">
        <v>536</v>
      </c>
      <c r="I520">
        <v>0.60994438260126915</v>
      </c>
      <c r="J520">
        <f t="shared" si="16"/>
        <v>0.37430167597765363</v>
      </c>
      <c r="K520">
        <f t="shared" si="17"/>
        <v>0.22830320466081025</v>
      </c>
    </row>
    <row r="521" spans="1:11" x14ac:dyDescent="0.25">
      <c r="A521" t="s">
        <v>10</v>
      </c>
      <c r="B521" t="s">
        <v>550</v>
      </c>
      <c r="C521" t="s">
        <v>100</v>
      </c>
      <c r="D521" t="s">
        <v>1259</v>
      </c>
      <c r="E521" t="s">
        <v>96</v>
      </c>
      <c r="F521">
        <v>51383</v>
      </c>
      <c r="G521">
        <v>9825</v>
      </c>
      <c r="H521">
        <v>0</v>
      </c>
      <c r="I521">
        <v>8.9355286110554877E-2</v>
      </c>
      <c r="J521">
        <f t="shared" si="16"/>
        <v>0</v>
      </c>
      <c r="K521">
        <f t="shared" si="17"/>
        <v>0</v>
      </c>
    </row>
    <row r="522" spans="1:11" x14ac:dyDescent="0.25">
      <c r="A522" t="s">
        <v>10</v>
      </c>
      <c r="B522" t="s">
        <v>551</v>
      </c>
      <c r="C522" t="s">
        <v>100</v>
      </c>
      <c r="D522" t="s">
        <v>1259</v>
      </c>
      <c r="E522" t="s">
        <v>96</v>
      </c>
      <c r="F522">
        <v>51389</v>
      </c>
      <c r="G522">
        <v>8388</v>
      </c>
      <c r="H522">
        <v>1066</v>
      </c>
      <c r="I522">
        <v>0.59051756127907573</v>
      </c>
      <c r="J522">
        <f t="shared" si="16"/>
        <v>0.12708631378159274</v>
      </c>
      <c r="K522">
        <f t="shared" si="17"/>
        <v>7.504670008625354E-2</v>
      </c>
    </row>
    <row r="523" spans="1:11" x14ac:dyDescent="0.25">
      <c r="A523" t="s">
        <v>10</v>
      </c>
      <c r="B523" t="s">
        <v>552</v>
      </c>
      <c r="C523" t="s">
        <v>553</v>
      </c>
      <c r="D523" t="s">
        <v>1323</v>
      </c>
      <c r="E523" t="s">
        <v>96</v>
      </c>
      <c r="F523">
        <v>52111</v>
      </c>
      <c r="G523">
        <v>8173</v>
      </c>
      <c r="H523">
        <v>0</v>
      </c>
      <c r="I523">
        <v>0.55389596655423645</v>
      </c>
      <c r="J523">
        <f t="shared" si="16"/>
        <v>0</v>
      </c>
      <c r="K523">
        <f t="shared" si="17"/>
        <v>0</v>
      </c>
    </row>
    <row r="524" spans="1:11" x14ac:dyDescent="0.25">
      <c r="A524" t="s">
        <v>10</v>
      </c>
      <c r="B524" t="s">
        <v>554</v>
      </c>
      <c r="C524" t="s">
        <v>553</v>
      </c>
      <c r="D524" t="s">
        <v>1323</v>
      </c>
      <c r="E524" t="s">
        <v>96</v>
      </c>
      <c r="F524">
        <v>52116</v>
      </c>
      <c r="G524">
        <v>1492</v>
      </c>
      <c r="H524">
        <v>0</v>
      </c>
      <c r="I524">
        <v>2.0469262898746066E-2</v>
      </c>
      <c r="J524">
        <f t="shared" si="16"/>
        <v>0</v>
      </c>
      <c r="K524">
        <f t="shared" si="17"/>
        <v>0</v>
      </c>
    </row>
    <row r="525" spans="1:11" x14ac:dyDescent="0.25">
      <c r="A525" t="s">
        <v>10</v>
      </c>
      <c r="B525" t="s">
        <v>555</v>
      </c>
      <c r="C525" t="s">
        <v>553</v>
      </c>
      <c r="D525" t="s">
        <v>1323</v>
      </c>
      <c r="E525" t="s">
        <v>96</v>
      </c>
      <c r="F525">
        <v>52121</v>
      </c>
      <c r="G525">
        <v>739</v>
      </c>
      <c r="H525">
        <v>45</v>
      </c>
      <c r="I525">
        <v>0.59210116053537787</v>
      </c>
      <c r="J525">
        <f t="shared" si="16"/>
        <v>6.0893098782138028E-2</v>
      </c>
      <c r="K525">
        <f t="shared" si="17"/>
        <v>3.6054874457499331E-2</v>
      </c>
    </row>
    <row r="526" spans="1:11" x14ac:dyDescent="0.25">
      <c r="A526" t="s">
        <v>10</v>
      </c>
      <c r="B526" t="s">
        <v>556</v>
      </c>
      <c r="C526" t="s">
        <v>553</v>
      </c>
      <c r="D526" t="s">
        <v>1323</v>
      </c>
      <c r="E526" t="s">
        <v>96</v>
      </c>
      <c r="F526">
        <v>52126</v>
      </c>
      <c r="G526">
        <v>475</v>
      </c>
      <c r="H526">
        <v>0</v>
      </c>
      <c r="I526">
        <v>0.58057136320741232</v>
      </c>
      <c r="J526">
        <f t="shared" si="16"/>
        <v>0</v>
      </c>
      <c r="K526">
        <f t="shared" si="17"/>
        <v>0</v>
      </c>
    </row>
    <row r="527" spans="1:11" x14ac:dyDescent="0.25">
      <c r="A527" t="s">
        <v>10</v>
      </c>
      <c r="B527" t="s">
        <v>557</v>
      </c>
      <c r="C527" t="s">
        <v>553</v>
      </c>
      <c r="D527" t="s">
        <v>1323</v>
      </c>
      <c r="E527" t="s">
        <v>96</v>
      </c>
      <c r="F527">
        <v>52136</v>
      </c>
      <c r="G527">
        <v>2186</v>
      </c>
      <c r="H527">
        <v>180</v>
      </c>
      <c r="I527">
        <v>0.56078080876819414</v>
      </c>
      <c r="J527">
        <f t="shared" si="16"/>
        <v>8.2342177493138158E-2</v>
      </c>
      <c r="K527">
        <f t="shared" si="17"/>
        <v>4.6175912890336207E-2</v>
      </c>
    </row>
    <row r="528" spans="1:11" x14ac:dyDescent="0.25">
      <c r="A528" t="s">
        <v>10</v>
      </c>
      <c r="B528" t="s">
        <v>558</v>
      </c>
      <c r="C528" t="s">
        <v>553</v>
      </c>
      <c r="D528" t="s">
        <v>1323</v>
      </c>
      <c r="E528" t="s">
        <v>96</v>
      </c>
      <c r="F528">
        <v>52141</v>
      </c>
      <c r="G528">
        <v>253</v>
      </c>
      <c r="H528">
        <v>0</v>
      </c>
      <c r="I528">
        <v>0</v>
      </c>
      <c r="J528">
        <f t="shared" si="16"/>
        <v>0</v>
      </c>
      <c r="K528">
        <f t="shared" si="17"/>
        <v>0</v>
      </c>
    </row>
    <row r="529" spans="1:11" x14ac:dyDescent="0.25">
      <c r="A529" t="s">
        <v>10</v>
      </c>
      <c r="B529" t="s">
        <v>559</v>
      </c>
      <c r="C529" t="s">
        <v>553</v>
      </c>
      <c r="D529" t="s">
        <v>1323</v>
      </c>
      <c r="E529" t="s">
        <v>96</v>
      </c>
      <c r="F529">
        <v>52146</v>
      </c>
      <c r="G529">
        <v>1101</v>
      </c>
      <c r="H529">
        <v>90</v>
      </c>
      <c r="I529">
        <v>0.39423233595377905</v>
      </c>
      <c r="J529">
        <f t="shared" si="16"/>
        <v>8.1743869209809264E-2</v>
      </c>
      <c r="K529">
        <f t="shared" si="17"/>
        <v>3.2226076508483303E-2</v>
      </c>
    </row>
    <row r="530" spans="1:11" x14ac:dyDescent="0.25">
      <c r="A530" t="s">
        <v>10</v>
      </c>
      <c r="B530" t="s">
        <v>560</v>
      </c>
      <c r="C530" t="s">
        <v>553</v>
      </c>
      <c r="D530" t="s">
        <v>1323</v>
      </c>
      <c r="E530" t="s">
        <v>96</v>
      </c>
      <c r="F530">
        <v>52151</v>
      </c>
      <c r="G530">
        <v>4206</v>
      </c>
      <c r="H530">
        <v>135</v>
      </c>
      <c r="I530">
        <v>0.67030805502520963</v>
      </c>
      <c r="J530">
        <f t="shared" si="16"/>
        <v>3.209700427960057E-2</v>
      </c>
      <c r="K530">
        <f t="shared" si="17"/>
        <v>2.1514880510794889E-2</v>
      </c>
    </row>
    <row r="531" spans="1:11" x14ac:dyDescent="0.25">
      <c r="A531" t="s">
        <v>10</v>
      </c>
      <c r="B531" t="s">
        <v>561</v>
      </c>
      <c r="C531" t="s">
        <v>553</v>
      </c>
      <c r="D531" t="s">
        <v>1323</v>
      </c>
      <c r="E531" t="s">
        <v>96</v>
      </c>
      <c r="F531">
        <v>52161</v>
      </c>
      <c r="G531">
        <v>1120</v>
      </c>
      <c r="H531">
        <v>0</v>
      </c>
      <c r="I531">
        <v>0.458081767678716</v>
      </c>
      <c r="J531">
        <f t="shared" si="16"/>
        <v>0</v>
      </c>
      <c r="K531">
        <f t="shared" si="17"/>
        <v>0</v>
      </c>
    </row>
    <row r="532" spans="1:11" x14ac:dyDescent="0.25">
      <c r="A532" t="s">
        <v>10</v>
      </c>
      <c r="B532" t="s">
        <v>562</v>
      </c>
      <c r="C532" t="s">
        <v>553</v>
      </c>
      <c r="D532" t="s">
        <v>1323</v>
      </c>
      <c r="E532" t="s">
        <v>96</v>
      </c>
      <c r="F532">
        <v>52171</v>
      </c>
      <c r="G532">
        <v>3595</v>
      </c>
      <c r="H532">
        <v>50</v>
      </c>
      <c r="I532">
        <v>0.64985875769345958</v>
      </c>
      <c r="J532">
        <f t="shared" si="16"/>
        <v>1.3908205841446454E-2</v>
      </c>
      <c r="K532">
        <f t="shared" si="17"/>
        <v>9.0383693698673096E-3</v>
      </c>
    </row>
    <row r="533" spans="1:11" x14ac:dyDescent="0.25">
      <c r="A533" t="s">
        <v>10</v>
      </c>
      <c r="B533" t="s">
        <v>563</v>
      </c>
      <c r="C533" t="s">
        <v>553</v>
      </c>
      <c r="D533" t="s">
        <v>1323</v>
      </c>
      <c r="E533" t="s">
        <v>96</v>
      </c>
      <c r="F533">
        <v>52176</v>
      </c>
      <c r="G533">
        <v>737</v>
      </c>
      <c r="H533">
        <v>135</v>
      </c>
      <c r="I533">
        <v>0.70123681469331078</v>
      </c>
      <c r="J533">
        <f t="shared" si="16"/>
        <v>0.18317503392130258</v>
      </c>
      <c r="K533">
        <f t="shared" si="17"/>
        <v>0.12844907731831337</v>
      </c>
    </row>
    <row r="534" spans="1:11" x14ac:dyDescent="0.25">
      <c r="A534" t="s">
        <v>10</v>
      </c>
      <c r="B534" t="s">
        <v>564</v>
      </c>
      <c r="C534" t="s">
        <v>553</v>
      </c>
      <c r="D534" t="s">
        <v>1323</v>
      </c>
      <c r="E534" t="s">
        <v>96</v>
      </c>
      <c r="F534">
        <v>52181</v>
      </c>
      <c r="G534">
        <v>0</v>
      </c>
      <c r="H534">
        <v>0</v>
      </c>
      <c r="I534">
        <v>0.58448979591836736</v>
      </c>
      <c r="J534">
        <f t="shared" si="16"/>
        <v>0</v>
      </c>
      <c r="K534">
        <f t="shared" si="17"/>
        <v>0</v>
      </c>
    </row>
    <row r="535" spans="1:11" x14ac:dyDescent="0.25">
      <c r="A535" t="s">
        <v>10</v>
      </c>
      <c r="B535" t="s">
        <v>565</v>
      </c>
      <c r="C535" t="s">
        <v>553</v>
      </c>
      <c r="D535" t="s">
        <v>1323</v>
      </c>
      <c r="E535" t="s">
        <v>96</v>
      </c>
      <c r="F535">
        <v>52211</v>
      </c>
      <c r="G535">
        <v>12372</v>
      </c>
      <c r="H535">
        <v>135</v>
      </c>
      <c r="I535">
        <v>0.37141527763347149</v>
      </c>
      <c r="J535">
        <f t="shared" si="16"/>
        <v>1.0911736178467508E-2</v>
      </c>
      <c r="K535">
        <f t="shared" si="17"/>
        <v>4.0527855221887043E-3</v>
      </c>
    </row>
    <row r="536" spans="1:11" x14ac:dyDescent="0.25">
      <c r="A536" t="s">
        <v>10</v>
      </c>
      <c r="B536" t="s">
        <v>566</v>
      </c>
      <c r="C536" t="s">
        <v>553</v>
      </c>
      <c r="D536" t="s">
        <v>1323</v>
      </c>
      <c r="E536" t="s">
        <v>96</v>
      </c>
      <c r="F536">
        <v>52214</v>
      </c>
      <c r="G536">
        <v>3164</v>
      </c>
      <c r="H536">
        <v>23</v>
      </c>
      <c r="I536">
        <v>1.8445044397151777E-2</v>
      </c>
      <c r="J536">
        <f t="shared" si="16"/>
        <v>7.2692793931731989E-3</v>
      </c>
      <c r="K536">
        <f t="shared" si="17"/>
        <v>1.340821811423802E-4</v>
      </c>
    </row>
    <row r="537" spans="1:11" x14ac:dyDescent="0.25">
      <c r="A537" t="s">
        <v>10</v>
      </c>
      <c r="B537" t="s">
        <v>567</v>
      </c>
      <c r="C537" t="s">
        <v>553</v>
      </c>
      <c r="D537" t="s">
        <v>1323</v>
      </c>
      <c r="E537" t="s">
        <v>96</v>
      </c>
      <c r="F537">
        <v>52217</v>
      </c>
      <c r="G537">
        <v>7509</v>
      </c>
      <c r="H537">
        <v>540</v>
      </c>
      <c r="I537">
        <v>2.4454824049900847E-2</v>
      </c>
      <c r="J537">
        <f t="shared" si="16"/>
        <v>7.1913703555733122E-2</v>
      </c>
      <c r="K537">
        <f t="shared" si="17"/>
        <v>1.7586369672321824E-3</v>
      </c>
    </row>
    <row r="538" spans="1:11" x14ac:dyDescent="0.25">
      <c r="A538" t="s">
        <v>10</v>
      </c>
      <c r="B538" t="s">
        <v>568</v>
      </c>
      <c r="C538" t="s">
        <v>553</v>
      </c>
      <c r="D538" t="s">
        <v>1323</v>
      </c>
      <c r="E538" t="s">
        <v>96</v>
      </c>
      <c r="F538">
        <v>52224</v>
      </c>
      <c r="G538">
        <v>1858</v>
      </c>
      <c r="H538">
        <v>90</v>
      </c>
      <c r="I538">
        <v>5.3132222714520005E-2</v>
      </c>
      <c r="J538">
        <f t="shared" si="16"/>
        <v>4.843918191603875E-2</v>
      </c>
      <c r="K538">
        <f t="shared" si="17"/>
        <v>2.5736814016721209E-3</v>
      </c>
    </row>
    <row r="539" spans="1:11" x14ac:dyDescent="0.25">
      <c r="A539" t="s">
        <v>10</v>
      </c>
      <c r="B539" t="s">
        <v>569</v>
      </c>
      <c r="C539" t="s">
        <v>553</v>
      </c>
      <c r="D539" t="s">
        <v>1323</v>
      </c>
      <c r="E539" t="s">
        <v>96</v>
      </c>
      <c r="F539">
        <v>52227</v>
      </c>
      <c r="G539">
        <v>15651</v>
      </c>
      <c r="H539">
        <v>405</v>
      </c>
      <c r="I539">
        <v>2.3065548657362989E-2</v>
      </c>
      <c r="J539">
        <f t="shared" si="16"/>
        <v>2.5876940770557792E-2</v>
      </c>
      <c r="K539">
        <f t="shared" si="17"/>
        <v>5.9686583644700088E-4</v>
      </c>
    </row>
    <row r="540" spans="1:11" x14ac:dyDescent="0.25">
      <c r="A540" t="s">
        <v>10</v>
      </c>
      <c r="B540" t="s">
        <v>570</v>
      </c>
      <c r="C540" t="s">
        <v>553</v>
      </c>
      <c r="D540" t="s">
        <v>1323</v>
      </c>
      <c r="E540" t="s">
        <v>96</v>
      </c>
      <c r="F540">
        <v>52231</v>
      </c>
      <c r="G540">
        <v>2289</v>
      </c>
      <c r="H540">
        <v>0</v>
      </c>
      <c r="I540">
        <v>1.369887966917771E-2</v>
      </c>
      <c r="J540">
        <f t="shared" si="16"/>
        <v>0</v>
      </c>
      <c r="K540">
        <f t="shared" si="17"/>
        <v>0</v>
      </c>
    </row>
    <row r="541" spans="1:11" x14ac:dyDescent="0.25">
      <c r="A541" t="s">
        <v>10</v>
      </c>
      <c r="B541" t="s">
        <v>571</v>
      </c>
      <c r="C541" t="s">
        <v>553</v>
      </c>
      <c r="D541" t="s">
        <v>1323</v>
      </c>
      <c r="E541" t="s">
        <v>96</v>
      </c>
      <c r="F541">
        <v>52234</v>
      </c>
      <c r="G541">
        <v>2409</v>
      </c>
      <c r="H541">
        <v>134</v>
      </c>
      <c r="I541">
        <v>5.3925925925926044E-2</v>
      </c>
      <c r="J541">
        <f t="shared" si="16"/>
        <v>5.5624740556247408E-2</v>
      </c>
      <c r="K541">
        <f t="shared" si="17"/>
        <v>2.9996156388850518E-3</v>
      </c>
    </row>
    <row r="542" spans="1:11" x14ac:dyDescent="0.25">
      <c r="A542" t="s">
        <v>10</v>
      </c>
      <c r="B542" t="s">
        <v>572</v>
      </c>
      <c r="C542" t="s">
        <v>553</v>
      </c>
      <c r="D542" t="s">
        <v>1323</v>
      </c>
      <c r="E542" t="s">
        <v>96</v>
      </c>
      <c r="F542">
        <v>52237</v>
      </c>
      <c r="G542">
        <v>7079</v>
      </c>
      <c r="H542">
        <v>225</v>
      </c>
      <c r="I542">
        <v>0.25756543134985954</v>
      </c>
      <c r="J542">
        <f t="shared" si="16"/>
        <v>3.1784150303715217E-2</v>
      </c>
      <c r="K542">
        <f t="shared" si="17"/>
        <v>8.1864983830651789E-3</v>
      </c>
    </row>
    <row r="543" spans="1:11" x14ac:dyDescent="0.25">
      <c r="A543" t="s">
        <v>10</v>
      </c>
      <c r="B543" t="s">
        <v>573</v>
      </c>
      <c r="C543" t="s">
        <v>553</v>
      </c>
      <c r="D543" t="s">
        <v>1323</v>
      </c>
      <c r="E543" t="s">
        <v>96</v>
      </c>
      <c r="F543">
        <v>52251</v>
      </c>
      <c r="G543">
        <v>857</v>
      </c>
      <c r="H543">
        <v>27</v>
      </c>
      <c r="I543">
        <v>0.67152110726643599</v>
      </c>
      <c r="J543">
        <f t="shared" si="16"/>
        <v>3.1505250875145857E-2</v>
      </c>
      <c r="K543">
        <f t="shared" si="17"/>
        <v>2.1156440952384798E-2</v>
      </c>
    </row>
    <row r="544" spans="1:11" x14ac:dyDescent="0.25">
      <c r="A544" t="s">
        <v>10</v>
      </c>
      <c r="B544" t="s">
        <v>574</v>
      </c>
      <c r="C544" t="s">
        <v>553</v>
      </c>
      <c r="D544" t="s">
        <v>1323</v>
      </c>
      <c r="E544" t="s">
        <v>96</v>
      </c>
      <c r="F544">
        <v>52254</v>
      </c>
      <c r="G544">
        <v>5126</v>
      </c>
      <c r="H544">
        <v>175</v>
      </c>
      <c r="I544">
        <v>3.247552798594433E-2</v>
      </c>
      <c r="J544">
        <f t="shared" si="16"/>
        <v>3.413968006242684E-2</v>
      </c>
      <c r="K544">
        <f t="shared" si="17"/>
        <v>1.1087041352985285E-3</v>
      </c>
    </row>
    <row r="545" spans="1:11" x14ac:dyDescent="0.25">
      <c r="A545" t="s">
        <v>10</v>
      </c>
      <c r="B545" t="s">
        <v>575</v>
      </c>
      <c r="C545" t="s">
        <v>100</v>
      </c>
      <c r="D545" t="s">
        <v>1259</v>
      </c>
      <c r="E545" t="s">
        <v>96</v>
      </c>
      <c r="F545">
        <v>52261</v>
      </c>
      <c r="G545">
        <v>0</v>
      </c>
      <c r="H545">
        <v>0</v>
      </c>
      <c r="I545">
        <v>0.2363789409243956</v>
      </c>
      <c r="J545">
        <f t="shared" si="16"/>
        <v>0</v>
      </c>
      <c r="K545">
        <f t="shared" si="17"/>
        <v>0</v>
      </c>
    </row>
    <row r="546" spans="1:11" x14ac:dyDescent="0.25">
      <c r="A546" t="s">
        <v>10</v>
      </c>
      <c r="B546" t="s">
        <v>576</v>
      </c>
      <c r="C546" t="s">
        <v>553</v>
      </c>
      <c r="D546" t="s">
        <v>1323</v>
      </c>
      <c r="E546" t="s">
        <v>96</v>
      </c>
      <c r="F546">
        <v>52264</v>
      </c>
      <c r="G546">
        <v>5104</v>
      </c>
      <c r="H546">
        <v>0</v>
      </c>
      <c r="I546">
        <v>0.20367027006804217</v>
      </c>
      <c r="J546">
        <f t="shared" si="16"/>
        <v>0</v>
      </c>
      <c r="K546">
        <f t="shared" si="17"/>
        <v>0</v>
      </c>
    </row>
    <row r="547" spans="1:11" x14ac:dyDescent="0.25">
      <c r="A547" t="s">
        <v>10</v>
      </c>
      <c r="B547" t="s">
        <v>577</v>
      </c>
      <c r="C547" t="s">
        <v>553</v>
      </c>
      <c r="D547" t="s">
        <v>1323</v>
      </c>
      <c r="E547" t="s">
        <v>96</v>
      </c>
      <c r="F547">
        <v>52267</v>
      </c>
      <c r="G547">
        <v>5097</v>
      </c>
      <c r="H547">
        <v>0</v>
      </c>
      <c r="I547">
        <v>4.7811529130210251E-2</v>
      </c>
      <c r="J547">
        <f t="shared" si="16"/>
        <v>0</v>
      </c>
      <c r="K547">
        <f t="shared" si="17"/>
        <v>0</v>
      </c>
    </row>
    <row r="548" spans="1:11" x14ac:dyDescent="0.25">
      <c r="A548" t="s">
        <v>10</v>
      </c>
      <c r="B548" t="s">
        <v>578</v>
      </c>
      <c r="C548" t="s">
        <v>553</v>
      </c>
      <c r="D548" t="s">
        <v>1323</v>
      </c>
      <c r="E548" t="s">
        <v>96</v>
      </c>
      <c r="F548">
        <v>52274</v>
      </c>
      <c r="G548">
        <v>2377</v>
      </c>
      <c r="H548">
        <v>0</v>
      </c>
      <c r="I548">
        <v>5.6046793269602602E-2</v>
      </c>
      <c r="J548">
        <f t="shared" si="16"/>
        <v>0</v>
      </c>
      <c r="K548">
        <f t="shared" si="17"/>
        <v>0</v>
      </c>
    </row>
    <row r="549" spans="1:11" x14ac:dyDescent="0.25">
      <c r="A549" t="s">
        <v>10</v>
      </c>
      <c r="B549" t="s">
        <v>579</v>
      </c>
      <c r="C549" t="s">
        <v>553</v>
      </c>
      <c r="D549" t="s">
        <v>1323</v>
      </c>
      <c r="E549" t="s">
        <v>96</v>
      </c>
      <c r="F549">
        <v>52277</v>
      </c>
      <c r="G549">
        <v>18478</v>
      </c>
      <c r="H549">
        <v>225</v>
      </c>
      <c r="I549">
        <v>6.0788770820181304E-2</v>
      </c>
      <c r="J549">
        <f t="shared" si="16"/>
        <v>1.2176642493776382E-2</v>
      </c>
      <c r="K549">
        <f t="shared" si="17"/>
        <v>7.4020312991345341E-4</v>
      </c>
    </row>
    <row r="550" spans="1:11" x14ac:dyDescent="0.25">
      <c r="A550" t="s">
        <v>10</v>
      </c>
      <c r="B550" t="s">
        <v>580</v>
      </c>
      <c r="C550" t="s">
        <v>553</v>
      </c>
      <c r="D550" t="s">
        <v>1323</v>
      </c>
      <c r="E550" t="s">
        <v>96</v>
      </c>
      <c r="F550">
        <v>52284</v>
      </c>
      <c r="G550">
        <v>192</v>
      </c>
      <c r="H550">
        <v>0</v>
      </c>
      <c r="I550">
        <v>4.1455251117164194E-2</v>
      </c>
      <c r="J550">
        <f t="shared" si="16"/>
        <v>0</v>
      </c>
      <c r="K550">
        <f t="shared" si="17"/>
        <v>0</v>
      </c>
    </row>
    <row r="551" spans="1:11" x14ac:dyDescent="0.25">
      <c r="A551" t="s">
        <v>10</v>
      </c>
      <c r="B551" t="s">
        <v>581</v>
      </c>
      <c r="C551" t="s">
        <v>553</v>
      </c>
      <c r="D551" t="s">
        <v>1323</v>
      </c>
      <c r="E551" t="s">
        <v>96</v>
      </c>
      <c r="F551">
        <v>52287</v>
      </c>
      <c r="G551">
        <v>51</v>
      </c>
      <c r="H551">
        <v>0</v>
      </c>
      <c r="I551">
        <v>1.7134363852556511E-2</v>
      </c>
      <c r="J551">
        <f t="shared" si="16"/>
        <v>0</v>
      </c>
      <c r="K551">
        <f t="shared" si="17"/>
        <v>0</v>
      </c>
    </row>
    <row r="552" spans="1:11" x14ac:dyDescent="0.25">
      <c r="A552" t="s">
        <v>10</v>
      </c>
      <c r="B552" t="s">
        <v>582</v>
      </c>
      <c r="C552" t="s">
        <v>553</v>
      </c>
      <c r="D552" t="s">
        <v>1323</v>
      </c>
      <c r="E552" t="s">
        <v>96</v>
      </c>
      <c r="F552">
        <v>52295</v>
      </c>
      <c r="G552">
        <v>1317</v>
      </c>
      <c r="H552">
        <v>18</v>
      </c>
      <c r="I552">
        <v>2.8601606321588924E-2</v>
      </c>
      <c r="J552">
        <f t="shared" si="16"/>
        <v>1.366742596810934E-2</v>
      </c>
      <c r="K552">
        <f t="shared" si="17"/>
        <v>3.9091033696932469E-4</v>
      </c>
    </row>
    <row r="553" spans="1:11" x14ac:dyDescent="0.25">
      <c r="A553" t="s">
        <v>10</v>
      </c>
      <c r="B553" t="s">
        <v>82</v>
      </c>
      <c r="C553" t="s">
        <v>82</v>
      </c>
      <c r="D553" t="s">
        <v>1266</v>
      </c>
      <c r="E553" t="s">
        <v>83</v>
      </c>
      <c r="F553">
        <v>53111</v>
      </c>
      <c r="G553">
        <v>65558</v>
      </c>
      <c r="H553">
        <v>0</v>
      </c>
      <c r="I553">
        <v>0.40066264690851472</v>
      </c>
      <c r="J553">
        <f t="shared" si="16"/>
        <v>0</v>
      </c>
      <c r="K553">
        <f t="shared" si="17"/>
        <v>0</v>
      </c>
    </row>
    <row r="554" spans="1:11" x14ac:dyDescent="0.25">
      <c r="A554" t="s">
        <v>10</v>
      </c>
      <c r="B554" t="s">
        <v>583</v>
      </c>
      <c r="C554" t="s">
        <v>82</v>
      </c>
      <c r="D554" t="s">
        <v>1266</v>
      </c>
      <c r="E554" t="s">
        <v>83</v>
      </c>
      <c r="F554">
        <v>53119</v>
      </c>
      <c r="G554">
        <v>11441</v>
      </c>
      <c r="H554">
        <v>450</v>
      </c>
      <c r="I554">
        <v>0.70359245731698628</v>
      </c>
      <c r="J554">
        <f t="shared" si="16"/>
        <v>3.9332226204003146E-2</v>
      </c>
      <c r="K554">
        <f t="shared" si="17"/>
        <v>2.7673857686622134E-2</v>
      </c>
    </row>
    <row r="555" spans="1:11" x14ac:dyDescent="0.25">
      <c r="A555" t="s">
        <v>10</v>
      </c>
      <c r="B555" t="s">
        <v>584</v>
      </c>
      <c r="C555" t="s">
        <v>82</v>
      </c>
      <c r="D555" t="s">
        <v>1266</v>
      </c>
      <c r="E555" t="s">
        <v>83</v>
      </c>
      <c r="F555">
        <v>53123</v>
      </c>
      <c r="G555">
        <v>6292</v>
      </c>
      <c r="H555">
        <v>765</v>
      </c>
      <c r="I555">
        <v>0.30514261809543741</v>
      </c>
      <c r="J555">
        <f t="shared" si="16"/>
        <v>0.1215829624920534</v>
      </c>
      <c r="K555">
        <f t="shared" si="17"/>
        <v>3.7100143490624543E-2</v>
      </c>
    </row>
    <row r="556" spans="1:11" x14ac:dyDescent="0.25">
      <c r="A556" t="s">
        <v>10</v>
      </c>
      <c r="B556" t="s">
        <v>585</v>
      </c>
      <c r="C556" t="s">
        <v>82</v>
      </c>
      <c r="D556" t="s">
        <v>1266</v>
      </c>
      <c r="E556" t="s">
        <v>83</v>
      </c>
      <c r="F556">
        <v>53135</v>
      </c>
      <c r="G556">
        <v>1271</v>
      </c>
      <c r="H556">
        <v>90</v>
      </c>
      <c r="I556">
        <v>0.43448553495373599</v>
      </c>
      <c r="J556">
        <f t="shared" si="16"/>
        <v>7.0810385523210076E-2</v>
      </c>
      <c r="K556">
        <f t="shared" si="17"/>
        <v>3.076608823433221E-2</v>
      </c>
    </row>
    <row r="557" spans="1:11" x14ac:dyDescent="0.25">
      <c r="A557" t="s">
        <v>10</v>
      </c>
      <c r="B557" t="s">
        <v>586</v>
      </c>
      <c r="C557" t="s">
        <v>82</v>
      </c>
      <c r="D557" t="s">
        <v>1266</v>
      </c>
      <c r="E557" t="s">
        <v>83</v>
      </c>
      <c r="F557">
        <v>53139</v>
      </c>
      <c r="G557">
        <v>1473</v>
      </c>
      <c r="H557">
        <v>0</v>
      </c>
      <c r="I557">
        <v>0.17426282198913146</v>
      </c>
      <c r="J557">
        <f t="shared" si="16"/>
        <v>0</v>
      </c>
      <c r="K557">
        <f t="shared" si="17"/>
        <v>0</v>
      </c>
    </row>
    <row r="558" spans="1:11" x14ac:dyDescent="0.25">
      <c r="A558" t="s">
        <v>10</v>
      </c>
      <c r="B558" t="s">
        <v>587</v>
      </c>
      <c r="C558" t="s">
        <v>234</v>
      </c>
      <c r="D558" t="s">
        <v>1278</v>
      </c>
      <c r="E558" t="s">
        <v>88</v>
      </c>
      <c r="F558">
        <v>73232</v>
      </c>
      <c r="G558">
        <v>2149</v>
      </c>
      <c r="H558">
        <v>0</v>
      </c>
      <c r="I558">
        <v>0.17426282198913146</v>
      </c>
      <c r="J558">
        <f t="shared" si="16"/>
        <v>0</v>
      </c>
      <c r="K558">
        <f t="shared" si="17"/>
        <v>0</v>
      </c>
    </row>
    <row r="559" spans="1:11" x14ac:dyDescent="0.25">
      <c r="A559" t="s">
        <v>10</v>
      </c>
      <c r="B559" t="s">
        <v>588</v>
      </c>
      <c r="C559" t="s">
        <v>82</v>
      </c>
      <c r="D559" t="s">
        <v>1266</v>
      </c>
      <c r="E559" t="s">
        <v>83</v>
      </c>
      <c r="F559">
        <v>53143</v>
      </c>
      <c r="G559">
        <v>2951</v>
      </c>
      <c r="H559">
        <v>315</v>
      </c>
      <c r="I559">
        <v>3.2457937830033035E-2</v>
      </c>
      <c r="J559">
        <f t="shared" si="16"/>
        <v>0.10674347678752966</v>
      </c>
      <c r="K559">
        <f t="shared" si="17"/>
        <v>3.4646731333312121E-3</v>
      </c>
    </row>
    <row r="560" spans="1:11" x14ac:dyDescent="0.25">
      <c r="A560" t="s">
        <v>10</v>
      </c>
      <c r="B560" t="s">
        <v>589</v>
      </c>
      <c r="C560" t="s">
        <v>82</v>
      </c>
      <c r="D560" t="s">
        <v>1266</v>
      </c>
      <c r="E560" t="s">
        <v>83</v>
      </c>
      <c r="F560">
        <v>53147</v>
      </c>
      <c r="G560">
        <v>2453</v>
      </c>
      <c r="H560">
        <v>0</v>
      </c>
      <c r="I560">
        <v>0.69232118156387745</v>
      </c>
      <c r="J560">
        <f t="shared" si="16"/>
        <v>0</v>
      </c>
      <c r="K560">
        <f t="shared" si="17"/>
        <v>0</v>
      </c>
    </row>
    <row r="561" spans="1:11" x14ac:dyDescent="0.25">
      <c r="A561" t="s">
        <v>10</v>
      </c>
      <c r="B561" t="s">
        <v>590</v>
      </c>
      <c r="C561" t="s">
        <v>82</v>
      </c>
      <c r="D561" t="s">
        <v>1266</v>
      </c>
      <c r="E561" t="s">
        <v>83</v>
      </c>
      <c r="F561">
        <v>53151</v>
      </c>
      <c r="G561">
        <v>812</v>
      </c>
      <c r="H561">
        <v>0</v>
      </c>
      <c r="I561">
        <v>0.69294154442934164</v>
      </c>
      <c r="J561">
        <f t="shared" si="16"/>
        <v>0</v>
      </c>
      <c r="K561">
        <f t="shared" si="17"/>
        <v>0</v>
      </c>
    </row>
    <row r="562" spans="1:11" x14ac:dyDescent="0.25">
      <c r="A562" t="s">
        <v>10</v>
      </c>
      <c r="B562" t="s">
        <v>591</v>
      </c>
      <c r="C562" t="s">
        <v>82</v>
      </c>
      <c r="D562" t="s">
        <v>1266</v>
      </c>
      <c r="E562" t="s">
        <v>83</v>
      </c>
      <c r="F562">
        <v>53155</v>
      </c>
      <c r="G562">
        <v>2348</v>
      </c>
      <c r="H562">
        <v>0</v>
      </c>
      <c r="I562">
        <v>5.0606380965409148E-2</v>
      </c>
      <c r="J562">
        <f t="shared" si="16"/>
        <v>0</v>
      </c>
      <c r="K562">
        <f t="shared" si="17"/>
        <v>0</v>
      </c>
    </row>
    <row r="563" spans="1:11" x14ac:dyDescent="0.25">
      <c r="A563" t="s">
        <v>10</v>
      </c>
      <c r="B563" t="s">
        <v>592</v>
      </c>
      <c r="C563" t="s">
        <v>82</v>
      </c>
      <c r="D563" t="s">
        <v>1266</v>
      </c>
      <c r="E563" t="s">
        <v>83</v>
      </c>
      <c r="F563">
        <v>53167</v>
      </c>
      <c r="G563">
        <v>2816</v>
      </c>
      <c r="H563">
        <v>113</v>
      </c>
      <c r="I563">
        <v>9.1367221540683774E-2</v>
      </c>
      <c r="J563">
        <f t="shared" si="16"/>
        <v>4.0127840909090912E-2</v>
      </c>
      <c r="K563">
        <f t="shared" si="17"/>
        <v>3.6663693302902227E-3</v>
      </c>
    </row>
    <row r="564" spans="1:11" x14ac:dyDescent="0.25">
      <c r="A564" t="s">
        <v>10</v>
      </c>
      <c r="B564" t="s">
        <v>593</v>
      </c>
      <c r="C564" t="s">
        <v>82</v>
      </c>
      <c r="D564" t="s">
        <v>1266</v>
      </c>
      <c r="E564" t="s">
        <v>83</v>
      </c>
      <c r="F564">
        <v>53171</v>
      </c>
      <c r="G564">
        <v>163</v>
      </c>
      <c r="H564">
        <v>0</v>
      </c>
      <c r="I564">
        <v>4.3236168947055398E-2</v>
      </c>
      <c r="J564">
        <f t="shared" si="16"/>
        <v>0</v>
      </c>
      <c r="K564">
        <f t="shared" si="17"/>
        <v>0</v>
      </c>
    </row>
    <row r="565" spans="1:11" x14ac:dyDescent="0.25">
      <c r="A565" t="s">
        <v>10</v>
      </c>
      <c r="B565" t="s">
        <v>594</v>
      </c>
      <c r="C565" t="s">
        <v>82</v>
      </c>
      <c r="D565" t="s">
        <v>1266</v>
      </c>
      <c r="E565" t="s">
        <v>83</v>
      </c>
      <c r="F565">
        <v>53179</v>
      </c>
      <c r="G565">
        <v>1571</v>
      </c>
      <c r="H565">
        <v>0</v>
      </c>
      <c r="I565">
        <v>5.0203210713759105E-2</v>
      </c>
      <c r="J565">
        <f t="shared" si="16"/>
        <v>0</v>
      </c>
      <c r="K565">
        <f t="shared" si="17"/>
        <v>0</v>
      </c>
    </row>
    <row r="566" spans="1:11" x14ac:dyDescent="0.25">
      <c r="A566" t="s">
        <v>10</v>
      </c>
      <c r="B566" t="s">
        <v>595</v>
      </c>
      <c r="C566" t="s">
        <v>82</v>
      </c>
      <c r="D566" t="s">
        <v>1266</v>
      </c>
      <c r="E566" t="s">
        <v>83</v>
      </c>
      <c r="F566">
        <v>53211</v>
      </c>
      <c r="G566">
        <v>4710</v>
      </c>
      <c r="H566">
        <v>0</v>
      </c>
      <c r="I566">
        <v>0.33947043382680153</v>
      </c>
      <c r="J566">
        <f t="shared" si="16"/>
        <v>0</v>
      </c>
      <c r="K566">
        <f t="shared" si="17"/>
        <v>0</v>
      </c>
    </row>
    <row r="567" spans="1:11" x14ac:dyDescent="0.25">
      <c r="A567" t="s">
        <v>10</v>
      </c>
      <c r="B567" t="s">
        <v>596</v>
      </c>
      <c r="C567" t="s">
        <v>82</v>
      </c>
      <c r="D567" t="s">
        <v>1266</v>
      </c>
      <c r="E567" t="s">
        <v>83</v>
      </c>
      <c r="F567">
        <v>53214</v>
      </c>
      <c r="G567">
        <v>8887</v>
      </c>
      <c r="H567">
        <v>901</v>
      </c>
      <c r="I567">
        <v>0.44755527819204988</v>
      </c>
      <c r="J567">
        <f t="shared" si="16"/>
        <v>0.10138404410937324</v>
      </c>
      <c r="K567">
        <f t="shared" si="17"/>
        <v>4.5374964065605594E-2</v>
      </c>
    </row>
    <row r="568" spans="1:11" x14ac:dyDescent="0.25">
      <c r="A568" t="s">
        <v>10</v>
      </c>
      <c r="B568" t="s">
        <v>597</v>
      </c>
      <c r="C568" t="s">
        <v>82</v>
      </c>
      <c r="D568" t="s">
        <v>1266</v>
      </c>
      <c r="E568" t="s">
        <v>83</v>
      </c>
      <c r="F568">
        <v>53217</v>
      </c>
      <c r="G568">
        <v>8137</v>
      </c>
      <c r="H568">
        <v>0</v>
      </c>
      <c r="I568">
        <v>0.6660246401588541</v>
      </c>
      <c r="J568">
        <f t="shared" si="16"/>
        <v>0</v>
      </c>
      <c r="K568">
        <f t="shared" si="17"/>
        <v>0</v>
      </c>
    </row>
    <row r="569" spans="1:11" x14ac:dyDescent="0.25">
      <c r="A569" t="s">
        <v>10</v>
      </c>
      <c r="B569" t="s">
        <v>598</v>
      </c>
      <c r="C569" t="s">
        <v>82</v>
      </c>
      <c r="D569" t="s">
        <v>1266</v>
      </c>
      <c r="E569" t="s">
        <v>83</v>
      </c>
      <c r="F569">
        <v>53224</v>
      </c>
      <c r="G569">
        <v>2715</v>
      </c>
      <c r="H569">
        <v>113</v>
      </c>
      <c r="I569">
        <v>0.11094678040278683</v>
      </c>
      <c r="J569">
        <f t="shared" si="16"/>
        <v>4.1620626151012891E-2</v>
      </c>
      <c r="K569">
        <f t="shared" si="17"/>
        <v>4.617674469802914E-3</v>
      </c>
    </row>
    <row r="570" spans="1:11" x14ac:dyDescent="0.25">
      <c r="A570" t="s">
        <v>10</v>
      </c>
      <c r="B570" t="s">
        <v>599</v>
      </c>
      <c r="C570" t="s">
        <v>82</v>
      </c>
      <c r="D570" t="s">
        <v>1266</v>
      </c>
      <c r="E570" t="s">
        <v>83</v>
      </c>
      <c r="F570">
        <v>53231</v>
      </c>
      <c r="G570">
        <v>47604</v>
      </c>
      <c r="H570">
        <v>450</v>
      </c>
      <c r="I570">
        <v>2.1616790533473873E-2</v>
      </c>
      <c r="J570">
        <f t="shared" si="16"/>
        <v>9.4529871439374847E-3</v>
      </c>
      <c r="K570">
        <f t="shared" si="17"/>
        <v>2.0434324300611805E-4</v>
      </c>
    </row>
    <row r="571" spans="1:11" x14ac:dyDescent="0.25">
      <c r="A571" t="s">
        <v>10</v>
      </c>
      <c r="B571" t="s">
        <v>600</v>
      </c>
      <c r="C571" t="s">
        <v>82</v>
      </c>
      <c r="D571" t="s">
        <v>1266</v>
      </c>
      <c r="E571" t="s">
        <v>83</v>
      </c>
      <c r="F571">
        <v>53234</v>
      </c>
      <c r="G571">
        <v>10128</v>
      </c>
      <c r="H571">
        <v>0</v>
      </c>
      <c r="I571">
        <v>8.4552235547513566E-2</v>
      </c>
      <c r="J571">
        <f t="shared" si="16"/>
        <v>0</v>
      </c>
      <c r="K571">
        <f t="shared" si="17"/>
        <v>0</v>
      </c>
    </row>
    <row r="572" spans="1:11" x14ac:dyDescent="0.25">
      <c r="A572" t="s">
        <v>10</v>
      </c>
      <c r="B572" t="s">
        <v>601</v>
      </c>
      <c r="C572" t="s">
        <v>82</v>
      </c>
      <c r="D572" t="s">
        <v>1266</v>
      </c>
      <c r="E572" t="s">
        <v>83</v>
      </c>
      <c r="F572">
        <v>53237</v>
      </c>
      <c r="G572">
        <v>1012</v>
      </c>
      <c r="H572">
        <v>0</v>
      </c>
      <c r="I572">
        <v>4.7394604087202641E-2</v>
      </c>
      <c r="J572">
        <f t="shared" si="16"/>
        <v>0</v>
      </c>
      <c r="K572">
        <f t="shared" si="17"/>
        <v>0</v>
      </c>
    </row>
    <row r="573" spans="1:11" x14ac:dyDescent="0.25">
      <c r="A573" t="s">
        <v>10</v>
      </c>
      <c r="B573" t="s">
        <v>602</v>
      </c>
      <c r="C573" t="s">
        <v>82</v>
      </c>
      <c r="D573" t="s">
        <v>1266</v>
      </c>
      <c r="E573" t="s">
        <v>83</v>
      </c>
      <c r="F573">
        <v>53241</v>
      </c>
      <c r="G573">
        <v>15859</v>
      </c>
      <c r="H573">
        <v>158</v>
      </c>
      <c r="I573">
        <v>0.24956808559423183</v>
      </c>
      <c r="J573">
        <f t="shared" si="16"/>
        <v>9.9627971498833477E-3</v>
      </c>
      <c r="K573">
        <f t="shared" si="17"/>
        <v>2.4863962118600561E-3</v>
      </c>
    </row>
    <row r="574" spans="1:11" x14ac:dyDescent="0.25">
      <c r="A574" t="s">
        <v>10</v>
      </c>
      <c r="B574" t="s">
        <v>603</v>
      </c>
      <c r="C574" t="s">
        <v>82</v>
      </c>
      <c r="D574" t="s">
        <v>1266</v>
      </c>
      <c r="E574" t="s">
        <v>83</v>
      </c>
      <c r="F574">
        <v>53247</v>
      </c>
      <c r="G574">
        <v>739</v>
      </c>
      <c r="H574">
        <v>68</v>
      </c>
      <c r="I574">
        <v>3.7949618709633204E-2</v>
      </c>
      <c r="J574">
        <f t="shared" si="16"/>
        <v>9.2016238159675232E-2</v>
      </c>
      <c r="K574">
        <f t="shared" si="17"/>
        <v>3.4919811532544759E-3</v>
      </c>
    </row>
    <row r="575" spans="1:11" x14ac:dyDescent="0.25">
      <c r="A575" t="s">
        <v>10</v>
      </c>
      <c r="B575" t="s">
        <v>604</v>
      </c>
      <c r="C575" t="s">
        <v>82</v>
      </c>
      <c r="D575" t="s">
        <v>1266</v>
      </c>
      <c r="E575" t="s">
        <v>83</v>
      </c>
      <c r="F575">
        <v>53251</v>
      </c>
      <c r="G575">
        <v>749</v>
      </c>
      <c r="H575">
        <v>0</v>
      </c>
      <c r="I575">
        <v>4.2989977055911233E-2</v>
      </c>
      <c r="J575">
        <f t="shared" si="16"/>
        <v>0</v>
      </c>
      <c r="K575">
        <f t="shared" si="17"/>
        <v>0</v>
      </c>
    </row>
    <row r="576" spans="1:11" x14ac:dyDescent="0.25">
      <c r="A576" t="s">
        <v>10</v>
      </c>
      <c r="B576" t="s">
        <v>605</v>
      </c>
      <c r="C576" t="s">
        <v>82</v>
      </c>
      <c r="D576" t="s">
        <v>1266</v>
      </c>
      <c r="E576" t="s">
        <v>83</v>
      </c>
      <c r="F576">
        <v>53261</v>
      </c>
      <c r="G576">
        <v>235</v>
      </c>
      <c r="H576">
        <v>68</v>
      </c>
      <c r="I576">
        <v>3.7708512804448313E-2</v>
      </c>
      <c r="J576">
        <f t="shared" si="16"/>
        <v>0.28936170212765955</v>
      </c>
      <c r="K576">
        <f t="shared" si="17"/>
        <v>1.0911399449797809E-2</v>
      </c>
    </row>
    <row r="577" spans="1:11" x14ac:dyDescent="0.25">
      <c r="A577" t="s">
        <v>10</v>
      </c>
      <c r="B577" t="s">
        <v>606</v>
      </c>
      <c r="C577" t="s">
        <v>82</v>
      </c>
      <c r="D577" t="s">
        <v>1266</v>
      </c>
      <c r="E577" t="s">
        <v>83</v>
      </c>
      <c r="F577">
        <v>53264</v>
      </c>
      <c r="G577">
        <v>1510</v>
      </c>
      <c r="H577">
        <v>0</v>
      </c>
      <c r="I577">
        <v>5.2915077504611441E-2</v>
      </c>
      <c r="J577">
        <f t="shared" si="16"/>
        <v>0</v>
      </c>
      <c r="K577">
        <f t="shared" si="17"/>
        <v>0</v>
      </c>
    </row>
    <row r="578" spans="1:11" x14ac:dyDescent="0.25">
      <c r="A578" t="s">
        <v>10</v>
      </c>
      <c r="B578" t="s">
        <v>607</v>
      </c>
      <c r="C578" t="s">
        <v>82</v>
      </c>
      <c r="D578" t="s">
        <v>1266</v>
      </c>
      <c r="E578" t="s">
        <v>83</v>
      </c>
      <c r="F578">
        <v>53271</v>
      </c>
      <c r="G578">
        <v>2032</v>
      </c>
      <c r="H578">
        <v>46</v>
      </c>
      <c r="I578">
        <v>0.28440668099264321</v>
      </c>
      <c r="J578">
        <f t="shared" si="16"/>
        <v>2.2637795275590553E-2</v>
      </c>
      <c r="K578">
        <f t="shared" si="17"/>
        <v>6.4383402193216475E-3</v>
      </c>
    </row>
    <row r="579" spans="1:11" x14ac:dyDescent="0.25">
      <c r="A579" t="s">
        <v>10</v>
      </c>
      <c r="B579" t="s">
        <v>608</v>
      </c>
      <c r="C579" t="s">
        <v>82</v>
      </c>
      <c r="D579" t="s">
        <v>1266</v>
      </c>
      <c r="E579" t="s">
        <v>83</v>
      </c>
      <c r="F579">
        <v>53274</v>
      </c>
      <c r="G579">
        <v>6327</v>
      </c>
      <c r="H579">
        <v>22</v>
      </c>
      <c r="I579">
        <v>0.41503403585913956</v>
      </c>
      <c r="J579">
        <f t="shared" ref="J579:J642" si="18">IF(G579=0,0,H579/G579)</f>
        <v>3.4771613718982139E-3</v>
      </c>
      <c r="K579">
        <f t="shared" ref="K579:K642" si="19">J579*I579</f>
        <v>1.4431403175124181E-3</v>
      </c>
    </row>
    <row r="580" spans="1:11" x14ac:dyDescent="0.25">
      <c r="A580" t="s">
        <v>10</v>
      </c>
      <c r="B580" t="s">
        <v>609</v>
      </c>
      <c r="C580" t="s">
        <v>82</v>
      </c>
      <c r="D580" t="s">
        <v>1266</v>
      </c>
      <c r="E580" t="s">
        <v>83</v>
      </c>
      <c r="F580">
        <v>53277</v>
      </c>
      <c r="G580">
        <v>461</v>
      </c>
      <c r="H580">
        <v>225</v>
      </c>
      <c r="I580">
        <v>1.1798994443906308E-2</v>
      </c>
      <c r="J580">
        <f t="shared" si="18"/>
        <v>0.48806941431670281</v>
      </c>
      <c r="K580">
        <f t="shared" si="19"/>
        <v>5.7587283077633819E-3</v>
      </c>
    </row>
    <row r="581" spans="1:11" x14ac:dyDescent="0.25">
      <c r="A581" t="s">
        <v>10</v>
      </c>
      <c r="B581" t="s">
        <v>610</v>
      </c>
      <c r="C581" t="s">
        <v>82</v>
      </c>
      <c r="D581" t="s">
        <v>1266</v>
      </c>
      <c r="E581" t="s">
        <v>83</v>
      </c>
      <c r="F581">
        <v>53281</v>
      </c>
      <c r="G581">
        <v>464</v>
      </c>
      <c r="H581">
        <v>68</v>
      </c>
      <c r="I581">
        <v>5.5112815192269182E-2</v>
      </c>
      <c r="J581">
        <f t="shared" si="18"/>
        <v>0.14655172413793102</v>
      </c>
      <c r="K581">
        <f t="shared" si="19"/>
        <v>8.0768780885222078E-3</v>
      </c>
    </row>
    <row r="582" spans="1:11" x14ac:dyDescent="0.25">
      <c r="A582" t="s">
        <v>10</v>
      </c>
      <c r="B582" t="s">
        <v>611</v>
      </c>
      <c r="C582" t="s">
        <v>82</v>
      </c>
      <c r="D582" t="s">
        <v>1266</v>
      </c>
      <c r="E582" t="s">
        <v>83</v>
      </c>
      <c r="F582">
        <v>53284</v>
      </c>
      <c r="G582">
        <v>7708</v>
      </c>
      <c r="H582">
        <v>0</v>
      </c>
      <c r="I582">
        <v>6.2829446480836437E-2</v>
      </c>
      <c r="J582">
        <f t="shared" si="18"/>
        <v>0</v>
      </c>
      <c r="K582">
        <f t="shared" si="19"/>
        <v>0</v>
      </c>
    </row>
    <row r="583" spans="1:11" x14ac:dyDescent="0.25">
      <c r="A583" t="s">
        <v>10</v>
      </c>
      <c r="B583" t="s">
        <v>612</v>
      </c>
      <c r="C583" t="s">
        <v>82</v>
      </c>
      <c r="D583" t="s">
        <v>1266</v>
      </c>
      <c r="E583" t="s">
        <v>83</v>
      </c>
      <c r="F583">
        <v>53311</v>
      </c>
      <c r="G583">
        <v>6962</v>
      </c>
      <c r="H583">
        <v>1248</v>
      </c>
      <c r="I583">
        <v>0.12812027560289496</v>
      </c>
      <c r="J583">
        <f t="shared" si="18"/>
        <v>0.17925883366848608</v>
      </c>
      <c r="K583">
        <f t="shared" si="19"/>
        <v>2.2966691173859941E-2</v>
      </c>
    </row>
    <row r="584" spans="1:11" x14ac:dyDescent="0.25">
      <c r="A584" t="s">
        <v>10</v>
      </c>
      <c r="B584" t="s">
        <v>613</v>
      </c>
      <c r="C584" t="s">
        <v>82</v>
      </c>
      <c r="D584" t="s">
        <v>1266</v>
      </c>
      <c r="E584" t="s">
        <v>83</v>
      </c>
      <c r="F584">
        <v>53333</v>
      </c>
      <c r="G584">
        <v>844</v>
      </c>
      <c r="H584">
        <v>0</v>
      </c>
      <c r="I584">
        <v>0.10216368023416822</v>
      </c>
      <c r="J584">
        <f t="shared" si="18"/>
        <v>0</v>
      </c>
      <c r="K584">
        <f t="shared" si="19"/>
        <v>0</v>
      </c>
    </row>
    <row r="585" spans="1:11" x14ac:dyDescent="0.25">
      <c r="A585" t="s">
        <v>10</v>
      </c>
      <c r="B585" t="s">
        <v>614</v>
      </c>
      <c r="C585" t="s">
        <v>82</v>
      </c>
      <c r="D585" t="s">
        <v>1266</v>
      </c>
      <c r="E585" t="s">
        <v>83</v>
      </c>
      <c r="F585">
        <v>53344</v>
      </c>
      <c r="G585">
        <v>898</v>
      </c>
      <c r="H585">
        <v>0</v>
      </c>
      <c r="I585">
        <v>0.11251838055092644</v>
      </c>
      <c r="J585">
        <f t="shared" si="18"/>
        <v>0</v>
      </c>
      <c r="K585">
        <f t="shared" si="19"/>
        <v>0</v>
      </c>
    </row>
    <row r="586" spans="1:11" x14ac:dyDescent="0.25">
      <c r="A586" t="s">
        <v>10</v>
      </c>
      <c r="B586" t="s">
        <v>615</v>
      </c>
      <c r="C586" t="s">
        <v>82</v>
      </c>
      <c r="D586" t="s">
        <v>1266</v>
      </c>
      <c r="E586" t="s">
        <v>83</v>
      </c>
      <c r="F586">
        <v>53355</v>
      </c>
      <c r="G586">
        <v>461</v>
      </c>
      <c r="H586">
        <v>45</v>
      </c>
      <c r="I586">
        <v>5.124368136725499E-2</v>
      </c>
      <c r="J586">
        <f t="shared" si="18"/>
        <v>9.7613882863340565E-2</v>
      </c>
      <c r="K586">
        <f t="shared" si="19"/>
        <v>5.0020947104695759E-3</v>
      </c>
    </row>
    <row r="587" spans="1:11" x14ac:dyDescent="0.25">
      <c r="A587" t="s">
        <v>10</v>
      </c>
      <c r="B587" t="s">
        <v>616</v>
      </c>
      <c r="C587" t="s">
        <v>82</v>
      </c>
      <c r="D587" t="s">
        <v>1266</v>
      </c>
      <c r="E587" t="s">
        <v>83</v>
      </c>
      <c r="F587">
        <v>53366</v>
      </c>
      <c r="G587">
        <v>116</v>
      </c>
      <c r="H587">
        <v>0</v>
      </c>
      <c r="I587">
        <v>4.4343138802219406E-2</v>
      </c>
      <c r="J587">
        <f t="shared" si="18"/>
        <v>0</v>
      </c>
      <c r="K587">
        <f t="shared" si="19"/>
        <v>0</v>
      </c>
    </row>
    <row r="588" spans="1:11" x14ac:dyDescent="0.25">
      <c r="A588" t="s">
        <v>10</v>
      </c>
      <c r="B588" t="s">
        <v>617</v>
      </c>
      <c r="C588" t="s">
        <v>82</v>
      </c>
      <c r="D588" t="s">
        <v>1266</v>
      </c>
      <c r="E588" t="s">
        <v>83</v>
      </c>
      <c r="F588">
        <v>53375</v>
      </c>
      <c r="G588">
        <v>993</v>
      </c>
      <c r="H588">
        <v>0</v>
      </c>
      <c r="I588">
        <v>0.14492793913573288</v>
      </c>
      <c r="J588">
        <f t="shared" si="18"/>
        <v>0</v>
      </c>
      <c r="K588">
        <f t="shared" si="19"/>
        <v>0</v>
      </c>
    </row>
    <row r="589" spans="1:11" x14ac:dyDescent="0.25">
      <c r="A589" t="s">
        <v>10</v>
      </c>
      <c r="B589" t="s">
        <v>618</v>
      </c>
      <c r="C589" t="s">
        <v>619</v>
      </c>
      <c r="D589" t="s">
        <v>1514</v>
      </c>
      <c r="E589" t="s">
        <v>88</v>
      </c>
      <c r="F589">
        <v>72119</v>
      </c>
      <c r="G589">
        <v>3356</v>
      </c>
      <c r="H589">
        <v>0</v>
      </c>
      <c r="I589">
        <v>5.5626457186556344E-2</v>
      </c>
      <c r="J589">
        <f t="shared" si="18"/>
        <v>0</v>
      </c>
      <c r="K589">
        <f t="shared" si="19"/>
        <v>0</v>
      </c>
    </row>
    <row r="590" spans="1:11" x14ac:dyDescent="0.25">
      <c r="A590" t="s">
        <v>10</v>
      </c>
      <c r="B590" t="s">
        <v>620</v>
      </c>
      <c r="C590" t="s">
        <v>82</v>
      </c>
      <c r="D590" t="s">
        <v>1266</v>
      </c>
      <c r="E590" t="s">
        <v>83</v>
      </c>
      <c r="F590">
        <v>53377</v>
      </c>
      <c r="G590">
        <v>1100</v>
      </c>
      <c r="H590">
        <v>0</v>
      </c>
      <c r="I590">
        <v>0.12873504867039443</v>
      </c>
      <c r="J590">
        <f t="shared" si="18"/>
        <v>0</v>
      </c>
      <c r="K590">
        <f t="shared" si="19"/>
        <v>0</v>
      </c>
    </row>
    <row r="591" spans="1:11" x14ac:dyDescent="0.25">
      <c r="A591" t="s">
        <v>10</v>
      </c>
      <c r="B591" t="s">
        <v>621</v>
      </c>
      <c r="C591" t="s">
        <v>82</v>
      </c>
      <c r="D591" t="s">
        <v>1266</v>
      </c>
      <c r="E591" t="s">
        <v>83</v>
      </c>
      <c r="F591">
        <v>53388</v>
      </c>
      <c r="G591">
        <v>1692</v>
      </c>
      <c r="H591">
        <v>0</v>
      </c>
      <c r="I591">
        <v>0.116545445791706</v>
      </c>
      <c r="J591">
        <f t="shared" si="18"/>
        <v>0</v>
      </c>
      <c r="K591">
        <f t="shared" si="19"/>
        <v>0</v>
      </c>
    </row>
    <row r="592" spans="1:11" x14ac:dyDescent="0.25">
      <c r="A592" t="s">
        <v>10</v>
      </c>
      <c r="B592" t="s">
        <v>622</v>
      </c>
      <c r="C592" t="s">
        <v>82</v>
      </c>
      <c r="D592" t="s">
        <v>1266</v>
      </c>
      <c r="E592" t="s">
        <v>83</v>
      </c>
      <c r="F592">
        <v>53411</v>
      </c>
      <c r="G592">
        <v>7979</v>
      </c>
      <c r="H592">
        <v>180</v>
      </c>
      <c r="I592">
        <v>0.23804661259788806</v>
      </c>
      <c r="J592">
        <f t="shared" si="18"/>
        <v>2.2559217947111167E-2</v>
      </c>
      <c r="K592">
        <f t="shared" si="19"/>
        <v>5.3701454151672953E-3</v>
      </c>
    </row>
    <row r="593" spans="1:11" x14ac:dyDescent="0.25">
      <c r="A593" t="s">
        <v>10</v>
      </c>
      <c r="B593" t="s">
        <v>623</v>
      </c>
      <c r="C593" t="s">
        <v>82</v>
      </c>
      <c r="D593" t="s">
        <v>1266</v>
      </c>
      <c r="E593" t="s">
        <v>83</v>
      </c>
      <c r="F593">
        <v>53413</v>
      </c>
      <c r="G593">
        <v>4369</v>
      </c>
      <c r="H593">
        <v>0</v>
      </c>
      <c r="I593">
        <v>4.2737279790566518E-2</v>
      </c>
      <c r="J593">
        <f t="shared" si="18"/>
        <v>0</v>
      </c>
      <c r="K593">
        <f t="shared" si="19"/>
        <v>0</v>
      </c>
    </row>
    <row r="594" spans="1:11" x14ac:dyDescent="0.25">
      <c r="A594" t="s">
        <v>10</v>
      </c>
      <c r="B594" t="s">
        <v>624</v>
      </c>
      <c r="C594" t="s">
        <v>82</v>
      </c>
      <c r="D594" t="s">
        <v>1266</v>
      </c>
      <c r="E594" t="s">
        <v>83</v>
      </c>
      <c r="F594">
        <v>53415</v>
      </c>
      <c r="G594">
        <v>4410</v>
      </c>
      <c r="H594">
        <v>50</v>
      </c>
      <c r="I594">
        <v>5.6844509116696473E-2</v>
      </c>
      <c r="J594">
        <f t="shared" si="18"/>
        <v>1.1337868480725623E-2</v>
      </c>
      <c r="K594">
        <f t="shared" si="19"/>
        <v>6.4449556821651326E-4</v>
      </c>
    </row>
    <row r="595" spans="1:11" x14ac:dyDescent="0.25">
      <c r="A595" t="s">
        <v>10</v>
      </c>
      <c r="B595" t="s">
        <v>625</v>
      </c>
      <c r="C595" t="s">
        <v>82</v>
      </c>
      <c r="D595" t="s">
        <v>1266</v>
      </c>
      <c r="E595" t="s">
        <v>83</v>
      </c>
      <c r="F595">
        <v>53417</v>
      </c>
      <c r="G595">
        <v>2645</v>
      </c>
      <c r="H595">
        <v>1433</v>
      </c>
      <c r="I595">
        <v>0.31601937716262984</v>
      </c>
      <c r="J595">
        <f t="shared" si="18"/>
        <v>0.54177693761814749</v>
      </c>
      <c r="K595">
        <f t="shared" si="19"/>
        <v>0.17121201038716394</v>
      </c>
    </row>
    <row r="596" spans="1:11" x14ac:dyDescent="0.25">
      <c r="A596" t="s">
        <v>10</v>
      </c>
      <c r="B596" t="s">
        <v>626</v>
      </c>
      <c r="C596" t="s">
        <v>82</v>
      </c>
      <c r="D596" t="s">
        <v>1266</v>
      </c>
      <c r="E596" t="s">
        <v>83</v>
      </c>
      <c r="F596">
        <v>53419</v>
      </c>
      <c r="G596">
        <v>6941</v>
      </c>
      <c r="H596">
        <v>0</v>
      </c>
      <c r="I596">
        <v>0.19737284515545572</v>
      </c>
      <c r="J596">
        <f t="shared" si="18"/>
        <v>0</v>
      </c>
      <c r="K596">
        <f t="shared" si="19"/>
        <v>0</v>
      </c>
    </row>
    <row r="597" spans="1:11" x14ac:dyDescent="0.25">
      <c r="A597" t="s">
        <v>10</v>
      </c>
      <c r="B597" t="s">
        <v>627</v>
      </c>
      <c r="C597" t="s">
        <v>82</v>
      </c>
      <c r="D597" t="s">
        <v>1266</v>
      </c>
      <c r="E597" t="s">
        <v>83</v>
      </c>
      <c r="F597">
        <v>53425</v>
      </c>
      <c r="G597">
        <v>9845</v>
      </c>
      <c r="H597">
        <v>74</v>
      </c>
      <c r="I597">
        <v>5.0326895322179155E-2</v>
      </c>
      <c r="J597">
        <f t="shared" si="18"/>
        <v>7.5165058405281867E-3</v>
      </c>
      <c r="K597">
        <f t="shared" si="19"/>
        <v>3.782824026248103E-4</v>
      </c>
    </row>
    <row r="598" spans="1:11" x14ac:dyDescent="0.25">
      <c r="A598" t="s">
        <v>10</v>
      </c>
      <c r="B598" t="s">
        <v>628</v>
      </c>
      <c r="C598" t="s">
        <v>82</v>
      </c>
      <c r="D598" t="s">
        <v>1266</v>
      </c>
      <c r="E598" t="s">
        <v>83</v>
      </c>
      <c r="F598">
        <v>53427</v>
      </c>
      <c r="G598">
        <v>601</v>
      </c>
      <c r="H598">
        <v>0</v>
      </c>
      <c r="I598">
        <v>4.2577912707782883E-2</v>
      </c>
      <c r="J598">
        <f t="shared" si="18"/>
        <v>0</v>
      </c>
      <c r="K598">
        <f t="shared" si="19"/>
        <v>0</v>
      </c>
    </row>
    <row r="599" spans="1:11" x14ac:dyDescent="0.25">
      <c r="A599" t="s">
        <v>10</v>
      </c>
      <c r="B599" t="s">
        <v>629</v>
      </c>
      <c r="C599" t="s">
        <v>82</v>
      </c>
      <c r="D599" t="s">
        <v>1266</v>
      </c>
      <c r="E599" t="s">
        <v>83</v>
      </c>
      <c r="F599">
        <v>53429</v>
      </c>
      <c r="G599">
        <v>10463</v>
      </c>
      <c r="H599">
        <v>517</v>
      </c>
      <c r="I599">
        <v>6.6053121324341602E-2</v>
      </c>
      <c r="J599">
        <f t="shared" si="18"/>
        <v>4.9412214470037276E-2</v>
      </c>
      <c r="K599">
        <f t="shared" si="19"/>
        <v>3.2638309972937598E-3</v>
      </c>
    </row>
    <row r="600" spans="1:11" x14ac:dyDescent="0.25">
      <c r="A600" t="s">
        <v>10</v>
      </c>
      <c r="B600" t="s">
        <v>630</v>
      </c>
      <c r="C600" t="s">
        <v>82</v>
      </c>
      <c r="D600" t="s">
        <v>1266</v>
      </c>
      <c r="E600" t="s">
        <v>83</v>
      </c>
      <c r="F600">
        <v>53431</v>
      </c>
      <c r="G600">
        <v>1277</v>
      </c>
      <c r="H600">
        <v>0</v>
      </c>
      <c r="I600">
        <v>0.25791386078140743</v>
      </c>
      <c r="J600">
        <f t="shared" si="18"/>
        <v>0</v>
      </c>
      <c r="K600">
        <f t="shared" si="19"/>
        <v>0</v>
      </c>
    </row>
    <row r="601" spans="1:11" x14ac:dyDescent="0.25">
      <c r="A601" t="s">
        <v>10</v>
      </c>
      <c r="B601" t="s">
        <v>631</v>
      </c>
      <c r="C601" t="s">
        <v>82</v>
      </c>
      <c r="D601" t="s">
        <v>1266</v>
      </c>
      <c r="E601" t="s">
        <v>83</v>
      </c>
      <c r="F601">
        <v>53433</v>
      </c>
      <c r="G601">
        <v>930</v>
      </c>
      <c r="H601">
        <v>0</v>
      </c>
      <c r="I601">
        <v>5.708283377011969E-2</v>
      </c>
      <c r="J601">
        <f t="shared" si="18"/>
        <v>0</v>
      </c>
      <c r="K601">
        <f t="shared" si="19"/>
        <v>0</v>
      </c>
    </row>
    <row r="602" spans="1:11" x14ac:dyDescent="0.25">
      <c r="A602" t="s">
        <v>10</v>
      </c>
      <c r="B602" t="s">
        <v>632</v>
      </c>
      <c r="C602" t="s">
        <v>82</v>
      </c>
      <c r="D602" t="s">
        <v>1266</v>
      </c>
      <c r="E602" t="s">
        <v>83</v>
      </c>
      <c r="F602">
        <v>53435</v>
      </c>
      <c r="G602">
        <v>4792</v>
      </c>
      <c r="H602">
        <v>0</v>
      </c>
      <c r="I602">
        <v>3.1068515818019504E-2</v>
      </c>
      <c r="J602">
        <f t="shared" si="18"/>
        <v>0</v>
      </c>
      <c r="K602">
        <f t="shared" si="19"/>
        <v>0</v>
      </c>
    </row>
    <row r="603" spans="1:11" x14ac:dyDescent="0.25">
      <c r="A603" t="s">
        <v>10</v>
      </c>
      <c r="B603" t="s">
        <v>633</v>
      </c>
      <c r="C603" t="s">
        <v>82</v>
      </c>
      <c r="D603" t="s">
        <v>1266</v>
      </c>
      <c r="E603" t="s">
        <v>83</v>
      </c>
      <c r="F603">
        <v>53437</v>
      </c>
      <c r="G603">
        <v>8784</v>
      </c>
      <c r="H603">
        <v>0</v>
      </c>
      <c r="I603">
        <v>0.56433066757841255</v>
      </c>
      <c r="J603">
        <f t="shared" si="18"/>
        <v>0</v>
      </c>
      <c r="K603">
        <f t="shared" si="19"/>
        <v>0</v>
      </c>
    </row>
    <row r="604" spans="1:11" x14ac:dyDescent="0.25">
      <c r="A604" t="s">
        <v>10</v>
      </c>
      <c r="B604" t="s">
        <v>634</v>
      </c>
      <c r="C604" t="s">
        <v>82</v>
      </c>
      <c r="D604" t="s">
        <v>1266</v>
      </c>
      <c r="E604" t="s">
        <v>83</v>
      </c>
      <c r="F604">
        <v>53439</v>
      </c>
      <c r="G604">
        <v>3233</v>
      </c>
      <c r="H604">
        <v>0</v>
      </c>
      <c r="I604">
        <v>0.44970768050295762</v>
      </c>
      <c r="J604">
        <f t="shared" si="18"/>
        <v>0</v>
      </c>
      <c r="K604">
        <f t="shared" si="19"/>
        <v>0</v>
      </c>
    </row>
    <row r="605" spans="1:11" x14ac:dyDescent="0.25">
      <c r="A605" t="s">
        <v>10</v>
      </c>
      <c r="B605" t="s">
        <v>635</v>
      </c>
      <c r="C605" t="s">
        <v>82</v>
      </c>
      <c r="D605" t="s">
        <v>1266</v>
      </c>
      <c r="E605" t="s">
        <v>83</v>
      </c>
      <c r="F605">
        <v>53441</v>
      </c>
      <c r="G605">
        <v>1525</v>
      </c>
      <c r="H605">
        <v>540</v>
      </c>
      <c r="I605">
        <v>4.5545315546578036E-2</v>
      </c>
      <c r="J605">
        <f t="shared" si="18"/>
        <v>0.35409836065573769</v>
      </c>
      <c r="K605">
        <f t="shared" si="19"/>
        <v>1.6127521570591566E-2</v>
      </c>
    </row>
    <row r="606" spans="1:11" x14ac:dyDescent="0.25">
      <c r="A606" t="s">
        <v>10</v>
      </c>
      <c r="B606" t="s">
        <v>636</v>
      </c>
      <c r="C606" t="s">
        <v>100</v>
      </c>
      <c r="D606" t="s">
        <v>1259</v>
      </c>
      <c r="E606" t="s">
        <v>96</v>
      </c>
      <c r="F606">
        <v>51277</v>
      </c>
      <c r="G606">
        <v>53</v>
      </c>
      <c r="H606">
        <v>0</v>
      </c>
      <c r="I606">
        <v>0.41848842184274737</v>
      </c>
      <c r="J606">
        <f t="shared" si="18"/>
        <v>0</v>
      </c>
      <c r="K606">
        <f t="shared" si="19"/>
        <v>0</v>
      </c>
    </row>
    <row r="607" spans="1:11" x14ac:dyDescent="0.25">
      <c r="A607" t="s">
        <v>10</v>
      </c>
      <c r="B607" t="s">
        <v>637</v>
      </c>
      <c r="C607" t="s">
        <v>82</v>
      </c>
      <c r="D607" t="s">
        <v>1266</v>
      </c>
      <c r="E607" t="s">
        <v>83</v>
      </c>
      <c r="F607">
        <v>53443</v>
      </c>
      <c r="G607">
        <v>4229</v>
      </c>
      <c r="H607">
        <v>0</v>
      </c>
      <c r="I607">
        <v>5.7568519143194496E-2</v>
      </c>
      <c r="J607">
        <f t="shared" si="18"/>
        <v>0</v>
      </c>
      <c r="K607">
        <f t="shared" si="19"/>
        <v>0</v>
      </c>
    </row>
    <row r="608" spans="1:11" x14ac:dyDescent="0.25">
      <c r="A608" t="s">
        <v>10</v>
      </c>
      <c r="B608" t="s">
        <v>638</v>
      </c>
      <c r="C608" t="s">
        <v>82</v>
      </c>
      <c r="D608" t="s">
        <v>1266</v>
      </c>
      <c r="E608" t="s">
        <v>83</v>
      </c>
      <c r="F608">
        <v>53445</v>
      </c>
      <c r="G608">
        <v>11035</v>
      </c>
      <c r="H608">
        <v>0</v>
      </c>
      <c r="I608">
        <v>4.2985637573272339E-2</v>
      </c>
      <c r="J608">
        <f t="shared" si="18"/>
        <v>0</v>
      </c>
      <c r="K608">
        <f t="shared" si="19"/>
        <v>0</v>
      </c>
    </row>
    <row r="609" spans="1:11" x14ac:dyDescent="0.25">
      <c r="A609" t="s">
        <v>10</v>
      </c>
      <c r="B609" t="s">
        <v>639</v>
      </c>
      <c r="C609" t="s">
        <v>82</v>
      </c>
      <c r="D609" t="s">
        <v>1266</v>
      </c>
      <c r="E609" t="s">
        <v>83</v>
      </c>
      <c r="F609">
        <v>53447</v>
      </c>
      <c r="G609">
        <v>383</v>
      </c>
      <c r="H609">
        <v>0</v>
      </c>
      <c r="I609">
        <v>2.1458219124441902E-2</v>
      </c>
      <c r="J609">
        <f t="shared" si="18"/>
        <v>0</v>
      </c>
      <c r="K609">
        <f t="shared" si="19"/>
        <v>0</v>
      </c>
    </row>
    <row r="610" spans="1:11" x14ac:dyDescent="0.25">
      <c r="A610" t="s">
        <v>10</v>
      </c>
      <c r="B610" t="s">
        <v>640</v>
      </c>
      <c r="C610" t="s">
        <v>82</v>
      </c>
      <c r="D610" t="s">
        <v>1266</v>
      </c>
      <c r="E610" t="s">
        <v>83</v>
      </c>
      <c r="F610">
        <v>53449</v>
      </c>
      <c r="G610">
        <v>249</v>
      </c>
      <c r="H610">
        <v>0</v>
      </c>
      <c r="I610">
        <v>8.6135588940790209E-2</v>
      </c>
      <c r="J610">
        <f t="shared" si="18"/>
        <v>0</v>
      </c>
      <c r="K610">
        <f t="shared" si="19"/>
        <v>0</v>
      </c>
    </row>
    <row r="611" spans="1:11" x14ac:dyDescent="0.25">
      <c r="A611" t="s">
        <v>10</v>
      </c>
      <c r="B611" t="s">
        <v>641</v>
      </c>
      <c r="C611" t="s">
        <v>82</v>
      </c>
      <c r="D611" t="s">
        <v>1266</v>
      </c>
      <c r="E611" t="s">
        <v>83</v>
      </c>
      <c r="F611">
        <v>53451</v>
      </c>
      <c r="G611">
        <v>3504</v>
      </c>
      <c r="H611">
        <v>27</v>
      </c>
      <c r="I611">
        <v>3.2040534698063561E-2</v>
      </c>
      <c r="J611">
        <f t="shared" si="18"/>
        <v>7.7054794520547941E-3</v>
      </c>
      <c r="K611">
        <f t="shared" si="19"/>
        <v>2.4688768174877744E-4</v>
      </c>
    </row>
    <row r="612" spans="1:11" x14ac:dyDescent="0.25">
      <c r="A612" t="s">
        <v>10</v>
      </c>
      <c r="B612" t="s">
        <v>642</v>
      </c>
      <c r="C612" t="s">
        <v>82</v>
      </c>
      <c r="D612" t="s">
        <v>1266</v>
      </c>
      <c r="E612" t="s">
        <v>83</v>
      </c>
      <c r="F612">
        <v>53453</v>
      </c>
      <c r="G612">
        <v>16638</v>
      </c>
      <c r="H612">
        <v>540</v>
      </c>
      <c r="I612">
        <v>3.1282594177785228E-2</v>
      </c>
      <c r="J612">
        <f t="shared" si="18"/>
        <v>3.2455824017309773E-2</v>
      </c>
      <c r="K612">
        <f t="shared" si="19"/>
        <v>1.0153023714391167E-3</v>
      </c>
    </row>
    <row r="613" spans="1:11" x14ac:dyDescent="0.25">
      <c r="A613" t="s">
        <v>10</v>
      </c>
      <c r="B613" t="s">
        <v>643</v>
      </c>
      <c r="C613" t="s">
        <v>82</v>
      </c>
      <c r="D613" t="s">
        <v>1266</v>
      </c>
      <c r="E613" t="s">
        <v>83</v>
      </c>
      <c r="F613">
        <v>53455</v>
      </c>
      <c r="G613">
        <v>1452</v>
      </c>
      <c r="H613">
        <v>0</v>
      </c>
      <c r="I613">
        <v>3.7471595518212775E-2</v>
      </c>
      <c r="J613">
        <f t="shared" si="18"/>
        <v>0</v>
      </c>
      <c r="K613">
        <f t="shared" si="19"/>
        <v>0</v>
      </c>
    </row>
    <row r="614" spans="1:11" x14ac:dyDescent="0.25">
      <c r="A614" t="s">
        <v>10</v>
      </c>
      <c r="B614" t="s">
        <v>644</v>
      </c>
      <c r="C614" t="s">
        <v>82</v>
      </c>
      <c r="D614" t="s">
        <v>1266</v>
      </c>
      <c r="E614" t="s">
        <v>83</v>
      </c>
      <c r="F614">
        <v>53457</v>
      </c>
      <c r="G614">
        <v>11</v>
      </c>
      <c r="H614">
        <v>0</v>
      </c>
      <c r="I614">
        <v>0.1368259229283626</v>
      </c>
      <c r="J614">
        <f t="shared" si="18"/>
        <v>0</v>
      </c>
      <c r="K614">
        <f t="shared" si="19"/>
        <v>0</v>
      </c>
    </row>
    <row r="615" spans="1:11" x14ac:dyDescent="0.25">
      <c r="A615" t="s">
        <v>10</v>
      </c>
      <c r="B615" t="s">
        <v>645</v>
      </c>
      <c r="C615" t="s">
        <v>82</v>
      </c>
      <c r="D615" t="s">
        <v>1266</v>
      </c>
      <c r="E615" t="s">
        <v>83</v>
      </c>
      <c r="F615">
        <v>53459</v>
      </c>
      <c r="G615">
        <v>9212</v>
      </c>
      <c r="H615">
        <v>381</v>
      </c>
      <c r="I615">
        <v>3.6492367603453424E-2</v>
      </c>
      <c r="J615">
        <f t="shared" si="18"/>
        <v>4.1359096830221452E-2</v>
      </c>
      <c r="K615">
        <f t="shared" si="19"/>
        <v>1.5092913652752665E-3</v>
      </c>
    </row>
    <row r="616" spans="1:11" x14ac:dyDescent="0.25">
      <c r="A616" t="s">
        <v>10</v>
      </c>
      <c r="B616" t="s">
        <v>646</v>
      </c>
      <c r="C616" t="s">
        <v>82</v>
      </c>
      <c r="D616" t="s">
        <v>1266</v>
      </c>
      <c r="E616" t="s">
        <v>83</v>
      </c>
      <c r="F616">
        <v>53461</v>
      </c>
      <c r="G616">
        <v>1064</v>
      </c>
      <c r="H616">
        <v>105</v>
      </c>
      <c r="I616">
        <v>9.7604394055108901E-2</v>
      </c>
      <c r="J616">
        <f t="shared" si="18"/>
        <v>9.8684210526315791E-2</v>
      </c>
      <c r="K616">
        <f t="shared" si="19"/>
        <v>9.632012571227852E-3</v>
      </c>
    </row>
    <row r="617" spans="1:11" x14ac:dyDescent="0.25">
      <c r="A617" t="s">
        <v>10</v>
      </c>
      <c r="B617" t="s">
        <v>647</v>
      </c>
      <c r="C617" t="s">
        <v>82</v>
      </c>
      <c r="D617" t="s">
        <v>1266</v>
      </c>
      <c r="E617" t="s">
        <v>83</v>
      </c>
      <c r="F617">
        <v>53463</v>
      </c>
      <c r="G617">
        <v>343</v>
      </c>
      <c r="H617">
        <v>25</v>
      </c>
      <c r="I617">
        <v>4.4093643192742227E-2</v>
      </c>
      <c r="J617">
        <f t="shared" si="18"/>
        <v>7.2886297376093298E-2</v>
      </c>
      <c r="K617">
        <f t="shared" si="19"/>
        <v>3.2138223901415617E-3</v>
      </c>
    </row>
    <row r="618" spans="1:11" x14ac:dyDescent="0.25">
      <c r="A618" t="s">
        <v>10</v>
      </c>
      <c r="B618" t="s">
        <v>648</v>
      </c>
      <c r="C618" t="s">
        <v>80</v>
      </c>
      <c r="D618" t="s">
        <v>1282</v>
      </c>
      <c r="E618" t="s">
        <v>27</v>
      </c>
      <c r="F618">
        <v>53465</v>
      </c>
      <c r="G618">
        <v>611</v>
      </c>
      <c r="H618">
        <v>0</v>
      </c>
      <c r="I618">
        <v>5.5648067154057679E-2</v>
      </c>
      <c r="J618">
        <f t="shared" si="18"/>
        <v>0</v>
      </c>
      <c r="K618">
        <f t="shared" si="19"/>
        <v>0</v>
      </c>
    </row>
    <row r="619" spans="1:11" x14ac:dyDescent="0.25">
      <c r="A619" t="s">
        <v>10</v>
      </c>
      <c r="B619" t="s">
        <v>649</v>
      </c>
      <c r="C619" t="s">
        <v>82</v>
      </c>
      <c r="D619" t="s">
        <v>1266</v>
      </c>
      <c r="E619" t="s">
        <v>83</v>
      </c>
      <c r="F619">
        <v>53467</v>
      </c>
      <c r="G619">
        <v>1807</v>
      </c>
      <c r="H619">
        <v>0</v>
      </c>
      <c r="I619">
        <v>0.37423229175355277</v>
      </c>
      <c r="J619">
        <f t="shared" si="18"/>
        <v>0</v>
      </c>
      <c r="K619">
        <f t="shared" si="19"/>
        <v>0</v>
      </c>
    </row>
    <row r="620" spans="1:11" x14ac:dyDescent="0.25">
      <c r="A620" t="s">
        <v>10</v>
      </c>
      <c r="B620" t="s">
        <v>650</v>
      </c>
      <c r="C620" t="s">
        <v>82</v>
      </c>
      <c r="D620" t="s">
        <v>1266</v>
      </c>
      <c r="E620" t="s">
        <v>83</v>
      </c>
      <c r="F620">
        <v>53471</v>
      </c>
      <c r="G620">
        <v>25</v>
      </c>
      <c r="H620">
        <v>0</v>
      </c>
      <c r="I620">
        <v>2.6311111111110952E-2</v>
      </c>
      <c r="J620">
        <f t="shared" si="18"/>
        <v>0</v>
      </c>
      <c r="K620">
        <f t="shared" si="19"/>
        <v>0</v>
      </c>
    </row>
    <row r="621" spans="1:11" x14ac:dyDescent="0.25">
      <c r="A621" t="s">
        <v>10</v>
      </c>
      <c r="B621" t="s">
        <v>651</v>
      </c>
      <c r="C621" t="s">
        <v>82</v>
      </c>
      <c r="D621" t="s">
        <v>1266</v>
      </c>
      <c r="E621" t="s">
        <v>83</v>
      </c>
      <c r="F621">
        <v>53475</v>
      </c>
      <c r="G621">
        <v>244</v>
      </c>
      <c r="H621">
        <v>36</v>
      </c>
      <c r="I621">
        <v>0.10240265474676036</v>
      </c>
      <c r="J621">
        <f t="shared" si="18"/>
        <v>0.14754098360655737</v>
      </c>
      <c r="K621">
        <f t="shared" si="19"/>
        <v>1.5108588405259724E-2</v>
      </c>
    </row>
    <row r="622" spans="1:11" x14ac:dyDescent="0.25">
      <c r="A622" t="s">
        <v>10</v>
      </c>
      <c r="B622" t="s">
        <v>652</v>
      </c>
      <c r="C622" t="s">
        <v>333</v>
      </c>
      <c r="D622" t="s">
        <v>1200</v>
      </c>
      <c r="E622" t="s">
        <v>83</v>
      </c>
      <c r="F622">
        <v>54111</v>
      </c>
      <c r="G622">
        <v>49637</v>
      </c>
      <c r="H622">
        <v>1200</v>
      </c>
      <c r="I622">
        <v>0.16267800885156258</v>
      </c>
      <c r="J622">
        <f t="shared" si="18"/>
        <v>2.4175514233334004E-2</v>
      </c>
      <c r="K622">
        <f t="shared" si="19"/>
        <v>3.9328245184413859E-3</v>
      </c>
    </row>
    <row r="623" spans="1:11" x14ac:dyDescent="0.25">
      <c r="A623" t="s">
        <v>10</v>
      </c>
      <c r="B623" t="s">
        <v>653</v>
      </c>
      <c r="C623" t="s">
        <v>333</v>
      </c>
      <c r="D623" t="s">
        <v>1200</v>
      </c>
      <c r="E623" t="s">
        <v>83</v>
      </c>
      <c r="F623">
        <v>54119</v>
      </c>
      <c r="G623">
        <v>1013</v>
      </c>
      <c r="H623">
        <v>82</v>
      </c>
      <c r="I623">
        <v>5.1164624101919243E-2</v>
      </c>
      <c r="J623">
        <f t="shared" si="18"/>
        <v>8.0947680157946691E-2</v>
      </c>
      <c r="K623">
        <f t="shared" si="19"/>
        <v>4.141657627203729E-3</v>
      </c>
    </row>
    <row r="624" spans="1:11" x14ac:dyDescent="0.25">
      <c r="A624" t="s">
        <v>10</v>
      </c>
      <c r="B624" t="s">
        <v>654</v>
      </c>
      <c r="C624" t="s">
        <v>333</v>
      </c>
      <c r="D624" t="s">
        <v>1200</v>
      </c>
      <c r="E624" t="s">
        <v>83</v>
      </c>
      <c r="F624">
        <v>54127</v>
      </c>
      <c r="G624">
        <v>2053</v>
      </c>
      <c r="H624">
        <v>90</v>
      </c>
      <c r="I624">
        <v>0.1217473651854587</v>
      </c>
      <c r="J624">
        <f t="shared" si="18"/>
        <v>4.3838285435947394E-2</v>
      </c>
      <c r="K624">
        <f t="shared" si="19"/>
        <v>5.3371957460746633E-3</v>
      </c>
    </row>
    <row r="625" spans="1:11" x14ac:dyDescent="0.25">
      <c r="A625" t="s">
        <v>10</v>
      </c>
      <c r="B625" t="s">
        <v>655</v>
      </c>
      <c r="C625" t="s">
        <v>424</v>
      </c>
      <c r="D625" t="s">
        <v>1288</v>
      </c>
      <c r="E625" t="s">
        <v>93</v>
      </c>
      <c r="F625">
        <v>61419</v>
      </c>
      <c r="G625">
        <v>5058</v>
      </c>
      <c r="H625">
        <v>0</v>
      </c>
      <c r="I625">
        <v>3.6395879280841759E-2</v>
      </c>
      <c r="J625">
        <f t="shared" si="18"/>
        <v>0</v>
      </c>
      <c r="K625">
        <f t="shared" si="19"/>
        <v>0</v>
      </c>
    </row>
    <row r="626" spans="1:11" x14ac:dyDescent="0.25">
      <c r="A626" t="s">
        <v>10</v>
      </c>
      <c r="B626" t="s">
        <v>656</v>
      </c>
      <c r="C626" t="s">
        <v>333</v>
      </c>
      <c r="D626" t="s">
        <v>1200</v>
      </c>
      <c r="E626" t="s">
        <v>83</v>
      </c>
      <c r="F626">
        <v>54175</v>
      </c>
      <c r="G626">
        <v>172</v>
      </c>
      <c r="H626">
        <v>112</v>
      </c>
      <c r="I626">
        <v>3.6395879280841759E-2</v>
      </c>
      <c r="J626">
        <f t="shared" si="18"/>
        <v>0.65116279069767447</v>
      </c>
      <c r="K626">
        <f t="shared" si="19"/>
        <v>2.3699642322408589E-2</v>
      </c>
    </row>
    <row r="627" spans="1:11" x14ac:dyDescent="0.25">
      <c r="A627" t="s">
        <v>10</v>
      </c>
      <c r="B627" t="s">
        <v>657</v>
      </c>
      <c r="C627" t="s">
        <v>95</v>
      </c>
      <c r="D627" t="s">
        <v>1291</v>
      </c>
      <c r="E627" t="s">
        <v>96</v>
      </c>
      <c r="F627">
        <v>55114</v>
      </c>
      <c r="G627">
        <v>1846</v>
      </c>
      <c r="H627">
        <v>481</v>
      </c>
      <c r="I627">
        <v>1.8931206647436083E-2</v>
      </c>
      <c r="J627">
        <f t="shared" si="18"/>
        <v>0.26056338028169013</v>
      </c>
      <c r="K627">
        <f t="shared" si="19"/>
        <v>4.9327791968671484E-3</v>
      </c>
    </row>
    <row r="628" spans="1:11" x14ac:dyDescent="0.25">
      <c r="A628" t="s">
        <v>10</v>
      </c>
      <c r="B628" t="s">
        <v>658</v>
      </c>
      <c r="C628" t="s">
        <v>95</v>
      </c>
      <c r="D628" t="s">
        <v>1291</v>
      </c>
      <c r="E628" t="s">
        <v>96</v>
      </c>
      <c r="F628">
        <v>55117</v>
      </c>
      <c r="G628">
        <v>2234</v>
      </c>
      <c r="H628">
        <v>30</v>
      </c>
      <c r="I628">
        <v>0.13437594327854885</v>
      </c>
      <c r="J628">
        <f t="shared" si="18"/>
        <v>1.342882721575649E-2</v>
      </c>
      <c r="K628">
        <f t="shared" si="19"/>
        <v>1.8045113242419271E-3</v>
      </c>
    </row>
    <row r="629" spans="1:11" x14ac:dyDescent="0.25">
      <c r="A629" t="s">
        <v>10</v>
      </c>
      <c r="B629" t="s">
        <v>659</v>
      </c>
      <c r="C629" t="s">
        <v>95</v>
      </c>
      <c r="D629" t="s">
        <v>1291</v>
      </c>
      <c r="E629" t="s">
        <v>96</v>
      </c>
      <c r="F629">
        <v>55124</v>
      </c>
      <c r="G629">
        <v>1917</v>
      </c>
      <c r="H629">
        <v>270</v>
      </c>
      <c r="I629">
        <v>5.5597222222222298E-2</v>
      </c>
      <c r="J629">
        <f t="shared" si="18"/>
        <v>0.14084507042253522</v>
      </c>
      <c r="K629">
        <f t="shared" si="19"/>
        <v>7.83059467918624E-3</v>
      </c>
    </row>
    <row r="630" spans="1:11" x14ac:dyDescent="0.25">
      <c r="A630" t="s">
        <v>10</v>
      </c>
      <c r="B630" t="s">
        <v>660</v>
      </c>
      <c r="C630" t="s">
        <v>95</v>
      </c>
      <c r="D630" t="s">
        <v>1291</v>
      </c>
      <c r="E630" t="s">
        <v>96</v>
      </c>
      <c r="F630">
        <v>55127</v>
      </c>
      <c r="G630">
        <v>415</v>
      </c>
      <c r="H630">
        <v>0</v>
      </c>
      <c r="I630">
        <v>0.32909873373516152</v>
      </c>
      <c r="J630">
        <f t="shared" si="18"/>
        <v>0</v>
      </c>
      <c r="K630">
        <f t="shared" si="19"/>
        <v>0</v>
      </c>
    </row>
    <row r="631" spans="1:11" x14ac:dyDescent="0.25">
      <c r="A631" t="s">
        <v>10</v>
      </c>
      <c r="B631" t="s">
        <v>661</v>
      </c>
      <c r="C631" t="s">
        <v>95</v>
      </c>
      <c r="D631" t="s">
        <v>1291</v>
      </c>
      <c r="E631" t="s">
        <v>96</v>
      </c>
      <c r="F631">
        <v>55131</v>
      </c>
      <c r="G631">
        <v>665</v>
      </c>
      <c r="H631">
        <v>0</v>
      </c>
      <c r="I631">
        <v>0</v>
      </c>
      <c r="J631">
        <f t="shared" si="18"/>
        <v>0</v>
      </c>
      <c r="K631">
        <f t="shared" si="19"/>
        <v>0</v>
      </c>
    </row>
    <row r="632" spans="1:11" x14ac:dyDescent="0.25">
      <c r="A632" t="s">
        <v>10</v>
      </c>
      <c r="B632" t="s">
        <v>662</v>
      </c>
      <c r="C632" t="s">
        <v>95</v>
      </c>
      <c r="D632" t="s">
        <v>1291</v>
      </c>
      <c r="E632" t="s">
        <v>96</v>
      </c>
      <c r="F632">
        <v>55134</v>
      </c>
      <c r="G632">
        <v>2190</v>
      </c>
      <c r="H632">
        <v>0</v>
      </c>
      <c r="I632">
        <v>0.13671779564565656</v>
      </c>
      <c r="J632">
        <f t="shared" si="18"/>
        <v>0</v>
      </c>
      <c r="K632">
        <f t="shared" si="19"/>
        <v>0</v>
      </c>
    </row>
    <row r="633" spans="1:11" x14ac:dyDescent="0.25">
      <c r="A633" t="s">
        <v>10</v>
      </c>
      <c r="B633" t="s">
        <v>663</v>
      </c>
      <c r="C633" t="s">
        <v>95</v>
      </c>
      <c r="D633" t="s">
        <v>1291</v>
      </c>
      <c r="E633" t="s">
        <v>96</v>
      </c>
      <c r="F633">
        <v>55137</v>
      </c>
      <c r="G633">
        <v>910</v>
      </c>
      <c r="H633">
        <v>89</v>
      </c>
      <c r="I633">
        <v>1.537827761129118E-2</v>
      </c>
      <c r="J633">
        <f t="shared" si="18"/>
        <v>9.7802197802197802E-2</v>
      </c>
      <c r="K633">
        <f t="shared" si="19"/>
        <v>1.5040293487966099E-3</v>
      </c>
    </row>
    <row r="634" spans="1:11" x14ac:dyDescent="0.25">
      <c r="A634" t="s">
        <v>10</v>
      </c>
      <c r="B634" t="s">
        <v>664</v>
      </c>
      <c r="C634" t="s">
        <v>95</v>
      </c>
      <c r="D634" t="s">
        <v>1291</v>
      </c>
      <c r="E634" t="s">
        <v>96</v>
      </c>
      <c r="F634">
        <v>55141</v>
      </c>
      <c r="G634">
        <v>980</v>
      </c>
      <c r="H634">
        <v>0</v>
      </c>
      <c r="I634">
        <v>0.28897648314324653</v>
      </c>
      <c r="J634">
        <f t="shared" si="18"/>
        <v>0</v>
      </c>
      <c r="K634">
        <f t="shared" si="19"/>
        <v>0</v>
      </c>
    </row>
    <row r="635" spans="1:11" x14ac:dyDescent="0.25">
      <c r="A635" t="s">
        <v>10</v>
      </c>
      <c r="B635" t="s">
        <v>665</v>
      </c>
      <c r="C635" t="s">
        <v>95</v>
      </c>
      <c r="D635" t="s">
        <v>1291</v>
      </c>
      <c r="E635" t="s">
        <v>96</v>
      </c>
      <c r="F635">
        <v>55144</v>
      </c>
      <c r="G635">
        <v>840</v>
      </c>
      <c r="H635">
        <v>396</v>
      </c>
      <c r="I635">
        <v>0.54659312567638652</v>
      </c>
      <c r="J635">
        <f t="shared" si="18"/>
        <v>0.47142857142857142</v>
      </c>
      <c r="K635">
        <f t="shared" si="19"/>
        <v>0.25767961639029652</v>
      </c>
    </row>
    <row r="636" spans="1:11" x14ac:dyDescent="0.25">
      <c r="A636" t="s">
        <v>10</v>
      </c>
      <c r="B636" t="s">
        <v>666</v>
      </c>
      <c r="C636" t="s">
        <v>87</v>
      </c>
      <c r="D636" t="s">
        <v>1280</v>
      </c>
      <c r="E636" t="s">
        <v>88</v>
      </c>
      <c r="F636">
        <v>74133</v>
      </c>
      <c r="G636">
        <v>733</v>
      </c>
      <c r="H636">
        <v>28</v>
      </c>
      <c r="I636">
        <v>0.54659312567638652</v>
      </c>
      <c r="J636">
        <f t="shared" si="18"/>
        <v>3.8199181446111868E-2</v>
      </c>
      <c r="K636">
        <f t="shared" si="19"/>
        <v>2.0879409984909718E-2</v>
      </c>
    </row>
    <row r="637" spans="1:11" x14ac:dyDescent="0.25">
      <c r="A637" t="s">
        <v>10</v>
      </c>
      <c r="B637" t="s">
        <v>667</v>
      </c>
      <c r="C637" t="s">
        <v>95</v>
      </c>
      <c r="D637" t="s">
        <v>1291</v>
      </c>
      <c r="E637" t="s">
        <v>96</v>
      </c>
      <c r="F637">
        <v>55151</v>
      </c>
      <c r="G637">
        <v>2052</v>
      </c>
      <c r="H637">
        <v>112</v>
      </c>
      <c r="I637">
        <v>1.2432452629793977E-2</v>
      </c>
      <c r="J637">
        <f t="shared" si="18"/>
        <v>5.4580896686159841E-2</v>
      </c>
      <c r="K637">
        <f t="shared" si="19"/>
        <v>6.7857441254236131E-4</v>
      </c>
    </row>
    <row r="638" spans="1:11" x14ac:dyDescent="0.25">
      <c r="A638" t="s">
        <v>10</v>
      </c>
      <c r="B638" t="s">
        <v>668</v>
      </c>
      <c r="C638" t="s">
        <v>95</v>
      </c>
      <c r="D638" t="s">
        <v>1291</v>
      </c>
      <c r="E638" t="s">
        <v>96</v>
      </c>
      <c r="F638">
        <v>55154</v>
      </c>
      <c r="G638">
        <v>880</v>
      </c>
      <c r="H638">
        <v>90</v>
      </c>
      <c r="I638">
        <v>0.41074100766231758</v>
      </c>
      <c r="J638">
        <f t="shared" si="18"/>
        <v>0.10227272727272728</v>
      </c>
      <c r="K638">
        <f t="shared" si="19"/>
        <v>4.200760305637339E-2</v>
      </c>
    </row>
    <row r="639" spans="1:11" x14ac:dyDescent="0.25">
      <c r="A639" t="s">
        <v>10</v>
      </c>
      <c r="B639" t="s">
        <v>669</v>
      </c>
      <c r="C639" t="s">
        <v>95</v>
      </c>
      <c r="D639" t="s">
        <v>1291</v>
      </c>
      <c r="E639" t="s">
        <v>96</v>
      </c>
      <c r="F639">
        <v>55157</v>
      </c>
      <c r="G639">
        <v>2783</v>
      </c>
      <c r="H639">
        <v>180</v>
      </c>
      <c r="I639">
        <v>2.1462594550666014E-2</v>
      </c>
      <c r="J639">
        <f t="shared" si="18"/>
        <v>6.4678404599353215E-2</v>
      </c>
      <c r="K639">
        <f t="shared" si="19"/>
        <v>1.38816637409985E-3</v>
      </c>
    </row>
    <row r="640" spans="1:11" x14ac:dyDescent="0.25">
      <c r="A640" t="s">
        <v>10</v>
      </c>
      <c r="B640" t="s">
        <v>670</v>
      </c>
      <c r="C640" t="s">
        <v>95</v>
      </c>
      <c r="D640" t="s">
        <v>1291</v>
      </c>
      <c r="E640" t="s">
        <v>96</v>
      </c>
      <c r="F640">
        <v>55164</v>
      </c>
      <c r="G640">
        <v>1585</v>
      </c>
      <c r="H640">
        <v>180</v>
      </c>
      <c r="I640">
        <v>1.7372992412613697E-2</v>
      </c>
      <c r="J640">
        <f t="shared" si="18"/>
        <v>0.11356466876971609</v>
      </c>
      <c r="K640">
        <f t="shared" si="19"/>
        <v>1.9729581288772651E-3</v>
      </c>
    </row>
    <row r="641" spans="1:11" x14ac:dyDescent="0.25">
      <c r="A641" t="s">
        <v>10</v>
      </c>
      <c r="B641" t="s">
        <v>671</v>
      </c>
      <c r="C641" t="s">
        <v>95</v>
      </c>
      <c r="D641" t="s">
        <v>1291</v>
      </c>
      <c r="E641" t="s">
        <v>96</v>
      </c>
      <c r="F641">
        <v>55167</v>
      </c>
      <c r="G641">
        <v>264</v>
      </c>
      <c r="H641">
        <v>9</v>
      </c>
      <c r="I641">
        <v>0.47164138436333158</v>
      </c>
      <c r="J641">
        <f t="shared" si="18"/>
        <v>3.4090909090909088E-2</v>
      </c>
      <c r="K641">
        <f t="shared" si="19"/>
        <v>1.607868355784085E-2</v>
      </c>
    </row>
    <row r="642" spans="1:11" x14ac:dyDescent="0.25">
      <c r="A642" t="s">
        <v>10</v>
      </c>
      <c r="B642" t="s">
        <v>672</v>
      </c>
      <c r="C642" t="s">
        <v>234</v>
      </c>
      <c r="D642" t="s">
        <v>1278</v>
      </c>
      <c r="E642" t="s">
        <v>88</v>
      </c>
      <c r="F642">
        <v>73162</v>
      </c>
      <c r="G642">
        <v>309</v>
      </c>
      <c r="H642">
        <v>0</v>
      </c>
      <c r="I642">
        <v>0.47164138436333158</v>
      </c>
      <c r="J642">
        <f t="shared" si="18"/>
        <v>0</v>
      </c>
      <c r="K642">
        <f t="shared" si="19"/>
        <v>0</v>
      </c>
    </row>
    <row r="643" spans="1:11" x14ac:dyDescent="0.25">
      <c r="A643" t="s">
        <v>10</v>
      </c>
      <c r="B643" t="s">
        <v>673</v>
      </c>
      <c r="C643" t="s">
        <v>95</v>
      </c>
      <c r="D643" t="s">
        <v>1291</v>
      </c>
      <c r="E643" t="s">
        <v>96</v>
      </c>
      <c r="F643">
        <v>55171</v>
      </c>
      <c r="G643">
        <v>1563</v>
      </c>
      <c r="H643">
        <v>31</v>
      </c>
      <c r="I643">
        <v>0.18787874279923833</v>
      </c>
      <c r="J643">
        <f t="shared" ref="J643:J706" si="20">IF(G643=0,0,H643/G643)</f>
        <v>1.983365323096609E-2</v>
      </c>
      <c r="K643">
        <f t="shared" ref="K643:K706" si="21">J643*I643</f>
        <v>3.7263218341499604E-3</v>
      </c>
    </row>
    <row r="644" spans="1:11" x14ac:dyDescent="0.25">
      <c r="A644" t="s">
        <v>10</v>
      </c>
      <c r="B644" t="s">
        <v>674</v>
      </c>
      <c r="C644" t="s">
        <v>95</v>
      </c>
      <c r="D644" t="s">
        <v>1291</v>
      </c>
      <c r="E644" t="s">
        <v>96</v>
      </c>
      <c r="F644">
        <v>55174</v>
      </c>
      <c r="G644">
        <v>1252</v>
      </c>
      <c r="H644">
        <v>63</v>
      </c>
      <c r="I644">
        <v>0.1311422835821946</v>
      </c>
      <c r="J644">
        <f t="shared" si="20"/>
        <v>5.0319488817891375E-2</v>
      </c>
      <c r="K644">
        <f t="shared" si="21"/>
        <v>6.5990126722669804E-3</v>
      </c>
    </row>
    <row r="645" spans="1:11" x14ac:dyDescent="0.25">
      <c r="A645" t="s">
        <v>10</v>
      </c>
      <c r="B645" t="s">
        <v>675</v>
      </c>
      <c r="C645" t="s">
        <v>95</v>
      </c>
      <c r="D645" t="s">
        <v>1291</v>
      </c>
      <c r="E645" t="s">
        <v>96</v>
      </c>
      <c r="F645">
        <v>55177</v>
      </c>
      <c r="G645">
        <v>508</v>
      </c>
      <c r="H645">
        <v>0</v>
      </c>
      <c r="I645">
        <v>3.6376150558842912E-2</v>
      </c>
      <c r="J645">
        <f t="shared" si="20"/>
        <v>0</v>
      </c>
      <c r="K645">
        <f t="shared" si="21"/>
        <v>0</v>
      </c>
    </row>
    <row r="646" spans="1:11" x14ac:dyDescent="0.25">
      <c r="A646" t="s">
        <v>10</v>
      </c>
      <c r="B646" t="s">
        <v>676</v>
      </c>
      <c r="C646" t="s">
        <v>95</v>
      </c>
      <c r="D646" t="s">
        <v>1291</v>
      </c>
      <c r="E646" t="s">
        <v>96</v>
      </c>
      <c r="F646">
        <v>55181</v>
      </c>
      <c r="G646">
        <v>1180</v>
      </c>
      <c r="H646">
        <v>180</v>
      </c>
      <c r="I646">
        <v>1.0330675419532365E-2</v>
      </c>
      <c r="J646">
        <f t="shared" si="20"/>
        <v>0.15254237288135594</v>
      </c>
      <c r="K646">
        <f t="shared" si="21"/>
        <v>1.5758657419625642E-3</v>
      </c>
    </row>
    <row r="647" spans="1:11" x14ac:dyDescent="0.25">
      <c r="A647" t="s">
        <v>10</v>
      </c>
      <c r="B647" t="s">
        <v>677</v>
      </c>
      <c r="C647" t="s">
        <v>95</v>
      </c>
      <c r="D647" t="s">
        <v>1291</v>
      </c>
      <c r="E647" t="s">
        <v>96</v>
      </c>
      <c r="F647">
        <v>55184</v>
      </c>
      <c r="G647">
        <v>1804</v>
      </c>
      <c r="H647">
        <v>2</v>
      </c>
      <c r="I647">
        <v>4.1486807364408129E-3</v>
      </c>
      <c r="J647">
        <f t="shared" si="20"/>
        <v>1.1086474501108647E-3</v>
      </c>
      <c r="K647">
        <f t="shared" si="21"/>
        <v>4.5994243197791714E-6</v>
      </c>
    </row>
    <row r="648" spans="1:11" x14ac:dyDescent="0.25">
      <c r="A648" t="s">
        <v>10</v>
      </c>
      <c r="B648" t="s">
        <v>678</v>
      </c>
      <c r="C648" t="s">
        <v>95</v>
      </c>
      <c r="D648" t="s">
        <v>1291</v>
      </c>
      <c r="E648" t="s">
        <v>96</v>
      </c>
      <c r="F648">
        <v>55187</v>
      </c>
      <c r="G648">
        <v>646</v>
      </c>
      <c r="H648">
        <v>0</v>
      </c>
      <c r="I648">
        <v>0.10189323663349636</v>
      </c>
      <c r="J648">
        <f t="shared" si="20"/>
        <v>0</v>
      </c>
      <c r="K648">
        <f t="shared" si="21"/>
        <v>0</v>
      </c>
    </row>
    <row r="649" spans="1:11" x14ac:dyDescent="0.25">
      <c r="A649" t="s">
        <v>10</v>
      </c>
      <c r="B649" t="s">
        <v>679</v>
      </c>
      <c r="C649" t="s">
        <v>95</v>
      </c>
      <c r="D649" t="s">
        <v>1291</v>
      </c>
      <c r="E649" t="s">
        <v>96</v>
      </c>
      <c r="F649">
        <v>55191</v>
      </c>
      <c r="G649">
        <v>6</v>
      </c>
      <c r="H649">
        <v>0</v>
      </c>
      <c r="I649">
        <v>3.5076530612244916E-2</v>
      </c>
      <c r="J649">
        <f t="shared" si="20"/>
        <v>0</v>
      </c>
      <c r="K649">
        <f t="shared" si="21"/>
        <v>0</v>
      </c>
    </row>
    <row r="650" spans="1:11" x14ac:dyDescent="0.25">
      <c r="A650" t="s">
        <v>10</v>
      </c>
      <c r="B650" t="s">
        <v>680</v>
      </c>
      <c r="C650" t="s">
        <v>95</v>
      </c>
      <c r="D650" t="s">
        <v>1291</v>
      </c>
      <c r="E650" t="s">
        <v>96</v>
      </c>
      <c r="F650">
        <v>55194</v>
      </c>
      <c r="G650">
        <v>1434</v>
      </c>
      <c r="H650">
        <v>15</v>
      </c>
      <c r="I650">
        <v>0.56095029790229101</v>
      </c>
      <c r="J650">
        <f t="shared" si="20"/>
        <v>1.0460251046025104E-2</v>
      </c>
      <c r="K650">
        <f t="shared" si="21"/>
        <v>5.8676809404005336E-3</v>
      </c>
    </row>
    <row r="651" spans="1:11" x14ac:dyDescent="0.25">
      <c r="A651" t="s">
        <v>10</v>
      </c>
      <c r="B651" t="s">
        <v>681</v>
      </c>
      <c r="C651" t="s">
        <v>95</v>
      </c>
      <c r="D651" t="s">
        <v>1291</v>
      </c>
      <c r="E651" t="s">
        <v>96</v>
      </c>
      <c r="F651">
        <v>55197</v>
      </c>
      <c r="G651">
        <v>59</v>
      </c>
      <c r="H651">
        <v>0</v>
      </c>
      <c r="I651">
        <v>1.5595365611580037E-2</v>
      </c>
      <c r="J651">
        <f t="shared" si="20"/>
        <v>0</v>
      </c>
      <c r="K651">
        <f t="shared" si="21"/>
        <v>0</v>
      </c>
    </row>
    <row r="652" spans="1:11" x14ac:dyDescent="0.25">
      <c r="A652" t="s">
        <v>10</v>
      </c>
      <c r="B652" t="s">
        <v>682</v>
      </c>
      <c r="C652" t="s">
        <v>424</v>
      </c>
      <c r="D652" t="s">
        <v>1288</v>
      </c>
      <c r="E652" t="s">
        <v>93</v>
      </c>
      <c r="F652">
        <v>61111</v>
      </c>
      <c r="G652">
        <v>10749</v>
      </c>
      <c r="H652">
        <v>12285</v>
      </c>
      <c r="I652">
        <v>0.1404524416678804</v>
      </c>
      <c r="J652">
        <f t="shared" si="20"/>
        <v>1.1428970136756909</v>
      </c>
      <c r="K652">
        <f t="shared" si="21"/>
        <v>0.16052267614567967</v>
      </c>
    </row>
    <row r="653" spans="1:11" x14ac:dyDescent="0.25">
      <c r="A653" t="s">
        <v>10</v>
      </c>
      <c r="B653" t="s">
        <v>424</v>
      </c>
      <c r="C653" t="s">
        <v>424</v>
      </c>
      <c r="D653" t="s">
        <v>1288</v>
      </c>
      <c r="E653" t="s">
        <v>93</v>
      </c>
      <c r="F653">
        <v>61115</v>
      </c>
      <c r="G653">
        <v>15199</v>
      </c>
      <c r="H653">
        <v>1552</v>
      </c>
      <c r="I653">
        <v>0.29742251258150043</v>
      </c>
      <c r="J653">
        <f t="shared" si="20"/>
        <v>0.10211198105138496</v>
      </c>
      <c r="K653">
        <f t="shared" si="21"/>
        <v>3.0370401968977476E-2</v>
      </c>
    </row>
    <row r="654" spans="1:11" x14ac:dyDescent="0.25">
      <c r="A654" t="s">
        <v>10</v>
      </c>
      <c r="B654" t="s">
        <v>683</v>
      </c>
      <c r="C654" t="s">
        <v>424</v>
      </c>
      <c r="D654" t="s">
        <v>1288</v>
      </c>
      <c r="E654" t="s">
        <v>93</v>
      </c>
      <c r="F654">
        <v>61119</v>
      </c>
      <c r="G654">
        <v>90335</v>
      </c>
      <c r="H654">
        <v>13499</v>
      </c>
      <c r="I654">
        <v>0.41541448422968241</v>
      </c>
      <c r="J654">
        <f t="shared" si="20"/>
        <v>0.14943266729396137</v>
      </c>
      <c r="K654">
        <f t="shared" si="21"/>
        <v>6.2076494410986699E-2</v>
      </c>
    </row>
    <row r="655" spans="1:11" x14ac:dyDescent="0.25">
      <c r="A655" t="s">
        <v>10</v>
      </c>
      <c r="B655" t="s">
        <v>684</v>
      </c>
      <c r="C655" t="s">
        <v>424</v>
      </c>
      <c r="D655" t="s">
        <v>1288</v>
      </c>
      <c r="E655" t="s">
        <v>93</v>
      </c>
      <c r="F655">
        <v>61123</v>
      </c>
      <c r="G655">
        <v>1399</v>
      </c>
      <c r="H655">
        <v>225</v>
      </c>
      <c r="I655">
        <v>0.7093509365244538</v>
      </c>
      <c r="J655">
        <f t="shared" si="20"/>
        <v>0.16082916368834882</v>
      </c>
      <c r="K655">
        <f t="shared" si="21"/>
        <v>0.11408431788277491</v>
      </c>
    </row>
    <row r="656" spans="1:11" x14ac:dyDescent="0.25">
      <c r="A656" t="s">
        <v>10</v>
      </c>
      <c r="B656" t="s">
        <v>685</v>
      </c>
      <c r="C656" t="s">
        <v>424</v>
      </c>
      <c r="D656" t="s">
        <v>1288</v>
      </c>
      <c r="E656" t="s">
        <v>93</v>
      </c>
      <c r="F656">
        <v>61147</v>
      </c>
      <c r="G656">
        <v>12797</v>
      </c>
      <c r="H656">
        <v>2475</v>
      </c>
      <c r="I656">
        <v>0.6465138396956579</v>
      </c>
      <c r="J656">
        <f t="shared" si="20"/>
        <v>0.19340470422755332</v>
      </c>
      <c r="K656">
        <f t="shared" si="21"/>
        <v>0.12503881794535854</v>
      </c>
    </row>
    <row r="657" spans="1:11" x14ac:dyDescent="0.25">
      <c r="A657" t="s">
        <v>10</v>
      </c>
      <c r="B657" t="s">
        <v>686</v>
      </c>
      <c r="C657" t="s">
        <v>424</v>
      </c>
      <c r="D657" t="s">
        <v>1288</v>
      </c>
      <c r="E657" t="s">
        <v>93</v>
      </c>
      <c r="F657">
        <v>61159</v>
      </c>
      <c r="G657">
        <v>14722</v>
      </c>
      <c r="H657">
        <v>11621</v>
      </c>
      <c r="I657">
        <v>0.24151511582719443</v>
      </c>
      <c r="J657">
        <f t="shared" si="20"/>
        <v>0.78936285830729525</v>
      </c>
      <c r="K657">
        <f t="shared" si="21"/>
        <v>0.19064306215377166</v>
      </c>
    </row>
    <row r="658" spans="1:11" x14ac:dyDescent="0.25">
      <c r="A658" t="s">
        <v>10</v>
      </c>
      <c r="B658" t="s">
        <v>687</v>
      </c>
      <c r="C658" t="s">
        <v>424</v>
      </c>
      <c r="D658" t="s">
        <v>1288</v>
      </c>
      <c r="E658" t="s">
        <v>93</v>
      </c>
      <c r="F658">
        <v>61183</v>
      </c>
      <c r="G658">
        <v>30708</v>
      </c>
      <c r="H658">
        <v>839</v>
      </c>
      <c r="I658">
        <v>0.36273030499066783</v>
      </c>
      <c r="J658">
        <f t="shared" si="20"/>
        <v>2.7321870522339455E-2</v>
      </c>
      <c r="K658">
        <f t="shared" si="21"/>
        <v>9.9104704274837266E-3</v>
      </c>
    </row>
    <row r="659" spans="1:11" x14ac:dyDescent="0.25">
      <c r="A659" t="s">
        <v>10</v>
      </c>
      <c r="B659" t="s">
        <v>688</v>
      </c>
      <c r="C659" t="s">
        <v>424</v>
      </c>
      <c r="D659" t="s">
        <v>1288</v>
      </c>
      <c r="E659" t="s">
        <v>93</v>
      </c>
      <c r="F659">
        <v>61211</v>
      </c>
      <c r="G659">
        <v>1089</v>
      </c>
      <c r="H659">
        <v>162</v>
      </c>
      <c r="I659">
        <v>0.46219472031637676</v>
      </c>
      <c r="J659">
        <f t="shared" si="20"/>
        <v>0.1487603305785124</v>
      </c>
      <c r="K659">
        <f t="shared" si="21"/>
        <v>6.8756239385907289E-2</v>
      </c>
    </row>
    <row r="660" spans="1:11" x14ac:dyDescent="0.25">
      <c r="A660" t="s">
        <v>10</v>
      </c>
      <c r="B660" t="s">
        <v>689</v>
      </c>
      <c r="C660" t="s">
        <v>331</v>
      </c>
      <c r="D660" t="s">
        <v>1297</v>
      </c>
      <c r="E660" t="s">
        <v>316</v>
      </c>
      <c r="F660">
        <v>33283</v>
      </c>
      <c r="G660">
        <v>65</v>
      </c>
      <c r="H660">
        <v>0</v>
      </c>
      <c r="I660">
        <v>0.22048442906574384</v>
      </c>
      <c r="J660">
        <f t="shared" si="20"/>
        <v>0</v>
      </c>
      <c r="K660">
        <f t="shared" si="21"/>
        <v>0</v>
      </c>
    </row>
    <row r="661" spans="1:11" x14ac:dyDescent="0.25">
      <c r="A661" t="s">
        <v>10</v>
      </c>
      <c r="B661" t="s">
        <v>690</v>
      </c>
      <c r="C661" t="s">
        <v>424</v>
      </c>
      <c r="D661" t="s">
        <v>1288</v>
      </c>
      <c r="E661" t="s">
        <v>93</v>
      </c>
      <c r="F661">
        <v>61222</v>
      </c>
      <c r="G661">
        <v>1585</v>
      </c>
      <c r="H661">
        <v>135</v>
      </c>
      <c r="I661">
        <v>0.51487484638602221</v>
      </c>
      <c r="J661">
        <f t="shared" si="20"/>
        <v>8.5173501577287064E-2</v>
      </c>
      <c r="K661">
        <f t="shared" si="21"/>
        <v>4.38536935407653E-2</v>
      </c>
    </row>
    <row r="662" spans="1:11" x14ac:dyDescent="0.25">
      <c r="A662" t="s">
        <v>10</v>
      </c>
      <c r="B662" t="s">
        <v>691</v>
      </c>
      <c r="C662" t="s">
        <v>553</v>
      </c>
      <c r="D662" t="s">
        <v>1323</v>
      </c>
      <c r="E662" t="s">
        <v>96</v>
      </c>
      <c r="F662">
        <v>52156</v>
      </c>
      <c r="G662">
        <v>1465</v>
      </c>
      <c r="H662">
        <v>50</v>
      </c>
      <c r="I662">
        <v>0.51487484638602221</v>
      </c>
      <c r="J662">
        <f t="shared" si="20"/>
        <v>3.4129692832764506E-2</v>
      </c>
      <c r="K662">
        <f t="shared" si="21"/>
        <v>1.7572520354471748E-2</v>
      </c>
    </row>
    <row r="663" spans="1:11" x14ac:dyDescent="0.25">
      <c r="A663" t="s">
        <v>10</v>
      </c>
      <c r="B663" t="s">
        <v>692</v>
      </c>
      <c r="C663" t="s">
        <v>424</v>
      </c>
      <c r="D663" t="s">
        <v>1288</v>
      </c>
      <c r="E663" t="s">
        <v>93</v>
      </c>
      <c r="F663">
        <v>61233</v>
      </c>
      <c r="G663">
        <v>2688</v>
      </c>
      <c r="H663">
        <v>2250</v>
      </c>
      <c r="I663">
        <v>0.49740517687501073</v>
      </c>
      <c r="J663">
        <f t="shared" si="20"/>
        <v>0.8370535714285714</v>
      </c>
      <c r="K663">
        <f t="shared" si="21"/>
        <v>0.41635477975028801</v>
      </c>
    </row>
    <row r="664" spans="1:11" x14ac:dyDescent="0.25">
      <c r="A664" t="s">
        <v>10</v>
      </c>
      <c r="B664" t="s">
        <v>693</v>
      </c>
      <c r="C664" t="s">
        <v>424</v>
      </c>
      <c r="D664" t="s">
        <v>1288</v>
      </c>
      <c r="E664" t="s">
        <v>93</v>
      </c>
      <c r="F664">
        <v>61244</v>
      </c>
      <c r="G664">
        <v>10234</v>
      </c>
      <c r="H664">
        <v>3330</v>
      </c>
      <c r="I664">
        <v>0.41239943744774599</v>
      </c>
      <c r="J664">
        <f t="shared" si="20"/>
        <v>0.32538596834082473</v>
      </c>
      <c r="K664">
        <f t="shared" si="21"/>
        <v>0.1341889902971462</v>
      </c>
    </row>
    <row r="665" spans="1:11" x14ac:dyDescent="0.25">
      <c r="A665" t="s">
        <v>10</v>
      </c>
      <c r="B665" t="s">
        <v>694</v>
      </c>
      <c r="C665" t="s">
        <v>424</v>
      </c>
      <c r="D665" t="s">
        <v>1288</v>
      </c>
      <c r="E665" t="s">
        <v>93</v>
      </c>
      <c r="F665" s="7">
        <v>61255</v>
      </c>
      <c r="G665">
        <v>3617</v>
      </c>
      <c r="H665">
        <v>1067</v>
      </c>
      <c r="I665">
        <v>0.37786350980509975</v>
      </c>
      <c r="J665">
        <f t="shared" si="20"/>
        <v>0.29499585291678188</v>
      </c>
      <c r="K665">
        <f t="shared" si="21"/>
        <v>0.11146816836108417</v>
      </c>
    </row>
    <row r="666" spans="1:11" x14ac:dyDescent="0.25">
      <c r="A666" t="s">
        <v>10</v>
      </c>
      <c r="B666" t="s">
        <v>695</v>
      </c>
      <c r="C666" t="s">
        <v>424</v>
      </c>
      <c r="D666" t="s">
        <v>1288</v>
      </c>
      <c r="E666" t="s">
        <v>93</v>
      </c>
      <c r="F666">
        <v>61266</v>
      </c>
      <c r="G666">
        <v>1494</v>
      </c>
      <c r="H666">
        <v>2200</v>
      </c>
      <c r="I666">
        <v>0.53392833522462246</v>
      </c>
      <c r="J666">
        <f t="shared" si="20"/>
        <v>1.4725568942436413</v>
      </c>
      <c r="K666">
        <f t="shared" si="21"/>
        <v>0.78623985106704786</v>
      </c>
    </row>
    <row r="667" spans="1:11" x14ac:dyDescent="0.25">
      <c r="A667" t="s">
        <v>10</v>
      </c>
      <c r="B667" t="s">
        <v>696</v>
      </c>
      <c r="C667" t="s">
        <v>424</v>
      </c>
      <c r="D667" t="s">
        <v>1288</v>
      </c>
      <c r="E667" t="s">
        <v>93</v>
      </c>
      <c r="F667">
        <v>61277</v>
      </c>
      <c r="G667">
        <v>2629</v>
      </c>
      <c r="H667">
        <v>405</v>
      </c>
      <c r="I667">
        <v>0.51740971787140733</v>
      </c>
      <c r="J667">
        <f t="shared" si="20"/>
        <v>0.15405096995055154</v>
      </c>
      <c r="K667">
        <f t="shared" si="21"/>
        <v>7.9707468899931522E-2</v>
      </c>
    </row>
    <row r="668" spans="1:11" x14ac:dyDescent="0.25">
      <c r="A668" t="s">
        <v>10</v>
      </c>
      <c r="B668" t="s">
        <v>697</v>
      </c>
      <c r="C668" t="s">
        <v>424</v>
      </c>
      <c r="D668" t="s">
        <v>1288</v>
      </c>
      <c r="E668" t="s">
        <v>93</v>
      </c>
      <c r="F668">
        <v>61311</v>
      </c>
      <c r="G668">
        <v>17824</v>
      </c>
      <c r="H668">
        <v>3304</v>
      </c>
      <c r="I668">
        <v>8.10447970680781E-2</v>
      </c>
      <c r="J668">
        <f t="shared" si="20"/>
        <v>0.18536804308797128</v>
      </c>
      <c r="K668">
        <f t="shared" si="21"/>
        <v>1.5023115434971391E-2</v>
      </c>
    </row>
    <row r="669" spans="1:11" x14ac:dyDescent="0.25">
      <c r="A669" t="s">
        <v>10</v>
      </c>
      <c r="B669" t="s">
        <v>698</v>
      </c>
      <c r="C669" t="s">
        <v>424</v>
      </c>
      <c r="D669" t="s">
        <v>1288</v>
      </c>
      <c r="E669" t="s">
        <v>93</v>
      </c>
      <c r="F669">
        <v>61323</v>
      </c>
      <c r="G669">
        <v>4564</v>
      </c>
      <c r="H669">
        <v>775</v>
      </c>
      <c r="I669">
        <v>0.37863479144886747</v>
      </c>
      <c r="J669">
        <f t="shared" si="20"/>
        <v>0.16980718667835232</v>
      </c>
      <c r="K669">
        <f t="shared" si="21"/>
        <v>6.4294908714476837E-2</v>
      </c>
    </row>
    <row r="670" spans="1:11" x14ac:dyDescent="0.25">
      <c r="A670" t="s">
        <v>10</v>
      </c>
      <c r="B670" t="s">
        <v>699</v>
      </c>
      <c r="C670" t="s">
        <v>424</v>
      </c>
      <c r="D670" t="s">
        <v>1288</v>
      </c>
      <c r="E670" t="s">
        <v>93</v>
      </c>
      <c r="F670">
        <v>61335</v>
      </c>
      <c r="G670">
        <v>10579</v>
      </c>
      <c r="H670">
        <v>1350</v>
      </c>
      <c r="I670">
        <v>0.3683626749837754</v>
      </c>
      <c r="J670">
        <f t="shared" si="20"/>
        <v>0.12761130541639096</v>
      </c>
      <c r="K670">
        <f t="shared" si="21"/>
        <v>4.7007241821353317E-2</v>
      </c>
    </row>
    <row r="671" spans="1:11" x14ac:dyDescent="0.25">
      <c r="A671" t="s">
        <v>10</v>
      </c>
      <c r="B671" t="s">
        <v>700</v>
      </c>
      <c r="C671" t="s">
        <v>424</v>
      </c>
      <c r="D671" t="s">
        <v>1288</v>
      </c>
      <c r="E671" t="s">
        <v>93</v>
      </c>
      <c r="F671">
        <v>61347</v>
      </c>
      <c r="G671">
        <v>3968</v>
      </c>
      <c r="H671">
        <v>120</v>
      </c>
      <c r="I671">
        <v>9.506032812901144E-2</v>
      </c>
      <c r="J671">
        <f t="shared" si="20"/>
        <v>3.0241935483870969E-2</v>
      </c>
      <c r="K671">
        <f t="shared" si="21"/>
        <v>2.8748083103531685E-3</v>
      </c>
    </row>
    <row r="672" spans="1:11" x14ac:dyDescent="0.25">
      <c r="A672" t="s">
        <v>10</v>
      </c>
      <c r="B672" t="s">
        <v>701</v>
      </c>
      <c r="C672" t="s">
        <v>424</v>
      </c>
      <c r="D672" t="s">
        <v>1288</v>
      </c>
      <c r="E672" t="s">
        <v>93</v>
      </c>
      <c r="F672">
        <v>61359</v>
      </c>
      <c r="G672">
        <v>642</v>
      </c>
      <c r="H672">
        <v>100</v>
      </c>
      <c r="I672">
        <v>8.5864215880565475E-2</v>
      </c>
      <c r="J672">
        <f t="shared" si="20"/>
        <v>0.1557632398753894</v>
      </c>
      <c r="K672">
        <f t="shared" si="21"/>
        <v>1.337448845491674E-2</v>
      </c>
    </row>
    <row r="673" spans="1:11" x14ac:dyDescent="0.25">
      <c r="A673" t="s">
        <v>10</v>
      </c>
      <c r="B673" t="s">
        <v>702</v>
      </c>
      <c r="C673" t="s">
        <v>424</v>
      </c>
      <c r="D673" t="s">
        <v>1288</v>
      </c>
      <c r="E673" t="s">
        <v>93</v>
      </c>
      <c r="F673">
        <v>61371</v>
      </c>
      <c r="G673">
        <v>1715</v>
      </c>
      <c r="H673">
        <v>247</v>
      </c>
      <c r="I673">
        <v>0.11957101207830079</v>
      </c>
      <c r="J673">
        <f t="shared" si="20"/>
        <v>0.14402332361516035</v>
      </c>
      <c r="K673">
        <f t="shared" si="21"/>
        <v>1.7221014567545361E-2</v>
      </c>
    </row>
    <row r="674" spans="1:11" x14ac:dyDescent="0.25">
      <c r="A674" t="s">
        <v>10</v>
      </c>
      <c r="B674" t="s">
        <v>703</v>
      </c>
      <c r="C674" t="s">
        <v>424</v>
      </c>
      <c r="D674" t="s">
        <v>1288</v>
      </c>
      <c r="E674" t="s">
        <v>93</v>
      </c>
      <c r="F674">
        <v>61383</v>
      </c>
      <c r="G674">
        <v>1913</v>
      </c>
      <c r="H674">
        <v>99</v>
      </c>
      <c r="I674">
        <v>0.24388735663050454</v>
      </c>
      <c r="J674">
        <f t="shared" si="20"/>
        <v>5.1751176163094617E-2</v>
      </c>
      <c r="K674">
        <f t="shared" si="21"/>
        <v>1.2621457556936722E-2</v>
      </c>
    </row>
    <row r="675" spans="1:11" x14ac:dyDescent="0.25">
      <c r="A675" t="s">
        <v>10</v>
      </c>
      <c r="B675" t="s">
        <v>704</v>
      </c>
      <c r="C675" t="s">
        <v>424</v>
      </c>
      <c r="D675" t="s">
        <v>1288</v>
      </c>
      <c r="E675" t="s">
        <v>93</v>
      </c>
      <c r="F675">
        <v>61417</v>
      </c>
      <c r="G675">
        <v>2333</v>
      </c>
      <c r="H675">
        <v>0</v>
      </c>
      <c r="I675">
        <v>4.2388319021684495E-2</v>
      </c>
      <c r="J675">
        <f t="shared" si="20"/>
        <v>0</v>
      </c>
      <c r="K675">
        <f t="shared" si="21"/>
        <v>0</v>
      </c>
    </row>
    <row r="676" spans="1:11" x14ac:dyDescent="0.25">
      <c r="A676" t="s">
        <v>10</v>
      </c>
      <c r="B676" t="s">
        <v>705</v>
      </c>
      <c r="C676" t="s">
        <v>424</v>
      </c>
      <c r="D676" t="s">
        <v>1288</v>
      </c>
      <c r="E676" t="s">
        <v>93</v>
      </c>
      <c r="F676">
        <v>61427</v>
      </c>
      <c r="G676">
        <v>5923</v>
      </c>
      <c r="H676">
        <v>0</v>
      </c>
      <c r="I676">
        <v>4.0002567371206665E-2</v>
      </c>
      <c r="J676">
        <f t="shared" si="20"/>
        <v>0</v>
      </c>
      <c r="K676">
        <f t="shared" si="21"/>
        <v>0</v>
      </c>
    </row>
    <row r="677" spans="1:11" x14ac:dyDescent="0.25">
      <c r="A677" t="s">
        <v>10</v>
      </c>
      <c r="B677" t="s">
        <v>706</v>
      </c>
      <c r="C677" t="s">
        <v>424</v>
      </c>
      <c r="D677" t="s">
        <v>1288</v>
      </c>
      <c r="E677" t="s">
        <v>93</v>
      </c>
      <c r="F677">
        <v>61434</v>
      </c>
      <c r="G677">
        <v>6808</v>
      </c>
      <c r="H677">
        <v>112</v>
      </c>
      <c r="I677">
        <v>4.8541781820793828E-2</v>
      </c>
      <c r="J677">
        <f t="shared" si="20"/>
        <v>1.6451233842538191E-2</v>
      </c>
      <c r="K677">
        <f t="shared" si="21"/>
        <v>7.9857220386734856E-4</v>
      </c>
    </row>
    <row r="678" spans="1:11" x14ac:dyDescent="0.25">
      <c r="A678" t="s">
        <v>10</v>
      </c>
      <c r="B678" t="s">
        <v>707</v>
      </c>
      <c r="C678" t="s">
        <v>424</v>
      </c>
      <c r="D678" t="s">
        <v>1288</v>
      </c>
      <c r="E678" t="s">
        <v>93</v>
      </c>
      <c r="F678">
        <v>61436</v>
      </c>
      <c r="G678">
        <v>4353</v>
      </c>
      <c r="H678">
        <v>0</v>
      </c>
      <c r="I678">
        <v>6.1498259974512193E-2</v>
      </c>
      <c r="J678">
        <f t="shared" si="20"/>
        <v>0</v>
      </c>
      <c r="K678">
        <f t="shared" si="21"/>
        <v>0</v>
      </c>
    </row>
    <row r="679" spans="1:11" x14ac:dyDescent="0.25">
      <c r="A679" t="s">
        <v>10</v>
      </c>
      <c r="B679" t="s">
        <v>708</v>
      </c>
      <c r="C679" t="s">
        <v>424</v>
      </c>
      <c r="D679" t="s">
        <v>1288</v>
      </c>
      <c r="E679" t="s">
        <v>93</v>
      </c>
      <c r="F679">
        <v>61439</v>
      </c>
      <c r="G679">
        <v>1308</v>
      </c>
      <c r="H679">
        <v>90</v>
      </c>
      <c r="I679">
        <v>4.8253252961603432E-2</v>
      </c>
      <c r="J679">
        <f t="shared" si="20"/>
        <v>6.8807339449541288E-2</v>
      </c>
      <c r="K679">
        <f t="shared" si="21"/>
        <v>3.320177956073631E-3</v>
      </c>
    </row>
    <row r="680" spans="1:11" x14ac:dyDescent="0.25">
      <c r="A680" t="s">
        <v>10</v>
      </c>
      <c r="B680" t="s">
        <v>709</v>
      </c>
      <c r="C680" t="s">
        <v>424</v>
      </c>
      <c r="D680" t="s">
        <v>1288</v>
      </c>
      <c r="E680" t="s">
        <v>93</v>
      </c>
      <c r="F680">
        <v>61444</v>
      </c>
      <c r="G680">
        <v>4849</v>
      </c>
      <c r="H680">
        <v>0</v>
      </c>
      <c r="I680">
        <v>4.5081946091917735E-2</v>
      </c>
      <c r="J680">
        <f t="shared" si="20"/>
        <v>0</v>
      </c>
      <c r="K680">
        <f t="shared" si="21"/>
        <v>0</v>
      </c>
    </row>
    <row r="681" spans="1:11" x14ac:dyDescent="0.25">
      <c r="A681" t="s">
        <v>10</v>
      </c>
      <c r="B681" t="s">
        <v>710</v>
      </c>
      <c r="C681" t="s">
        <v>424</v>
      </c>
      <c r="D681" t="s">
        <v>1288</v>
      </c>
      <c r="E681" t="s">
        <v>93</v>
      </c>
      <c r="F681">
        <v>61446</v>
      </c>
      <c r="G681">
        <v>551</v>
      </c>
      <c r="H681">
        <v>0</v>
      </c>
      <c r="I681">
        <v>7.4260173748452951E-2</v>
      </c>
      <c r="J681">
        <f t="shared" si="20"/>
        <v>0</v>
      </c>
      <c r="K681">
        <f t="shared" si="21"/>
        <v>0</v>
      </c>
    </row>
    <row r="682" spans="1:11" x14ac:dyDescent="0.25">
      <c r="A682" t="s">
        <v>10</v>
      </c>
      <c r="B682" t="s">
        <v>711</v>
      </c>
      <c r="C682" t="s">
        <v>424</v>
      </c>
      <c r="D682" t="s">
        <v>1288</v>
      </c>
      <c r="E682" t="s">
        <v>93</v>
      </c>
      <c r="F682">
        <v>61447</v>
      </c>
      <c r="G682">
        <v>1965</v>
      </c>
      <c r="H682">
        <v>0</v>
      </c>
      <c r="I682">
        <v>5.940561161966984E-2</v>
      </c>
      <c r="J682">
        <f t="shared" si="20"/>
        <v>0</v>
      </c>
      <c r="K682">
        <f t="shared" si="21"/>
        <v>0</v>
      </c>
    </row>
    <row r="683" spans="1:11" x14ac:dyDescent="0.25">
      <c r="A683" t="s">
        <v>10</v>
      </c>
      <c r="B683" t="s">
        <v>712</v>
      </c>
      <c r="C683" t="s">
        <v>424</v>
      </c>
      <c r="D683" t="s">
        <v>1288</v>
      </c>
      <c r="E683" t="s">
        <v>93</v>
      </c>
      <c r="F683">
        <v>61449</v>
      </c>
      <c r="G683">
        <v>17326</v>
      </c>
      <c r="H683">
        <v>8000</v>
      </c>
      <c r="I683">
        <v>8.0268757482894859E-2</v>
      </c>
      <c r="J683">
        <f t="shared" si="20"/>
        <v>0.46173381045827083</v>
      </c>
      <c r="K683">
        <f t="shared" si="21"/>
        <v>3.7062799253327887E-2</v>
      </c>
    </row>
    <row r="684" spans="1:11" x14ac:dyDescent="0.25">
      <c r="A684" t="s">
        <v>10</v>
      </c>
      <c r="B684" t="s">
        <v>713</v>
      </c>
      <c r="C684" t="s">
        <v>424</v>
      </c>
      <c r="D684" t="s">
        <v>1288</v>
      </c>
      <c r="E684" t="s">
        <v>93</v>
      </c>
      <c r="F684">
        <v>61451</v>
      </c>
      <c r="G684">
        <v>1610</v>
      </c>
      <c r="H684">
        <v>0</v>
      </c>
      <c r="I684">
        <v>3.2312390361962429E-2</v>
      </c>
      <c r="J684">
        <f t="shared" si="20"/>
        <v>0</v>
      </c>
      <c r="K684">
        <f t="shared" si="21"/>
        <v>0</v>
      </c>
    </row>
    <row r="685" spans="1:11" x14ac:dyDescent="0.25">
      <c r="A685" t="s">
        <v>10</v>
      </c>
      <c r="B685" t="s">
        <v>714</v>
      </c>
      <c r="C685" t="s">
        <v>424</v>
      </c>
      <c r="D685" t="s">
        <v>1288</v>
      </c>
      <c r="E685" t="s">
        <v>93</v>
      </c>
      <c r="F685">
        <v>61453</v>
      </c>
      <c r="G685">
        <v>11045</v>
      </c>
      <c r="H685">
        <v>1350</v>
      </c>
      <c r="I685">
        <v>0.42734182965835876</v>
      </c>
      <c r="J685">
        <f t="shared" si="20"/>
        <v>0.12222725215029426</v>
      </c>
      <c r="K685">
        <f t="shared" si="21"/>
        <v>5.2232817568020312E-2</v>
      </c>
    </row>
    <row r="686" spans="1:11" x14ac:dyDescent="0.25">
      <c r="A686" t="s">
        <v>10</v>
      </c>
      <c r="B686" t="s">
        <v>715</v>
      </c>
      <c r="C686" t="s">
        <v>424</v>
      </c>
      <c r="D686" t="s">
        <v>1288</v>
      </c>
      <c r="E686" t="s">
        <v>93</v>
      </c>
      <c r="F686">
        <v>61454</v>
      </c>
      <c r="G686">
        <v>2152</v>
      </c>
      <c r="H686">
        <v>5</v>
      </c>
      <c r="I686">
        <v>5.5459860843351638E-2</v>
      </c>
      <c r="J686">
        <f t="shared" si="20"/>
        <v>2.3234200743494425E-3</v>
      </c>
      <c r="K686">
        <f t="shared" si="21"/>
        <v>1.2885655400406981E-4</v>
      </c>
    </row>
    <row r="687" spans="1:11" x14ac:dyDescent="0.25">
      <c r="A687" t="s">
        <v>10</v>
      </c>
      <c r="B687" t="s">
        <v>716</v>
      </c>
      <c r="C687" t="s">
        <v>424</v>
      </c>
      <c r="D687" t="s">
        <v>1288</v>
      </c>
      <c r="E687" t="s">
        <v>93</v>
      </c>
      <c r="F687">
        <v>61459</v>
      </c>
      <c r="G687">
        <v>2896</v>
      </c>
      <c r="H687">
        <v>81</v>
      </c>
      <c r="I687">
        <v>5.3797191095772856E-2</v>
      </c>
      <c r="J687">
        <f t="shared" si="20"/>
        <v>2.796961325966851E-2</v>
      </c>
      <c r="K687">
        <f t="shared" si="21"/>
        <v>1.5046866294052491E-3</v>
      </c>
    </row>
    <row r="688" spans="1:11" x14ac:dyDescent="0.25">
      <c r="A688" t="s">
        <v>10</v>
      </c>
      <c r="B688" t="s">
        <v>717</v>
      </c>
      <c r="C688" t="s">
        <v>424</v>
      </c>
      <c r="D688" t="s">
        <v>1288</v>
      </c>
      <c r="E688" t="s">
        <v>93</v>
      </c>
      <c r="F688">
        <v>61461</v>
      </c>
      <c r="G688">
        <v>5549</v>
      </c>
      <c r="H688">
        <v>360</v>
      </c>
      <c r="I688">
        <v>4.5148457737867131E-2</v>
      </c>
      <c r="J688">
        <f t="shared" si="20"/>
        <v>6.4876554334114253E-2</v>
      </c>
      <c r="K688">
        <f t="shared" si="21"/>
        <v>2.9290763715321979E-3</v>
      </c>
    </row>
    <row r="689" spans="1:11" x14ac:dyDescent="0.25">
      <c r="A689" t="s">
        <v>10</v>
      </c>
      <c r="B689" t="s">
        <v>718</v>
      </c>
      <c r="C689" t="s">
        <v>424</v>
      </c>
      <c r="D689" t="s">
        <v>1288</v>
      </c>
      <c r="E689" t="s">
        <v>93</v>
      </c>
      <c r="F689">
        <v>61463</v>
      </c>
      <c r="G689">
        <v>3513</v>
      </c>
      <c r="H689">
        <v>225</v>
      </c>
      <c r="I689">
        <v>5.4646428525629176E-2</v>
      </c>
      <c r="J689">
        <f t="shared" si="20"/>
        <v>6.4047822374039276E-2</v>
      </c>
      <c r="K689">
        <f t="shared" si="21"/>
        <v>3.4999847475851303E-3</v>
      </c>
    </row>
    <row r="690" spans="1:11" x14ac:dyDescent="0.25">
      <c r="A690" t="s">
        <v>10</v>
      </c>
      <c r="B690" t="s">
        <v>719</v>
      </c>
      <c r="C690" t="s">
        <v>424</v>
      </c>
      <c r="D690" t="s">
        <v>1288</v>
      </c>
      <c r="E690" t="s">
        <v>93</v>
      </c>
      <c r="F690">
        <v>61464</v>
      </c>
      <c r="G690">
        <v>1953</v>
      </c>
      <c r="H690">
        <v>342</v>
      </c>
      <c r="I690">
        <v>0.48146959641395026</v>
      </c>
      <c r="J690">
        <f t="shared" si="20"/>
        <v>0.17511520737327188</v>
      </c>
      <c r="K690">
        <f t="shared" si="21"/>
        <v>8.431264821995442E-2</v>
      </c>
    </row>
    <row r="691" spans="1:11" x14ac:dyDescent="0.25">
      <c r="A691" t="s">
        <v>10</v>
      </c>
      <c r="B691" t="s">
        <v>720</v>
      </c>
      <c r="C691" t="s">
        <v>424</v>
      </c>
      <c r="D691" t="s">
        <v>1288</v>
      </c>
      <c r="E691" t="s">
        <v>93</v>
      </c>
      <c r="F691">
        <v>61466</v>
      </c>
      <c r="G691">
        <v>1481</v>
      </c>
      <c r="H691">
        <v>135</v>
      </c>
      <c r="I691">
        <v>0.53537093477715236</v>
      </c>
      <c r="J691">
        <f t="shared" si="20"/>
        <v>9.1154625253207291E-2</v>
      </c>
      <c r="K691">
        <f t="shared" si="21"/>
        <v>4.8801536931070609E-2</v>
      </c>
    </row>
    <row r="692" spans="1:11" x14ac:dyDescent="0.25">
      <c r="A692" t="s">
        <v>10</v>
      </c>
      <c r="B692" t="s">
        <v>721</v>
      </c>
      <c r="C692" t="s">
        <v>424</v>
      </c>
      <c r="D692" t="s">
        <v>1288</v>
      </c>
      <c r="E692" t="s">
        <v>93</v>
      </c>
      <c r="F692">
        <v>61471</v>
      </c>
      <c r="G692">
        <v>701</v>
      </c>
      <c r="H692">
        <v>0</v>
      </c>
      <c r="I692">
        <v>0.23856913238261335</v>
      </c>
      <c r="J692">
        <f t="shared" si="20"/>
        <v>0</v>
      </c>
      <c r="K692">
        <f t="shared" si="21"/>
        <v>0</v>
      </c>
    </row>
    <row r="693" spans="1:11" x14ac:dyDescent="0.25">
      <c r="A693" t="s">
        <v>10</v>
      </c>
      <c r="B693" t="s">
        <v>722</v>
      </c>
      <c r="C693" t="s">
        <v>424</v>
      </c>
      <c r="D693" t="s">
        <v>1288</v>
      </c>
      <c r="E693" t="s">
        <v>93</v>
      </c>
      <c r="F693">
        <v>61474</v>
      </c>
      <c r="G693">
        <v>132</v>
      </c>
      <c r="H693">
        <v>5</v>
      </c>
      <c r="I693">
        <v>0.23706711658897883</v>
      </c>
      <c r="J693">
        <f t="shared" si="20"/>
        <v>3.787878787878788E-2</v>
      </c>
      <c r="K693">
        <f t="shared" si="21"/>
        <v>8.9798150223098037E-3</v>
      </c>
    </row>
    <row r="694" spans="1:11" x14ac:dyDescent="0.25">
      <c r="A694" t="s">
        <v>10</v>
      </c>
      <c r="B694" t="s">
        <v>723</v>
      </c>
      <c r="C694" t="s">
        <v>424</v>
      </c>
      <c r="D694" t="s">
        <v>1288</v>
      </c>
      <c r="E694" t="s">
        <v>93</v>
      </c>
      <c r="F694">
        <v>61476</v>
      </c>
      <c r="G694">
        <v>792</v>
      </c>
      <c r="H694">
        <v>189</v>
      </c>
      <c r="I694">
        <v>0.28249560445415278</v>
      </c>
      <c r="J694">
        <f t="shared" si="20"/>
        <v>0.23863636363636365</v>
      </c>
      <c r="K694">
        <f t="shared" si="21"/>
        <v>6.7413723790195557E-2</v>
      </c>
    </row>
    <row r="695" spans="1:11" x14ac:dyDescent="0.25">
      <c r="A695" t="s">
        <v>10</v>
      </c>
      <c r="B695" t="s">
        <v>724</v>
      </c>
      <c r="C695" t="s">
        <v>424</v>
      </c>
      <c r="D695" t="s">
        <v>1288</v>
      </c>
      <c r="E695" t="s">
        <v>93</v>
      </c>
      <c r="F695">
        <v>61477</v>
      </c>
      <c r="G695">
        <v>1013</v>
      </c>
      <c r="H695">
        <v>500</v>
      </c>
      <c r="I695">
        <v>0.27769053596318638</v>
      </c>
      <c r="J695">
        <f t="shared" si="20"/>
        <v>0.49358341559723595</v>
      </c>
      <c r="K695">
        <f t="shared" si="21"/>
        <v>0.13706344321973662</v>
      </c>
    </row>
    <row r="696" spans="1:11" x14ac:dyDescent="0.25">
      <c r="A696" t="s">
        <v>10</v>
      </c>
      <c r="B696" t="s">
        <v>725</v>
      </c>
      <c r="C696" t="s">
        <v>424</v>
      </c>
      <c r="D696" t="s">
        <v>1288</v>
      </c>
      <c r="E696" t="s">
        <v>93</v>
      </c>
      <c r="F696">
        <v>61479</v>
      </c>
      <c r="G696">
        <v>763</v>
      </c>
      <c r="H696">
        <v>0</v>
      </c>
      <c r="I696">
        <v>7.7423966839712977E-2</v>
      </c>
      <c r="J696">
        <f t="shared" si="20"/>
        <v>0</v>
      </c>
      <c r="K696">
        <f t="shared" si="21"/>
        <v>0</v>
      </c>
    </row>
    <row r="697" spans="1:11" x14ac:dyDescent="0.25">
      <c r="A697" t="s">
        <v>10</v>
      </c>
      <c r="B697" t="s">
        <v>726</v>
      </c>
      <c r="C697" t="s">
        <v>424</v>
      </c>
      <c r="D697" t="s">
        <v>1288</v>
      </c>
      <c r="E697" t="s">
        <v>93</v>
      </c>
      <c r="F697">
        <v>61481</v>
      </c>
      <c r="G697">
        <v>1934</v>
      </c>
      <c r="H697">
        <v>400</v>
      </c>
      <c r="I697">
        <v>0.3575625940357241</v>
      </c>
      <c r="J697">
        <f t="shared" si="20"/>
        <v>0.20682523267838676</v>
      </c>
      <c r="K697">
        <f t="shared" si="21"/>
        <v>7.3952966708526177E-2</v>
      </c>
    </row>
    <row r="698" spans="1:11" x14ac:dyDescent="0.25">
      <c r="A698" t="s">
        <v>10</v>
      </c>
      <c r="B698" t="s">
        <v>727</v>
      </c>
      <c r="C698" t="s">
        <v>424</v>
      </c>
      <c r="D698" t="s">
        <v>1288</v>
      </c>
      <c r="E698" t="s">
        <v>93</v>
      </c>
      <c r="F698">
        <v>61488</v>
      </c>
      <c r="G698">
        <v>525</v>
      </c>
      <c r="H698">
        <v>180</v>
      </c>
      <c r="I698">
        <v>0.3678835538752363</v>
      </c>
      <c r="J698">
        <f t="shared" si="20"/>
        <v>0.34285714285714286</v>
      </c>
      <c r="K698">
        <f t="shared" si="21"/>
        <v>0.1261315041857953</v>
      </c>
    </row>
    <row r="699" spans="1:11" x14ac:dyDescent="0.25">
      <c r="A699" t="s">
        <v>10</v>
      </c>
      <c r="B699" t="s">
        <v>728</v>
      </c>
      <c r="C699" t="s">
        <v>424</v>
      </c>
      <c r="D699" t="s">
        <v>1288</v>
      </c>
      <c r="E699" t="s">
        <v>93</v>
      </c>
      <c r="F699">
        <v>61489</v>
      </c>
      <c r="G699">
        <v>6337</v>
      </c>
      <c r="H699">
        <v>1881</v>
      </c>
      <c r="I699">
        <v>6.1652413770910797E-2</v>
      </c>
      <c r="J699">
        <f t="shared" si="20"/>
        <v>0.29682815212245545</v>
      </c>
      <c r="K699">
        <f t="shared" si="21"/>
        <v>1.8300172053508475E-2</v>
      </c>
    </row>
    <row r="700" spans="1:11" x14ac:dyDescent="0.25">
      <c r="A700" t="s">
        <v>10</v>
      </c>
      <c r="B700" t="s">
        <v>729</v>
      </c>
      <c r="C700" t="s">
        <v>424</v>
      </c>
      <c r="D700" t="s">
        <v>1288</v>
      </c>
      <c r="E700" t="s">
        <v>93</v>
      </c>
      <c r="F700">
        <v>61491</v>
      </c>
      <c r="G700">
        <v>220</v>
      </c>
      <c r="H700">
        <v>0</v>
      </c>
      <c r="I700">
        <v>8.3086734693877506E-2</v>
      </c>
      <c r="J700">
        <f t="shared" si="20"/>
        <v>0</v>
      </c>
      <c r="K700">
        <f t="shared" si="21"/>
        <v>0</v>
      </c>
    </row>
    <row r="701" spans="1:11" x14ac:dyDescent="0.25">
      <c r="A701" t="s">
        <v>10</v>
      </c>
      <c r="B701" t="s">
        <v>730</v>
      </c>
      <c r="C701" t="s">
        <v>424</v>
      </c>
      <c r="D701" t="s">
        <v>1288</v>
      </c>
      <c r="E701" t="s">
        <v>93</v>
      </c>
      <c r="F701">
        <v>61493</v>
      </c>
      <c r="G701">
        <v>3173</v>
      </c>
      <c r="H701">
        <v>692</v>
      </c>
      <c r="I701">
        <v>0.11501789308134458</v>
      </c>
      <c r="J701">
        <f t="shared" si="20"/>
        <v>0.21809013551843681</v>
      </c>
      <c r="K701">
        <f t="shared" si="21"/>
        <v>2.5084267889155513E-2</v>
      </c>
    </row>
    <row r="702" spans="1:11" x14ac:dyDescent="0.25">
      <c r="A702" t="s">
        <v>10</v>
      </c>
      <c r="B702" t="s">
        <v>731</v>
      </c>
      <c r="C702" t="s">
        <v>424</v>
      </c>
      <c r="D702" t="s">
        <v>1288</v>
      </c>
      <c r="E702" t="s">
        <v>93</v>
      </c>
      <c r="F702">
        <v>61494</v>
      </c>
      <c r="G702">
        <v>138</v>
      </c>
      <c r="H702">
        <v>0</v>
      </c>
      <c r="I702">
        <v>0.22173918877215582</v>
      </c>
      <c r="J702">
        <f t="shared" si="20"/>
        <v>0</v>
      </c>
      <c r="K702">
        <f t="shared" si="21"/>
        <v>0</v>
      </c>
    </row>
    <row r="703" spans="1:11" x14ac:dyDescent="0.25">
      <c r="A703" t="s">
        <v>10</v>
      </c>
      <c r="B703" t="s">
        <v>302</v>
      </c>
      <c r="C703" t="s">
        <v>302</v>
      </c>
      <c r="D703" t="s">
        <v>1269</v>
      </c>
      <c r="E703" t="s">
        <v>93</v>
      </c>
      <c r="F703">
        <v>62111</v>
      </c>
      <c r="G703">
        <v>66420</v>
      </c>
      <c r="H703">
        <v>14041</v>
      </c>
      <c r="I703">
        <v>0.66690760683474881</v>
      </c>
      <c r="J703">
        <f t="shared" si="20"/>
        <v>0.21139716952725082</v>
      </c>
      <c r="K703">
        <f t="shared" si="21"/>
        <v>0.14098238042105854</v>
      </c>
    </row>
    <row r="704" spans="1:11" x14ac:dyDescent="0.25">
      <c r="A704" t="s">
        <v>10</v>
      </c>
      <c r="B704" t="s">
        <v>732</v>
      </c>
      <c r="C704" t="s">
        <v>302</v>
      </c>
      <c r="D704" t="s">
        <v>1269</v>
      </c>
      <c r="E704" t="s">
        <v>93</v>
      </c>
      <c r="F704">
        <v>62128</v>
      </c>
      <c r="G704">
        <v>35430</v>
      </c>
      <c r="H704">
        <v>0</v>
      </c>
      <c r="I704">
        <v>0.42881208347915789</v>
      </c>
      <c r="J704">
        <f t="shared" si="20"/>
        <v>0</v>
      </c>
      <c r="K704">
        <f t="shared" si="21"/>
        <v>0</v>
      </c>
    </row>
    <row r="705" spans="1:11" x14ac:dyDescent="0.25">
      <c r="A705" t="s">
        <v>10</v>
      </c>
      <c r="B705" t="s">
        <v>733</v>
      </c>
      <c r="C705" t="s">
        <v>302</v>
      </c>
      <c r="D705" t="s">
        <v>1269</v>
      </c>
      <c r="E705" t="s">
        <v>93</v>
      </c>
      <c r="F705">
        <v>62162</v>
      </c>
      <c r="G705">
        <v>3232</v>
      </c>
      <c r="H705">
        <v>0</v>
      </c>
      <c r="I705">
        <v>2.4339702108782002E-2</v>
      </c>
      <c r="J705">
        <f t="shared" si="20"/>
        <v>0</v>
      </c>
      <c r="K705">
        <f t="shared" si="21"/>
        <v>0</v>
      </c>
    </row>
    <row r="706" spans="1:11" x14ac:dyDescent="0.25">
      <c r="A706" t="s">
        <v>10</v>
      </c>
      <c r="B706" t="s">
        <v>734</v>
      </c>
      <c r="C706" t="s">
        <v>302</v>
      </c>
      <c r="D706" t="s">
        <v>1269</v>
      </c>
      <c r="E706" t="s">
        <v>93</v>
      </c>
      <c r="F706">
        <v>62179</v>
      </c>
      <c r="G706">
        <v>4541</v>
      </c>
      <c r="H706">
        <v>0</v>
      </c>
      <c r="I706">
        <v>2.3333053962476424E-2</v>
      </c>
      <c r="J706">
        <f t="shared" si="20"/>
        <v>0</v>
      </c>
      <c r="K706">
        <f t="shared" si="21"/>
        <v>0</v>
      </c>
    </row>
    <row r="707" spans="1:11" x14ac:dyDescent="0.25">
      <c r="A707" t="s">
        <v>10</v>
      </c>
      <c r="B707" t="s">
        <v>735</v>
      </c>
      <c r="C707" t="s">
        <v>302</v>
      </c>
      <c r="D707" t="s">
        <v>1269</v>
      </c>
      <c r="E707" t="s">
        <v>93</v>
      </c>
      <c r="F707">
        <v>62211</v>
      </c>
      <c r="G707">
        <v>7025</v>
      </c>
      <c r="H707">
        <v>0</v>
      </c>
      <c r="I707">
        <v>6.3543218240383559E-2</v>
      </c>
      <c r="J707">
        <f t="shared" ref="J707:J770" si="22">IF(G707=0,0,H707/G707)</f>
        <v>0</v>
      </c>
      <c r="K707">
        <f t="shared" ref="K707:K770" si="23">J707*I707</f>
        <v>0</v>
      </c>
    </row>
    <row r="708" spans="1:11" x14ac:dyDescent="0.25">
      <c r="A708" t="s">
        <v>10</v>
      </c>
      <c r="B708" t="s">
        <v>736</v>
      </c>
      <c r="C708" t="s">
        <v>302</v>
      </c>
      <c r="D708" t="s">
        <v>1269</v>
      </c>
      <c r="E708" t="s">
        <v>93</v>
      </c>
      <c r="F708">
        <v>62212</v>
      </c>
      <c r="G708">
        <v>1423</v>
      </c>
      <c r="H708">
        <v>0</v>
      </c>
      <c r="I708">
        <v>3.2980175360366015E-2</v>
      </c>
      <c r="J708">
        <f t="shared" si="22"/>
        <v>0</v>
      </c>
      <c r="K708">
        <f t="shared" si="23"/>
        <v>0</v>
      </c>
    </row>
    <row r="709" spans="1:11" x14ac:dyDescent="0.25">
      <c r="A709" t="s">
        <v>10</v>
      </c>
      <c r="B709" t="s">
        <v>737</v>
      </c>
      <c r="C709" t="s">
        <v>302</v>
      </c>
      <c r="D709" t="s">
        <v>1269</v>
      </c>
      <c r="E709" t="s">
        <v>93</v>
      </c>
      <c r="F709">
        <v>62214</v>
      </c>
      <c r="G709">
        <v>2087</v>
      </c>
      <c r="H709">
        <v>0</v>
      </c>
      <c r="I709">
        <v>1.4577472452930396E-2</v>
      </c>
      <c r="J709">
        <f t="shared" si="22"/>
        <v>0</v>
      </c>
      <c r="K709">
        <f t="shared" si="23"/>
        <v>0</v>
      </c>
    </row>
    <row r="710" spans="1:11" x14ac:dyDescent="0.25">
      <c r="A710" t="s">
        <v>10</v>
      </c>
      <c r="B710" t="s">
        <v>738</v>
      </c>
      <c r="C710" t="s">
        <v>302</v>
      </c>
      <c r="D710" t="s">
        <v>1269</v>
      </c>
      <c r="E710" t="s">
        <v>93</v>
      </c>
      <c r="F710">
        <v>62215</v>
      </c>
      <c r="G710">
        <v>1627</v>
      </c>
      <c r="H710">
        <v>0</v>
      </c>
      <c r="I710">
        <v>5.8246287045941147E-2</v>
      </c>
      <c r="J710">
        <f t="shared" si="22"/>
        <v>0</v>
      </c>
      <c r="K710">
        <f t="shared" si="23"/>
        <v>0</v>
      </c>
    </row>
    <row r="711" spans="1:11" x14ac:dyDescent="0.25">
      <c r="A711" t="s">
        <v>10</v>
      </c>
      <c r="B711" t="s">
        <v>739</v>
      </c>
      <c r="C711" t="s">
        <v>302</v>
      </c>
      <c r="D711" t="s">
        <v>1269</v>
      </c>
      <c r="E711" t="s">
        <v>93</v>
      </c>
      <c r="F711">
        <v>62217</v>
      </c>
      <c r="G711">
        <v>3519</v>
      </c>
      <c r="H711">
        <v>0</v>
      </c>
      <c r="I711">
        <v>6.0593435330104639E-2</v>
      </c>
      <c r="J711">
        <f t="shared" si="22"/>
        <v>0</v>
      </c>
      <c r="K711">
        <f t="shared" si="23"/>
        <v>0</v>
      </c>
    </row>
    <row r="712" spans="1:11" x14ac:dyDescent="0.25">
      <c r="A712" t="s">
        <v>10</v>
      </c>
      <c r="B712" t="s">
        <v>740</v>
      </c>
      <c r="C712" t="s">
        <v>302</v>
      </c>
      <c r="D712" t="s">
        <v>1269</v>
      </c>
      <c r="E712" t="s">
        <v>93</v>
      </c>
      <c r="F712">
        <v>62218</v>
      </c>
      <c r="G712">
        <v>1475</v>
      </c>
      <c r="H712">
        <v>0</v>
      </c>
      <c r="I712">
        <v>2.7765742147436878E-2</v>
      </c>
      <c r="J712">
        <f t="shared" si="22"/>
        <v>0</v>
      </c>
      <c r="K712">
        <f t="shared" si="23"/>
        <v>0</v>
      </c>
    </row>
    <row r="713" spans="1:11" x14ac:dyDescent="0.25">
      <c r="A713" t="s">
        <v>10</v>
      </c>
      <c r="B713" t="s">
        <v>741</v>
      </c>
      <c r="C713" t="s">
        <v>302</v>
      </c>
      <c r="D713" t="s">
        <v>1269</v>
      </c>
      <c r="E713" t="s">
        <v>93</v>
      </c>
      <c r="F713">
        <v>62221</v>
      </c>
      <c r="G713">
        <v>1035</v>
      </c>
      <c r="H713">
        <v>0</v>
      </c>
      <c r="I713">
        <v>6.4803618550696829E-2</v>
      </c>
      <c r="J713">
        <f t="shared" si="22"/>
        <v>0</v>
      </c>
      <c r="K713">
        <f t="shared" si="23"/>
        <v>0</v>
      </c>
    </row>
    <row r="714" spans="1:11" x14ac:dyDescent="0.25">
      <c r="A714" t="s">
        <v>10</v>
      </c>
      <c r="B714" t="s">
        <v>742</v>
      </c>
      <c r="C714" t="s">
        <v>302</v>
      </c>
      <c r="D714" t="s">
        <v>1269</v>
      </c>
      <c r="E714" t="s">
        <v>93</v>
      </c>
      <c r="F714">
        <v>62223</v>
      </c>
      <c r="G714">
        <v>1166</v>
      </c>
      <c r="H714">
        <v>0</v>
      </c>
      <c r="I714">
        <v>2.2872381846401502E-2</v>
      </c>
      <c r="J714">
        <f t="shared" si="22"/>
        <v>0</v>
      </c>
      <c r="K714">
        <f t="shared" si="23"/>
        <v>0</v>
      </c>
    </row>
    <row r="715" spans="1:11" x14ac:dyDescent="0.25">
      <c r="A715" t="s">
        <v>10</v>
      </c>
      <c r="B715" t="s">
        <v>743</v>
      </c>
      <c r="C715" t="s">
        <v>302</v>
      </c>
      <c r="D715" t="s">
        <v>1269</v>
      </c>
      <c r="E715" t="s">
        <v>93</v>
      </c>
      <c r="F715">
        <v>62224</v>
      </c>
      <c r="G715">
        <v>1545</v>
      </c>
      <c r="H715">
        <v>0</v>
      </c>
      <c r="I715">
        <v>3.7681663046606584E-2</v>
      </c>
      <c r="J715">
        <f t="shared" si="22"/>
        <v>0</v>
      </c>
      <c r="K715">
        <f t="shared" si="23"/>
        <v>0</v>
      </c>
    </row>
    <row r="716" spans="1:11" x14ac:dyDescent="0.25">
      <c r="A716" t="s">
        <v>10</v>
      </c>
      <c r="B716" t="s">
        <v>744</v>
      </c>
      <c r="C716" t="s">
        <v>302</v>
      </c>
      <c r="D716" t="s">
        <v>1269</v>
      </c>
      <c r="E716" t="s">
        <v>93</v>
      </c>
      <c r="F716">
        <v>62226</v>
      </c>
      <c r="G716">
        <v>924</v>
      </c>
      <c r="H716">
        <v>0</v>
      </c>
      <c r="I716">
        <v>2.0425832782942965E-2</v>
      </c>
      <c r="J716">
        <f t="shared" si="22"/>
        <v>0</v>
      </c>
      <c r="K716">
        <f t="shared" si="23"/>
        <v>0</v>
      </c>
    </row>
    <row r="717" spans="1:11" x14ac:dyDescent="0.25">
      <c r="A717" t="s">
        <v>10</v>
      </c>
      <c r="B717" t="s">
        <v>745</v>
      </c>
      <c r="C717" t="s">
        <v>302</v>
      </c>
      <c r="D717" t="s">
        <v>1269</v>
      </c>
      <c r="E717" t="s">
        <v>93</v>
      </c>
      <c r="F717">
        <v>62227</v>
      </c>
      <c r="G717">
        <v>1652</v>
      </c>
      <c r="H717">
        <v>0</v>
      </c>
      <c r="I717">
        <v>3.2911714775970102E-2</v>
      </c>
      <c r="J717">
        <f t="shared" si="22"/>
        <v>0</v>
      </c>
      <c r="K717">
        <f t="shared" si="23"/>
        <v>0</v>
      </c>
    </row>
    <row r="718" spans="1:11" x14ac:dyDescent="0.25">
      <c r="A718" t="s">
        <v>10</v>
      </c>
      <c r="B718" t="s">
        <v>746</v>
      </c>
      <c r="C718" t="s">
        <v>302</v>
      </c>
      <c r="D718" t="s">
        <v>1269</v>
      </c>
      <c r="E718" t="s">
        <v>93</v>
      </c>
      <c r="F718">
        <v>62229</v>
      </c>
      <c r="G718">
        <v>5587</v>
      </c>
      <c r="H718">
        <v>18</v>
      </c>
      <c r="I718">
        <v>0.22452129256285391</v>
      </c>
      <c r="J718">
        <f t="shared" si="22"/>
        <v>3.2217648111687847E-3</v>
      </c>
      <c r="K718">
        <f t="shared" si="23"/>
        <v>7.2335479973713453E-4</v>
      </c>
    </row>
    <row r="719" spans="1:11" x14ac:dyDescent="0.25">
      <c r="A719" t="s">
        <v>10</v>
      </c>
      <c r="B719" t="s">
        <v>747</v>
      </c>
      <c r="C719" t="s">
        <v>302</v>
      </c>
      <c r="D719" t="s">
        <v>1269</v>
      </c>
      <c r="E719" t="s">
        <v>93</v>
      </c>
      <c r="F719">
        <v>62231</v>
      </c>
      <c r="G719">
        <v>8485</v>
      </c>
      <c r="H719">
        <v>0</v>
      </c>
      <c r="I719">
        <v>2.4703216189241206E-2</v>
      </c>
      <c r="J719">
        <f t="shared" si="22"/>
        <v>0</v>
      </c>
      <c r="K719">
        <f t="shared" si="23"/>
        <v>0</v>
      </c>
    </row>
    <row r="720" spans="1:11" x14ac:dyDescent="0.25">
      <c r="A720" t="s">
        <v>10</v>
      </c>
      <c r="B720" t="s">
        <v>748</v>
      </c>
      <c r="C720" t="s">
        <v>302</v>
      </c>
      <c r="D720" t="s">
        <v>1269</v>
      </c>
      <c r="E720" t="s">
        <v>93</v>
      </c>
      <c r="F720">
        <v>62233</v>
      </c>
      <c r="G720">
        <v>163</v>
      </c>
      <c r="H720">
        <v>0</v>
      </c>
      <c r="I720">
        <v>0.55449913493436598</v>
      </c>
      <c r="J720">
        <f t="shared" si="22"/>
        <v>0</v>
      </c>
      <c r="K720">
        <f t="shared" si="23"/>
        <v>0</v>
      </c>
    </row>
    <row r="721" spans="1:11" x14ac:dyDescent="0.25">
      <c r="A721" t="s">
        <v>10</v>
      </c>
      <c r="B721" t="s">
        <v>749</v>
      </c>
      <c r="C721" t="s">
        <v>302</v>
      </c>
      <c r="D721" t="s">
        <v>1269</v>
      </c>
      <c r="E721" t="s">
        <v>93</v>
      </c>
      <c r="F721">
        <v>62234</v>
      </c>
      <c r="G721">
        <v>2348</v>
      </c>
      <c r="H721">
        <v>0</v>
      </c>
      <c r="I721">
        <v>3.351692289447028E-2</v>
      </c>
      <c r="J721">
        <f t="shared" si="22"/>
        <v>0</v>
      </c>
      <c r="K721">
        <f t="shared" si="23"/>
        <v>0</v>
      </c>
    </row>
    <row r="722" spans="1:11" x14ac:dyDescent="0.25">
      <c r="A722" t="s">
        <v>10</v>
      </c>
      <c r="B722" t="s">
        <v>750</v>
      </c>
      <c r="C722" t="s">
        <v>302</v>
      </c>
      <c r="D722" t="s">
        <v>1269</v>
      </c>
      <c r="E722" t="s">
        <v>93</v>
      </c>
      <c r="F722">
        <v>62236</v>
      </c>
      <c r="G722">
        <v>698</v>
      </c>
      <c r="H722">
        <v>0</v>
      </c>
      <c r="I722">
        <v>6.6346557860479605E-2</v>
      </c>
      <c r="J722">
        <f t="shared" si="22"/>
        <v>0</v>
      </c>
      <c r="K722">
        <f t="shared" si="23"/>
        <v>0</v>
      </c>
    </row>
    <row r="723" spans="1:11" x14ac:dyDescent="0.25">
      <c r="A723" t="s">
        <v>10</v>
      </c>
      <c r="B723" t="s">
        <v>751</v>
      </c>
      <c r="C723" t="s">
        <v>302</v>
      </c>
      <c r="D723" t="s">
        <v>1269</v>
      </c>
      <c r="E723" t="s">
        <v>93</v>
      </c>
      <c r="F723">
        <v>62237</v>
      </c>
      <c r="G723">
        <v>889</v>
      </c>
      <c r="H723">
        <v>0</v>
      </c>
      <c r="I723">
        <v>6.9017557780422734E-2</v>
      </c>
      <c r="J723">
        <f t="shared" si="22"/>
        <v>0</v>
      </c>
      <c r="K723">
        <f t="shared" si="23"/>
        <v>0</v>
      </c>
    </row>
    <row r="724" spans="1:11" x14ac:dyDescent="0.25">
      <c r="A724" t="s">
        <v>10</v>
      </c>
      <c r="B724" t="s">
        <v>752</v>
      </c>
      <c r="C724" t="s">
        <v>302</v>
      </c>
      <c r="D724" t="s">
        <v>1269</v>
      </c>
      <c r="E724" t="s">
        <v>93</v>
      </c>
      <c r="F724">
        <v>62239</v>
      </c>
      <c r="G724">
        <v>664</v>
      </c>
      <c r="H724">
        <v>0</v>
      </c>
      <c r="I724">
        <v>0.42397552117589854</v>
      </c>
      <c r="J724">
        <f t="shared" si="22"/>
        <v>0</v>
      </c>
      <c r="K724">
        <f t="shared" si="23"/>
        <v>0</v>
      </c>
    </row>
    <row r="725" spans="1:11" x14ac:dyDescent="0.25">
      <c r="A725" t="s">
        <v>10</v>
      </c>
      <c r="B725" t="s">
        <v>753</v>
      </c>
      <c r="C725" t="s">
        <v>302</v>
      </c>
      <c r="D725" t="s">
        <v>1269</v>
      </c>
      <c r="E725" t="s">
        <v>93</v>
      </c>
      <c r="F725">
        <v>62241</v>
      </c>
      <c r="G725">
        <v>3746</v>
      </c>
      <c r="H725">
        <v>0</v>
      </c>
      <c r="I725">
        <v>1.4354633406751915E-2</v>
      </c>
      <c r="J725">
        <f t="shared" si="22"/>
        <v>0</v>
      </c>
      <c r="K725">
        <f t="shared" si="23"/>
        <v>0</v>
      </c>
    </row>
    <row r="726" spans="1:11" x14ac:dyDescent="0.25">
      <c r="A726" t="s">
        <v>10</v>
      </c>
      <c r="B726" t="s">
        <v>754</v>
      </c>
      <c r="C726" t="s">
        <v>302</v>
      </c>
      <c r="D726" t="s">
        <v>1269</v>
      </c>
      <c r="E726" t="s">
        <v>93</v>
      </c>
      <c r="F726">
        <v>62244</v>
      </c>
      <c r="G726">
        <v>563</v>
      </c>
      <c r="H726">
        <v>0</v>
      </c>
      <c r="I726">
        <v>4.5269120796491147E-2</v>
      </c>
      <c r="J726">
        <f t="shared" si="22"/>
        <v>0</v>
      </c>
      <c r="K726">
        <f t="shared" si="23"/>
        <v>0</v>
      </c>
    </row>
    <row r="727" spans="1:11" x14ac:dyDescent="0.25">
      <c r="A727" t="s">
        <v>10</v>
      </c>
      <c r="B727" t="s">
        <v>755</v>
      </c>
      <c r="C727" t="s">
        <v>302</v>
      </c>
      <c r="D727" t="s">
        <v>1269</v>
      </c>
      <c r="E727" t="s">
        <v>93</v>
      </c>
      <c r="F727">
        <v>62246</v>
      </c>
      <c r="G727">
        <v>6460</v>
      </c>
      <c r="H727">
        <v>0</v>
      </c>
      <c r="I727">
        <v>5.4438640767969448E-2</v>
      </c>
      <c r="J727">
        <f t="shared" si="22"/>
        <v>0</v>
      </c>
      <c r="K727">
        <f t="shared" si="23"/>
        <v>0</v>
      </c>
    </row>
    <row r="728" spans="1:11" x14ac:dyDescent="0.25">
      <c r="A728" t="s">
        <v>10</v>
      </c>
      <c r="B728" t="s">
        <v>756</v>
      </c>
      <c r="C728" t="s">
        <v>302</v>
      </c>
      <c r="D728" t="s">
        <v>1269</v>
      </c>
      <c r="E728" t="s">
        <v>93</v>
      </c>
      <c r="F728">
        <v>62247</v>
      </c>
      <c r="G728">
        <v>2696</v>
      </c>
      <c r="H728">
        <v>0</v>
      </c>
      <c r="I728">
        <v>3.2324486366182792E-2</v>
      </c>
      <c r="J728">
        <f t="shared" si="22"/>
        <v>0</v>
      </c>
      <c r="K728">
        <f t="shared" si="23"/>
        <v>0</v>
      </c>
    </row>
    <row r="729" spans="1:11" x14ac:dyDescent="0.25">
      <c r="A729" t="s">
        <v>10</v>
      </c>
      <c r="B729" t="s">
        <v>757</v>
      </c>
      <c r="C729" t="s">
        <v>302</v>
      </c>
      <c r="D729" t="s">
        <v>1269</v>
      </c>
      <c r="E729" t="s">
        <v>93</v>
      </c>
      <c r="F729">
        <v>62251</v>
      </c>
      <c r="G729">
        <v>1955</v>
      </c>
      <c r="H729">
        <v>0</v>
      </c>
      <c r="I729">
        <v>6.7029874963760672E-2</v>
      </c>
      <c r="J729">
        <f t="shared" si="22"/>
        <v>0</v>
      </c>
      <c r="K729">
        <f t="shared" si="23"/>
        <v>0</v>
      </c>
    </row>
    <row r="730" spans="1:11" x14ac:dyDescent="0.25">
      <c r="A730" t="s">
        <v>10</v>
      </c>
      <c r="B730" t="s">
        <v>758</v>
      </c>
      <c r="C730" t="s">
        <v>302</v>
      </c>
      <c r="D730" t="s">
        <v>1269</v>
      </c>
      <c r="E730" t="s">
        <v>93</v>
      </c>
      <c r="F730">
        <v>62253</v>
      </c>
      <c r="G730">
        <v>4204</v>
      </c>
      <c r="H730">
        <v>0</v>
      </c>
      <c r="I730">
        <v>4.0092636836628781E-2</v>
      </c>
      <c r="J730">
        <f t="shared" si="22"/>
        <v>0</v>
      </c>
      <c r="K730">
        <f t="shared" si="23"/>
        <v>0</v>
      </c>
    </row>
    <row r="731" spans="1:11" x14ac:dyDescent="0.25">
      <c r="A731" t="s">
        <v>10</v>
      </c>
      <c r="B731" t="s">
        <v>759</v>
      </c>
      <c r="C731" t="s">
        <v>302</v>
      </c>
      <c r="D731" t="s">
        <v>1269</v>
      </c>
      <c r="E731" t="s">
        <v>93</v>
      </c>
      <c r="F731">
        <v>62254</v>
      </c>
      <c r="G731">
        <v>5432</v>
      </c>
      <c r="H731">
        <v>0</v>
      </c>
      <c r="I731">
        <v>0.33561529653578981</v>
      </c>
      <c r="J731">
        <f t="shared" si="22"/>
        <v>0</v>
      </c>
      <c r="K731">
        <f t="shared" si="23"/>
        <v>0</v>
      </c>
    </row>
    <row r="732" spans="1:11" x14ac:dyDescent="0.25">
      <c r="A732" t="s">
        <v>10</v>
      </c>
      <c r="B732" t="s">
        <v>760</v>
      </c>
      <c r="C732" t="s">
        <v>302</v>
      </c>
      <c r="D732" t="s">
        <v>1269</v>
      </c>
      <c r="E732" t="s">
        <v>93</v>
      </c>
      <c r="F732">
        <v>62256</v>
      </c>
      <c r="G732">
        <v>605</v>
      </c>
      <c r="H732">
        <v>0</v>
      </c>
      <c r="I732">
        <v>5.6418308089236202E-2</v>
      </c>
      <c r="J732">
        <f t="shared" si="22"/>
        <v>0</v>
      </c>
      <c r="K732">
        <f t="shared" si="23"/>
        <v>0</v>
      </c>
    </row>
    <row r="733" spans="1:11" x14ac:dyDescent="0.25">
      <c r="A733" t="s">
        <v>10</v>
      </c>
      <c r="B733" t="s">
        <v>761</v>
      </c>
      <c r="C733" t="s">
        <v>302</v>
      </c>
      <c r="D733" t="s">
        <v>1269</v>
      </c>
      <c r="E733" t="s">
        <v>93</v>
      </c>
      <c r="F733">
        <v>62259</v>
      </c>
      <c r="G733">
        <v>1833</v>
      </c>
      <c r="H733">
        <v>0</v>
      </c>
      <c r="I733">
        <v>4.0519907268816047E-2</v>
      </c>
      <c r="J733">
        <f t="shared" si="22"/>
        <v>0</v>
      </c>
      <c r="K733">
        <f t="shared" si="23"/>
        <v>0</v>
      </c>
    </row>
    <row r="734" spans="1:11" x14ac:dyDescent="0.25">
      <c r="A734" t="s">
        <v>10</v>
      </c>
      <c r="B734" t="s">
        <v>762</v>
      </c>
      <c r="C734" t="s">
        <v>302</v>
      </c>
      <c r="D734" t="s">
        <v>1269</v>
      </c>
      <c r="E734" t="s">
        <v>93</v>
      </c>
      <c r="F734">
        <v>62261</v>
      </c>
      <c r="G734">
        <v>2597</v>
      </c>
      <c r="H734">
        <v>0</v>
      </c>
      <c r="I734">
        <v>2.7342478189612773E-2</v>
      </c>
      <c r="J734">
        <f t="shared" si="22"/>
        <v>0</v>
      </c>
      <c r="K734">
        <f t="shared" si="23"/>
        <v>0</v>
      </c>
    </row>
    <row r="735" spans="1:11" x14ac:dyDescent="0.25">
      <c r="A735" t="s">
        <v>10</v>
      </c>
      <c r="B735" t="s">
        <v>763</v>
      </c>
      <c r="C735" t="s">
        <v>302</v>
      </c>
      <c r="D735" t="s">
        <v>1269</v>
      </c>
      <c r="E735" t="s">
        <v>93</v>
      </c>
      <c r="F735">
        <v>62263</v>
      </c>
      <c r="G735">
        <v>3644</v>
      </c>
      <c r="H735">
        <v>0</v>
      </c>
      <c r="I735">
        <v>2.8711823096090661E-2</v>
      </c>
      <c r="J735">
        <f t="shared" si="22"/>
        <v>0</v>
      </c>
      <c r="K735">
        <f t="shared" si="23"/>
        <v>0</v>
      </c>
    </row>
    <row r="736" spans="1:11" x14ac:dyDescent="0.25">
      <c r="A736" t="s">
        <v>10</v>
      </c>
      <c r="B736" t="s">
        <v>764</v>
      </c>
      <c r="C736" t="s">
        <v>302</v>
      </c>
      <c r="D736" t="s">
        <v>1269</v>
      </c>
      <c r="E736" t="s">
        <v>93</v>
      </c>
      <c r="F736">
        <v>62264</v>
      </c>
      <c r="G736">
        <v>1594</v>
      </c>
      <c r="H736">
        <v>0</v>
      </c>
      <c r="I736">
        <v>4.3288797660595457E-2</v>
      </c>
      <c r="J736">
        <f t="shared" si="22"/>
        <v>0</v>
      </c>
      <c r="K736">
        <f t="shared" si="23"/>
        <v>0</v>
      </c>
    </row>
    <row r="737" spans="1:11" x14ac:dyDescent="0.25">
      <c r="A737" t="s">
        <v>10</v>
      </c>
      <c r="B737" t="s">
        <v>765</v>
      </c>
      <c r="C737" t="s">
        <v>302</v>
      </c>
      <c r="D737" t="s">
        <v>1269</v>
      </c>
      <c r="E737" t="s">
        <v>93</v>
      </c>
      <c r="F737" s="6">
        <v>62266</v>
      </c>
      <c r="G737">
        <v>3958</v>
      </c>
      <c r="H737">
        <v>0</v>
      </c>
      <c r="I737">
        <v>3.602247286536131E-2</v>
      </c>
      <c r="J737">
        <f t="shared" si="22"/>
        <v>0</v>
      </c>
      <c r="K737">
        <f t="shared" si="23"/>
        <v>0</v>
      </c>
    </row>
    <row r="738" spans="1:11" x14ac:dyDescent="0.25">
      <c r="A738" t="s">
        <v>10</v>
      </c>
      <c r="B738" t="s">
        <v>766</v>
      </c>
      <c r="C738" t="s">
        <v>302</v>
      </c>
      <c r="D738" t="s">
        <v>1269</v>
      </c>
      <c r="E738" t="s">
        <v>93</v>
      </c>
      <c r="F738">
        <v>62269</v>
      </c>
      <c r="G738">
        <v>1244</v>
      </c>
      <c r="H738">
        <v>0</v>
      </c>
      <c r="I738">
        <v>4.479740906258789E-2</v>
      </c>
      <c r="J738">
        <f t="shared" si="22"/>
        <v>0</v>
      </c>
      <c r="K738">
        <f t="shared" si="23"/>
        <v>0</v>
      </c>
    </row>
    <row r="739" spans="1:11" x14ac:dyDescent="0.25">
      <c r="A739" t="s">
        <v>10</v>
      </c>
      <c r="B739" t="s">
        <v>767</v>
      </c>
      <c r="C739" t="s">
        <v>302</v>
      </c>
      <c r="D739" t="s">
        <v>1269</v>
      </c>
      <c r="E739" t="s">
        <v>93</v>
      </c>
      <c r="F739">
        <v>62271</v>
      </c>
      <c r="G739">
        <v>1968</v>
      </c>
      <c r="H739">
        <v>0</v>
      </c>
      <c r="I739">
        <v>3.823828088179837E-2</v>
      </c>
      <c r="J739">
        <f t="shared" si="22"/>
        <v>0</v>
      </c>
      <c r="K739">
        <f t="shared" si="23"/>
        <v>0</v>
      </c>
    </row>
    <row r="740" spans="1:11" x14ac:dyDescent="0.25">
      <c r="A740" t="s">
        <v>10</v>
      </c>
      <c r="B740" t="s">
        <v>768</v>
      </c>
      <c r="C740" t="s">
        <v>302</v>
      </c>
      <c r="D740" t="s">
        <v>1269</v>
      </c>
      <c r="E740" t="s">
        <v>93</v>
      </c>
      <c r="F740">
        <v>62274</v>
      </c>
      <c r="G740">
        <v>1436</v>
      </c>
      <c r="H740">
        <v>0</v>
      </c>
      <c r="I740">
        <v>4.7415586907911589E-2</v>
      </c>
      <c r="J740">
        <f t="shared" si="22"/>
        <v>0</v>
      </c>
      <c r="K740">
        <f t="shared" si="23"/>
        <v>0</v>
      </c>
    </row>
    <row r="741" spans="1:11" x14ac:dyDescent="0.25">
      <c r="A741" t="s">
        <v>10</v>
      </c>
      <c r="B741" t="s">
        <v>769</v>
      </c>
      <c r="C741" t="s">
        <v>302</v>
      </c>
      <c r="D741" t="s">
        <v>1269</v>
      </c>
      <c r="E741" t="s">
        <v>93</v>
      </c>
      <c r="F741">
        <v>62276</v>
      </c>
      <c r="G741">
        <v>15540</v>
      </c>
      <c r="H741">
        <v>0</v>
      </c>
      <c r="I741">
        <v>6.2957287727013367E-2</v>
      </c>
      <c r="J741">
        <f t="shared" si="22"/>
        <v>0</v>
      </c>
      <c r="K741">
        <f t="shared" si="23"/>
        <v>0</v>
      </c>
    </row>
    <row r="742" spans="1:11" x14ac:dyDescent="0.25">
      <c r="A742" t="s">
        <v>10</v>
      </c>
      <c r="B742" t="s">
        <v>770</v>
      </c>
      <c r="C742" t="s">
        <v>302</v>
      </c>
      <c r="D742" t="s">
        <v>1269</v>
      </c>
      <c r="E742" t="s">
        <v>93</v>
      </c>
      <c r="F742">
        <v>62277</v>
      </c>
      <c r="G742">
        <v>2467</v>
      </c>
      <c r="H742">
        <v>0</v>
      </c>
      <c r="I742">
        <v>1.6399111486887441E-2</v>
      </c>
      <c r="J742">
        <f t="shared" si="22"/>
        <v>0</v>
      </c>
      <c r="K742">
        <f t="shared" si="23"/>
        <v>0</v>
      </c>
    </row>
    <row r="743" spans="1:11" x14ac:dyDescent="0.25">
      <c r="A743" t="s">
        <v>10</v>
      </c>
      <c r="B743" t="s">
        <v>771</v>
      </c>
      <c r="C743" t="s">
        <v>302</v>
      </c>
      <c r="D743" t="s">
        <v>1269</v>
      </c>
      <c r="E743" t="s">
        <v>93</v>
      </c>
      <c r="F743">
        <v>62279</v>
      </c>
      <c r="G743">
        <v>1226</v>
      </c>
      <c r="H743">
        <v>0</v>
      </c>
      <c r="I743">
        <v>2.9593562190745271E-2</v>
      </c>
      <c r="J743">
        <f t="shared" si="22"/>
        <v>0</v>
      </c>
      <c r="K743">
        <f t="shared" si="23"/>
        <v>0</v>
      </c>
    </row>
    <row r="744" spans="1:11" x14ac:dyDescent="0.25">
      <c r="A744" t="s">
        <v>10</v>
      </c>
      <c r="B744" t="s">
        <v>772</v>
      </c>
      <c r="C744" t="s">
        <v>302</v>
      </c>
      <c r="D744" t="s">
        <v>1269</v>
      </c>
      <c r="E744" t="s">
        <v>93</v>
      </c>
      <c r="F744">
        <v>62283</v>
      </c>
      <c r="G744">
        <v>4657</v>
      </c>
      <c r="H744">
        <v>0</v>
      </c>
      <c r="I744">
        <v>2.9369375394644348E-2</v>
      </c>
      <c r="J744">
        <f t="shared" si="22"/>
        <v>0</v>
      </c>
      <c r="K744">
        <f t="shared" si="23"/>
        <v>0</v>
      </c>
    </row>
    <row r="745" spans="1:11" x14ac:dyDescent="0.25">
      <c r="A745" t="s">
        <v>10</v>
      </c>
      <c r="B745" t="s">
        <v>773</v>
      </c>
      <c r="C745" t="s">
        <v>302</v>
      </c>
      <c r="D745" t="s">
        <v>1269</v>
      </c>
      <c r="E745" t="s">
        <v>93</v>
      </c>
      <c r="F745">
        <v>62285</v>
      </c>
      <c r="G745">
        <v>494</v>
      </c>
      <c r="H745">
        <v>0</v>
      </c>
      <c r="I745">
        <v>3.3826095633528896E-2</v>
      </c>
      <c r="J745">
        <f t="shared" si="22"/>
        <v>0</v>
      </c>
      <c r="K745">
        <f t="shared" si="23"/>
        <v>0</v>
      </c>
    </row>
    <row r="746" spans="1:11" x14ac:dyDescent="0.25">
      <c r="A746" t="s">
        <v>10</v>
      </c>
      <c r="B746" t="s">
        <v>774</v>
      </c>
      <c r="C746" t="s">
        <v>302</v>
      </c>
      <c r="D746" t="s">
        <v>1269</v>
      </c>
      <c r="E746" t="s">
        <v>93</v>
      </c>
      <c r="F746">
        <v>62286</v>
      </c>
      <c r="G746">
        <v>1215</v>
      </c>
      <c r="H746">
        <v>0</v>
      </c>
      <c r="I746">
        <v>2.475916838842962E-2</v>
      </c>
      <c r="J746">
        <f t="shared" si="22"/>
        <v>0</v>
      </c>
      <c r="K746">
        <f t="shared" si="23"/>
        <v>0</v>
      </c>
    </row>
    <row r="747" spans="1:11" x14ac:dyDescent="0.25">
      <c r="A747" t="s">
        <v>10</v>
      </c>
      <c r="B747" t="s">
        <v>775</v>
      </c>
      <c r="C747" t="s">
        <v>302</v>
      </c>
      <c r="D747" t="s">
        <v>1269</v>
      </c>
      <c r="E747" t="s">
        <v>93</v>
      </c>
      <c r="F747">
        <v>62287</v>
      </c>
      <c r="G747">
        <v>3678</v>
      </c>
      <c r="H747">
        <v>0</v>
      </c>
      <c r="I747">
        <v>4.7395579490666417E-2</v>
      </c>
      <c r="J747">
        <f t="shared" si="22"/>
        <v>0</v>
      </c>
      <c r="K747">
        <f t="shared" si="23"/>
        <v>0</v>
      </c>
    </row>
    <row r="748" spans="1:11" x14ac:dyDescent="0.25">
      <c r="A748" t="s">
        <v>10</v>
      </c>
      <c r="B748" t="s">
        <v>776</v>
      </c>
      <c r="C748" t="s">
        <v>302</v>
      </c>
      <c r="D748" t="s">
        <v>1269</v>
      </c>
      <c r="E748" t="s">
        <v>93</v>
      </c>
      <c r="F748">
        <v>62291</v>
      </c>
      <c r="G748">
        <v>4755</v>
      </c>
      <c r="H748">
        <v>0</v>
      </c>
      <c r="I748">
        <v>5.8769513314967714E-2</v>
      </c>
      <c r="J748">
        <f t="shared" si="22"/>
        <v>0</v>
      </c>
      <c r="K748">
        <f t="shared" si="23"/>
        <v>0</v>
      </c>
    </row>
    <row r="749" spans="1:11" x14ac:dyDescent="0.25">
      <c r="A749" t="s">
        <v>10</v>
      </c>
      <c r="B749" t="s">
        <v>777</v>
      </c>
      <c r="C749" t="s">
        <v>302</v>
      </c>
      <c r="D749" t="s">
        <v>1269</v>
      </c>
      <c r="E749" t="s">
        <v>93</v>
      </c>
      <c r="F749">
        <v>62292</v>
      </c>
      <c r="G749">
        <v>370</v>
      </c>
      <c r="H749">
        <v>0</v>
      </c>
      <c r="I749">
        <v>3.6823451436957755E-2</v>
      </c>
      <c r="J749">
        <f t="shared" si="22"/>
        <v>0</v>
      </c>
      <c r="K749">
        <f t="shared" si="23"/>
        <v>0</v>
      </c>
    </row>
    <row r="750" spans="1:11" x14ac:dyDescent="0.25">
      <c r="A750" t="s">
        <v>10</v>
      </c>
      <c r="B750" t="s">
        <v>778</v>
      </c>
      <c r="C750" t="s">
        <v>302</v>
      </c>
      <c r="D750" t="s">
        <v>1269</v>
      </c>
      <c r="E750" t="s">
        <v>93</v>
      </c>
      <c r="F750">
        <v>62293</v>
      </c>
      <c r="G750">
        <v>903</v>
      </c>
      <c r="H750">
        <v>0</v>
      </c>
      <c r="I750">
        <v>0.16964792955434915</v>
      </c>
      <c r="J750">
        <f t="shared" si="22"/>
        <v>0</v>
      </c>
      <c r="K750">
        <f t="shared" si="23"/>
        <v>0</v>
      </c>
    </row>
    <row r="751" spans="1:11" x14ac:dyDescent="0.25">
      <c r="A751" t="s">
        <v>10</v>
      </c>
      <c r="B751" t="s">
        <v>779</v>
      </c>
      <c r="C751" t="s">
        <v>302</v>
      </c>
      <c r="D751" t="s">
        <v>1269</v>
      </c>
      <c r="E751" t="s">
        <v>93</v>
      </c>
      <c r="F751">
        <v>62295</v>
      </c>
      <c r="G751">
        <v>631</v>
      </c>
      <c r="H751">
        <v>0</v>
      </c>
      <c r="I751">
        <v>6.3618053396555907E-2</v>
      </c>
      <c r="J751">
        <f t="shared" si="22"/>
        <v>0</v>
      </c>
      <c r="K751">
        <f t="shared" si="23"/>
        <v>0</v>
      </c>
    </row>
    <row r="752" spans="1:11" x14ac:dyDescent="0.25">
      <c r="A752" t="s">
        <v>10</v>
      </c>
      <c r="B752" t="s">
        <v>780</v>
      </c>
      <c r="C752" t="s">
        <v>302</v>
      </c>
      <c r="D752" t="s">
        <v>1269</v>
      </c>
      <c r="E752" t="s">
        <v>93</v>
      </c>
      <c r="F752">
        <v>62296</v>
      </c>
      <c r="G752">
        <v>2682</v>
      </c>
      <c r="H752">
        <v>0</v>
      </c>
      <c r="I752">
        <v>2.4576078381267963E-2</v>
      </c>
      <c r="J752">
        <f t="shared" si="22"/>
        <v>0</v>
      </c>
      <c r="K752">
        <f t="shared" si="23"/>
        <v>0</v>
      </c>
    </row>
    <row r="753" spans="1:11" x14ac:dyDescent="0.25">
      <c r="A753" t="s">
        <v>10</v>
      </c>
      <c r="B753" t="s">
        <v>781</v>
      </c>
      <c r="C753" t="s">
        <v>302</v>
      </c>
      <c r="D753" t="s">
        <v>1269</v>
      </c>
      <c r="E753" t="s">
        <v>93</v>
      </c>
      <c r="F753">
        <v>62297</v>
      </c>
      <c r="G753">
        <v>1085</v>
      </c>
      <c r="H753">
        <v>0</v>
      </c>
      <c r="I753">
        <v>9.0320262668158735E-3</v>
      </c>
      <c r="J753">
        <f t="shared" si="22"/>
        <v>0</v>
      </c>
      <c r="K753">
        <f t="shared" si="23"/>
        <v>0</v>
      </c>
    </row>
    <row r="754" spans="1:11" x14ac:dyDescent="0.25">
      <c r="A754" t="s">
        <v>10</v>
      </c>
      <c r="B754" t="s">
        <v>782</v>
      </c>
      <c r="C754" t="s">
        <v>302</v>
      </c>
      <c r="D754" t="s">
        <v>1269</v>
      </c>
      <c r="E754" t="s">
        <v>93</v>
      </c>
      <c r="F754">
        <v>62298</v>
      </c>
      <c r="G754">
        <v>232</v>
      </c>
      <c r="H754">
        <v>0</v>
      </c>
      <c r="I754">
        <v>9.2483004526857981E-2</v>
      </c>
      <c r="J754">
        <f t="shared" si="22"/>
        <v>0</v>
      </c>
      <c r="K754">
        <f t="shared" si="23"/>
        <v>0</v>
      </c>
    </row>
    <row r="755" spans="1:11" x14ac:dyDescent="0.25">
      <c r="A755" t="s">
        <v>10</v>
      </c>
      <c r="B755" t="s">
        <v>783</v>
      </c>
      <c r="C755" t="s">
        <v>302</v>
      </c>
      <c r="D755" t="s">
        <v>1269</v>
      </c>
      <c r="E755" t="s">
        <v>93</v>
      </c>
      <c r="F755">
        <v>62308</v>
      </c>
      <c r="G755">
        <v>1330</v>
      </c>
      <c r="H755">
        <v>0</v>
      </c>
      <c r="I755">
        <v>8.750394335420375E-2</v>
      </c>
      <c r="J755">
        <f t="shared" si="22"/>
        <v>0</v>
      </c>
      <c r="K755">
        <f t="shared" si="23"/>
        <v>0</v>
      </c>
    </row>
    <row r="756" spans="1:11" x14ac:dyDescent="0.25">
      <c r="A756" t="s">
        <v>10</v>
      </c>
      <c r="B756" t="s">
        <v>784</v>
      </c>
      <c r="C756" t="s">
        <v>302</v>
      </c>
      <c r="D756" t="s">
        <v>1269</v>
      </c>
      <c r="E756" t="s">
        <v>93</v>
      </c>
      <c r="F756">
        <v>62311</v>
      </c>
      <c r="G756">
        <v>1629</v>
      </c>
      <c r="H756">
        <v>0</v>
      </c>
      <c r="I756">
        <v>8.4557359981218494E-2</v>
      </c>
      <c r="J756">
        <f t="shared" si="22"/>
        <v>0</v>
      </c>
      <c r="K756">
        <f t="shared" si="23"/>
        <v>0</v>
      </c>
    </row>
    <row r="757" spans="1:11" x14ac:dyDescent="0.25">
      <c r="A757" t="s">
        <v>10</v>
      </c>
      <c r="B757" t="s">
        <v>785</v>
      </c>
      <c r="C757" t="s">
        <v>302</v>
      </c>
      <c r="D757" t="s">
        <v>1269</v>
      </c>
      <c r="E757" t="s">
        <v>93</v>
      </c>
      <c r="F757">
        <v>62312</v>
      </c>
      <c r="G757">
        <v>1788</v>
      </c>
      <c r="H757">
        <v>0</v>
      </c>
      <c r="I757">
        <v>0.20632378172602783</v>
      </c>
      <c r="J757">
        <f t="shared" si="22"/>
        <v>0</v>
      </c>
      <c r="K757">
        <f t="shared" si="23"/>
        <v>0</v>
      </c>
    </row>
    <row r="758" spans="1:11" x14ac:dyDescent="0.25">
      <c r="A758" t="s">
        <v>10</v>
      </c>
      <c r="B758" t="s">
        <v>786</v>
      </c>
      <c r="C758" t="s">
        <v>302</v>
      </c>
      <c r="D758" t="s">
        <v>1269</v>
      </c>
      <c r="E758" t="s">
        <v>93</v>
      </c>
      <c r="F758">
        <v>62316</v>
      </c>
      <c r="G758">
        <v>1312</v>
      </c>
      <c r="H758">
        <v>0</v>
      </c>
      <c r="I758">
        <v>0.66004057599407884</v>
      </c>
      <c r="J758">
        <f t="shared" si="22"/>
        <v>0</v>
      </c>
      <c r="K758">
        <f t="shared" si="23"/>
        <v>0</v>
      </c>
    </row>
    <row r="759" spans="1:11" x14ac:dyDescent="0.25">
      <c r="A759" t="s">
        <v>10</v>
      </c>
      <c r="B759" t="s">
        <v>787</v>
      </c>
      <c r="C759" t="s">
        <v>302</v>
      </c>
      <c r="D759" t="s">
        <v>1269</v>
      </c>
      <c r="E759" t="s">
        <v>93</v>
      </c>
      <c r="F759">
        <v>62321</v>
      </c>
      <c r="G759">
        <v>234</v>
      </c>
      <c r="H759">
        <v>0</v>
      </c>
      <c r="I759">
        <v>4.8229375392368601E-2</v>
      </c>
      <c r="J759">
        <f t="shared" si="22"/>
        <v>0</v>
      </c>
      <c r="K759">
        <f t="shared" si="23"/>
        <v>0</v>
      </c>
    </row>
    <row r="760" spans="1:11" x14ac:dyDescent="0.25">
      <c r="A760" t="s">
        <v>10</v>
      </c>
      <c r="B760" t="s">
        <v>788</v>
      </c>
      <c r="C760" t="s">
        <v>302</v>
      </c>
      <c r="D760" t="s">
        <v>1269</v>
      </c>
      <c r="E760" t="s">
        <v>93</v>
      </c>
      <c r="F760">
        <v>62341</v>
      </c>
      <c r="G760">
        <v>586</v>
      </c>
      <c r="H760">
        <v>0</v>
      </c>
      <c r="I760">
        <v>7.1476843100189202E-2</v>
      </c>
      <c r="J760">
        <f t="shared" si="22"/>
        <v>0</v>
      </c>
      <c r="K760">
        <f t="shared" si="23"/>
        <v>0</v>
      </c>
    </row>
    <row r="761" spans="1:11" x14ac:dyDescent="0.25">
      <c r="A761" t="s">
        <v>10</v>
      </c>
      <c r="B761" t="s">
        <v>789</v>
      </c>
      <c r="C761" t="s">
        <v>302</v>
      </c>
      <c r="D761" t="s">
        <v>1269</v>
      </c>
      <c r="E761" t="s">
        <v>93</v>
      </c>
      <c r="F761">
        <v>62351</v>
      </c>
      <c r="G761">
        <v>70</v>
      </c>
      <c r="H761">
        <v>0</v>
      </c>
      <c r="I761">
        <v>9.119897959183676E-2</v>
      </c>
      <c r="J761">
        <f t="shared" si="22"/>
        <v>0</v>
      </c>
      <c r="K761">
        <f t="shared" si="23"/>
        <v>0</v>
      </c>
    </row>
    <row r="762" spans="1:11" x14ac:dyDescent="0.25">
      <c r="A762" t="s">
        <v>10</v>
      </c>
      <c r="B762" t="s">
        <v>92</v>
      </c>
      <c r="C762" t="s">
        <v>92</v>
      </c>
      <c r="D762" t="s">
        <v>1332</v>
      </c>
      <c r="E762" t="s">
        <v>93</v>
      </c>
      <c r="F762">
        <v>63111</v>
      </c>
      <c r="G762">
        <v>7597</v>
      </c>
      <c r="H762">
        <v>2009</v>
      </c>
      <c r="I762">
        <v>0.29956545579292559</v>
      </c>
      <c r="J762">
        <f t="shared" si="22"/>
        <v>0.26444649203633014</v>
      </c>
      <c r="K762">
        <f t="shared" si="23"/>
        <v>7.9219033919703502E-2</v>
      </c>
    </row>
    <row r="763" spans="1:11" x14ac:dyDescent="0.25">
      <c r="A763" t="s">
        <v>10</v>
      </c>
      <c r="B763" t="s">
        <v>790</v>
      </c>
      <c r="C763" t="s">
        <v>92</v>
      </c>
      <c r="D763" t="s">
        <v>1332</v>
      </c>
      <c r="E763" t="s">
        <v>93</v>
      </c>
      <c r="F763">
        <v>63114</v>
      </c>
      <c r="G763">
        <v>557</v>
      </c>
      <c r="H763">
        <v>30</v>
      </c>
      <c r="I763">
        <v>0.21760977118119951</v>
      </c>
      <c r="J763">
        <f t="shared" si="22"/>
        <v>5.385996409335727E-2</v>
      </c>
      <c r="K763">
        <f t="shared" si="23"/>
        <v>1.1720454462183097E-2</v>
      </c>
    </row>
    <row r="764" spans="1:11" x14ac:dyDescent="0.25">
      <c r="A764" t="s">
        <v>10</v>
      </c>
      <c r="B764" t="s">
        <v>791</v>
      </c>
      <c r="C764" t="s">
        <v>92</v>
      </c>
      <c r="D764" t="s">
        <v>1332</v>
      </c>
      <c r="E764" t="s">
        <v>93</v>
      </c>
      <c r="F764">
        <v>63121</v>
      </c>
      <c r="G764">
        <v>309</v>
      </c>
      <c r="H764">
        <v>55</v>
      </c>
      <c r="I764">
        <v>0.51440625269715734</v>
      </c>
      <c r="J764">
        <f t="shared" si="22"/>
        <v>0.17799352750809061</v>
      </c>
      <c r="K764">
        <f t="shared" si="23"/>
        <v>9.156098348978528E-2</v>
      </c>
    </row>
    <row r="765" spans="1:11" x14ac:dyDescent="0.25">
      <c r="A765" t="s">
        <v>10</v>
      </c>
      <c r="B765" t="s">
        <v>792</v>
      </c>
      <c r="C765" t="s">
        <v>92</v>
      </c>
      <c r="D765" t="s">
        <v>1332</v>
      </c>
      <c r="E765" t="s">
        <v>93</v>
      </c>
      <c r="F765">
        <v>63124</v>
      </c>
      <c r="G765">
        <v>1112</v>
      </c>
      <c r="H765">
        <v>247</v>
      </c>
      <c r="I765">
        <v>0.28853060009993226</v>
      </c>
      <c r="J765">
        <f t="shared" si="22"/>
        <v>0.22212230215827339</v>
      </c>
      <c r="K765">
        <f t="shared" si="23"/>
        <v>6.4089081137305104E-2</v>
      </c>
    </row>
    <row r="766" spans="1:11" x14ac:dyDescent="0.25">
      <c r="A766" t="s">
        <v>10</v>
      </c>
      <c r="B766" t="s">
        <v>793</v>
      </c>
      <c r="C766" t="s">
        <v>92</v>
      </c>
      <c r="D766" t="s">
        <v>1332</v>
      </c>
      <c r="E766" t="s">
        <v>93</v>
      </c>
      <c r="F766">
        <v>63127</v>
      </c>
      <c r="G766">
        <v>419</v>
      </c>
      <c r="H766">
        <v>93</v>
      </c>
      <c r="I766">
        <v>0.2195061728395058</v>
      </c>
      <c r="J766">
        <f t="shared" si="22"/>
        <v>0.22195704057279236</v>
      </c>
      <c r="K766">
        <f t="shared" si="23"/>
        <v>4.8720940510916563E-2</v>
      </c>
    </row>
    <row r="767" spans="1:11" x14ac:dyDescent="0.25">
      <c r="A767" t="s">
        <v>10</v>
      </c>
      <c r="B767" t="s">
        <v>794</v>
      </c>
      <c r="C767" t="s">
        <v>92</v>
      </c>
      <c r="D767" t="s">
        <v>1332</v>
      </c>
      <c r="E767" t="s">
        <v>93</v>
      </c>
      <c r="F767">
        <v>63134</v>
      </c>
      <c r="G767">
        <v>149</v>
      </c>
      <c r="H767">
        <v>9</v>
      </c>
      <c r="I767">
        <v>0.21905234060453094</v>
      </c>
      <c r="J767">
        <f t="shared" si="22"/>
        <v>6.0402684563758392E-2</v>
      </c>
      <c r="K767">
        <f t="shared" si="23"/>
        <v>1.3231349432488446E-2</v>
      </c>
    </row>
    <row r="768" spans="1:11" x14ac:dyDescent="0.25">
      <c r="A768" t="s">
        <v>10</v>
      </c>
      <c r="B768" t="s">
        <v>795</v>
      </c>
      <c r="C768" t="s">
        <v>92</v>
      </c>
      <c r="D768" t="s">
        <v>1332</v>
      </c>
      <c r="E768" t="s">
        <v>93</v>
      </c>
      <c r="F768">
        <v>63137</v>
      </c>
      <c r="G768">
        <v>161</v>
      </c>
      <c r="H768">
        <v>25</v>
      </c>
      <c r="I768">
        <v>0.2134354997621567</v>
      </c>
      <c r="J768">
        <f t="shared" si="22"/>
        <v>0.15527950310559005</v>
      </c>
      <c r="K768">
        <f t="shared" si="23"/>
        <v>3.3142158348160977E-2</v>
      </c>
    </row>
    <row r="769" spans="1:11" x14ac:dyDescent="0.25">
      <c r="A769" t="s">
        <v>10</v>
      </c>
      <c r="B769" t="s">
        <v>796</v>
      </c>
      <c r="C769" t="s">
        <v>92</v>
      </c>
      <c r="D769" t="s">
        <v>1332</v>
      </c>
      <c r="E769" t="s">
        <v>93</v>
      </c>
      <c r="F769">
        <v>63141</v>
      </c>
      <c r="G769">
        <v>26</v>
      </c>
      <c r="H769">
        <v>63</v>
      </c>
      <c r="I769">
        <v>0.25843490304709149</v>
      </c>
      <c r="J769">
        <f t="shared" si="22"/>
        <v>2.4230769230769229</v>
      </c>
      <c r="K769">
        <f t="shared" si="23"/>
        <v>0.62620764969102938</v>
      </c>
    </row>
    <row r="770" spans="1:11" x14ac:dyDescent="0.25">
      <c r="A770" t="s">
        <v>10</v>
      </c>
      <c r="B770" t="s">
        <v>797</v>
      </c>
      <c r="C770" t="s">
        <v>92</v>
      </c>
      <c r="D770" t="s">
        <v>1332</v>
      </c>
      <c r="E770" t="s">
        <v>93</v>
      </c>
      <c r="F770">
        <v>63147</v>
      </c>
      <c r="G770">
        <v>140</v>
      </c>
      <c r="H770">
        <v>9</v>
      </c>
      <c r="I770">
        <v>0.24387711882002183</v>
      </c>
      <c r="J770">
        <f t="shared" si="22"/>
        <v>6.4285714285714279E-2</v>
      </c>
      <c r="K770">
        <f t="shared" si="23"/>
        <v>1.5677814781287117E-2</v>
      </c>
    </row>
    <row r="771" spans="1:11" x14ac:dyDescent="0.25">
      <c r="A771" t="s">
        <v>10</v>
      </c>
      <c r="B771" t="s">
        <v>798</v>
      </c>
      <c r="C771" t="s">
        <v>92</v>
      </c>
      <c r="D771" t="s">
        <v>1332</v>
      </c>
      <c r="E771" t="s">
        <v>93</v>
      </c>
      <c r="F771">
        <v>63151</v>
      </c>
      <c r="G771">
        <v>385</v>
      </c>
      <c r="H771">
        <v>50</v>
      </c>
      <c r="I771">
        <v>0.17485766662017321</v>
      </c>
      <c r="J771">
        <f t="shared" ref="J771:J834" si="24">IF(G771=0,0,H771/G771)</f>
        <v>0.12987012987012986</v>
      </c>
      <c r="K771">
        <f t="shared" ref="K771:K834" si="25">J771*I771</f>
        <v>2.2708787872749766E-2</v>
      </c>
    </row>
    <row r="772" spans="1:11" x14ac:dyDescent="0.25">
      <c r="A772" t="s">
        <v>10</v>
      </c>
      <c r="B772" t="s">
        <v>799</v>
      </c>
      <c r="C772" t="s">
        <v>92</v>
      </c>
      <c r="D772" t="s">
        <v>1332</v>
      </c>
      <c r="E772" t="s">
        <v>93</v>
      </c>
      <c r="F772">
        <v>63157</v>
      </c>
      <c r="G772">
        <v>166</v>
      </c>
      <c r="H772">
        <v>0</v>
      </c>
      <c r="I772">
        <v>0.22066754834047042</v>
      </c>
      <c r="J772">
        <f t="shared" si="24"/>
        <v>0</v>
      </c>
      <c r="K772">
        <f t="shared" si="25"/>
        <v>0</v>
      </c>
    </row>
    <row r="773" spans="1:11" x14ac:dyDescent="0.25">
      <c r="A773" t="s">
        <v>10</v>
      </c>
      <c r="B773" t="s">
        <v>800</v>
      </c>
      <c r="C773" t="s">
        <v>92</v>
      </c>
      <c r="D773" t="s">
        <v>1332</v>
      </c>
      <c r="E773" t="s">
        <v>93</v>
      </c>
      <c r="F773">
        <v>63161</v>
      </c>
      <c r="G773">
        <v>202</v>
      </c>
      <c r="H773">
        <v>0</v>
      </c>
      <c r="I773">
        <v>0.26132585249808793</v>
      </c>
      <c r="J773">
        <f t="shared" si="24"/>
        <v>0</v>
      </c>
      <c r="K773">
        <f t="shared" si="25"/>
        <v>0</v>
      </c>
    </row>
    <row r="774" spans="1:11" x14ac:dyDescent="0.25">
      <c r="A774" t="s">
        <v>10</v>
      </c>
      <c r="B774" t="s">
        <v>100</v>
      </c>
      <c r="C774" t="s">
        <v>100</v>
      </c>
      <c r="D774" t="s">
        <v>1259</v>
      </c>
      <c r="E774" t="s">
        <v>96</v>
      </c>
      <c r="F774">
        <v>51111</v>
      </c>
      <c r="G774">
        <v>11429</v>
      </c>
      <c r="H774">
        <v>48</v>
      </c>
      <c r="I774">
        <v>0.84742832901649701</v>
      </c>
      <c r="J774">
        <f t="shared" si="24"/>
        <v>4.1998425059060285E-3</v>
      </c>
      <c r="K774">
        <f t="shared" si="25"/>
        <v>3.5590655169124032E-3</v>
      </c>
    </row>
    <row r="775" spans="1:11" x14ac:dyDescent="0.25">
      <c r="A775" t="s">
        <v>10</v>
      </c>
      <c r="B775" t="s">
        <v>801</v>
      </c>
      <c r="C775" t="s">
        <v>92</v>
      </c>
      <c r="D775" t="s">
        <v>1332</v>
      </c>
      <c r="E775" t="s">
        <v>93</v>
      </c>
      <c r="F775">
        <v>63167</v>
      </c>
      <c r="G775">
        <v>1981</v>
      </c>
      <c r="H775">
        <v>65</v>
      </c>
      <c r="I775">
        <v>0.62568449291084494</v>
      </c>
      <c r="J775">
        <f t="shared" si="24"/>
        <v>3.2811711256940941E-2</v>
      </c>
      <c r="K775">
        <f t="shared" si="25"/>
        <v>2.0529778919336154E-2</v>
      </c>
    </row>
    <row r="776" spans="1:11" x14ac:dyDescent="0.25">
      <c r="A776" t="s">
        <v>10</v>
      </c>
      <c r="B776" t="s">
        <v>802</v>
      </c>
      <c r="C776" t="s">
        <v>92</v>
      </c>
      <c r="D776" t="s">
        <v>1332</v>
      </c>
      <c r="E776" t="s">
        <v>93</v>
      </c>
      <c r="F776">
        <v>63171</v>
      </c>
      <c r="G776">
        <v>194</v>
      </c>
      <c r="H776">
        <v>13</v>
      </c>
      <c r="I776">
        <v>0.17552186061801445</v>
      </c>
      <c r="J776">
        <f t="shared" si="24"/>
        <v>6.7010309278350513E-2</v>
      </c>
      <c r="K776">
        <f t="shared" si="25"/>
        <v>1.1761774165124679E-2</v>
      </c>
    </row>
    <row r="777" spans="1:11" x14ac:dyDescent="0.25">
      <c r="A777" t="s">
        <v>10</v>
      </c>
      <c r="B777" t="s">
        <v>803</v>
      </c>
      <c r="C777" t="s">
        <v>92</v>
      </c>
      <c r="D777" t="s">
        <v>1332</v>
      </c>
      <c r="E777" t="s">
        <v>93</v>
      </c>
      <c r="F777">
        <v>63177</v>
      </c>
      <c r="G777">
        <v>80</v>
      </c>
      <c r="H777">
        <v>3</v>
      </c>
      <c r="I777">
        <v>0.22119796912996137</v>
      </c>
      <c r="J777">
        <f t="shared" si="24"/>
        <v>3.7499999999999999E-2</v>
      </c>
      <c r="K777">
        <f t="shared" si="25"/>
        <v>8.2949238423735503E-3</v>
      </c>
    </row>
    <row r="778" spans="1:11" x14ac:dyDescent="0.25">
      <c r="A778" t="s">
        <v>10</v>
      </c>
      <c r="B778" t="s">
        <v>804</v>
      </c>
      <c r="C778" t="s">
        <v>92</v>
      </c>
      <c r="D778" t="s">
        <v>1332</v>
      </c>
      <c r="E778" t="s">
        <v>93</v>
      </c>
      <c r="F778">
        <v>63181</v>
      </c>
      <c r="G778">
        <v>167</v>
      </c>
      <c r="H778">
        <v>0</v>
      </c>
      <c r="I778">
        <v>0.16754488313448024</v>
      </c>
      <c r="J778">
        <f t="shared" si="24"/>
        <v>0</v>
      </c>
      <c r="K778">
        <f t="shared" si="25"/>
        <v>0</v>
      </c>
    </row>
    <row r="779" spans="1:11" x14ac:dyDescent="0.25">
      <c r="A779" t="s">
        <v>10</v>
      </c>
      <c r="B779" t="s">
        <v>805</v>
      </c>
      <c r="C779" t="s">
        <v>92</v>
      </c>
      <c r="D779" t="s">
        <v>1332</v>
      </c>
      <c r="E779" t="s">
        <v>93</v>
      </c>
      <c r="F779">
        <v>63184</v>
      </c>
      <c r="G779">
        <v>429</v>
      </c>
      <c r="H779">
        <v>54</v>
      </c>
      <c r="I779">
        <v>0.24313101363511513</v>
      </c>
      <c r="J779">
        <f t="shared" si="24"/>
        <v>0.12587412587412589</v>
      </c>
      <c r="K779">
        <f t="shared" si="25"/>
        <v>3.0603903814210298E-2</v>
      </c>
    </row>
    <row r="780" spans="1:11" x14ac:dyDescent="0.25">
      <c r="A780" t="s">
        <v>10</v>
      </c>
      <c r="B780" t="s">
        <v>806</v>
      </c>
      <c r="C780" t="s">
        <v>92</v>
      </c>
      <c r="D780" t="s">
        <v>1332</v>
      </c>
      <c r="E780" t="s">
        <v>93</v>
      </c>
      <c r="F780">
        <v>63187</v>
      </c>
      <c r="G780">
        <v>67</v>
      </c>
      <c r="H780">
        <v>19</v>
      </c>
      <c r="I780">
        <v>0.18548714021890911</v>
      </c>
      <c r="J780">
        <f t="shared" si="24"/>
        <v>0.28358208955223879</v>
      </c>
      <c r="K780">
        <f t="shared" si="25"/>
        <v>5.2600830808347356E-2</v>
      </c>
    </row>
    <row r="781" spans="1:11" x14ac:dyDescent="0.25">
      <c r="A781" t="s">
        <v>10</v>
      </c>
      <c r="B781" t="s">
        <v>807</v>
      </c>
      <c r="C781" t="s">
        <v>92</v>
      </c>
      <c r="D781" t="s">
        <v>1332</v>
      </c>
      <c r="E781" t="s">
        <v>93</v>
      </c>
      <c r="F781">
        <v>63191</v>
      </c>
      <c r="G781">
        <v>212</v>
      </c>
      <c r="H781">
        <v>0</v>
      </c>
      <c r="I781">
        <v>0.35108481262327407</v>
      </c>
      <c r="J781">
        <f t="shared" si="24"/>
        <v>0</v>
      </c>
      <c r="K781">
        <f t="shared" si="25"/>
        <v>0</v>
      </c>
    </row>
    <row r="782" spans="1:11" x14ac:dyDescent="0.25">
      <c r="A782" t="s">
        <v>10</v>
      </c>
      <c r="B782" t="s">
        <v>808</v>
      </c>
      <c r="C782" t="s">
        <v>92</v>
      </c>
      <c r="D782" t="s">
        <v>1332</v>
      </c>
      <c r="E782" t="s">
        <v>93</v>
      </c>
      <c r="F782">
        <v>63211</v>
      </c>
      <c r="G782">
        <v>207</v>
      </c>
      <c r="H782">
        <v>25</v>
      </c>
      <c r="I782">
        <v>0.52746303854875276</v>
      </c>
      <c r="J782">
        <f t="shared" si="24"/>
        <v>0.12077294685990338</v>
      </c>
      <c r="K782">
        <f t="shared" si="25"/>
        <v>6.3703265525211689E-2</v>
      </c>
    </row>
    <row r="783" spans="1:11" x14ac:dyDescent="0.25">
      <c r="A783" t="s">
        <v>10</v>
      </c>
      <c r="B783" t="s">
        <v>809</v>
      </c>
      <c r="C783" t="s">
        <v>92</v>
      </c>
      <c r="D783" t="s">
        <v>1332</v>
      </c>
      <c r="E783" t="s">
        <v>93</v>
      </c>
      <c r="F783">
        <v>63217</v>
      </c>
      <c r="G783">
        <v>249</v>
      </c>
      <c r="H783">
        <v>13</v>
      </c>
      <c r="I783">
        <v>0.37978575679428661</v>
      </c>
      <c r="J783">
        <f t="shared" si="24"/>
        <v>5.2208835341365459E-2</v>
      </c>
      <c r="K783">
        <f t="shared" si="25"/>
        <v>1.9828172041468778E-2</v>
      </c>
    </row>
    <row r="784" spans="1:11" x14ac:dyDescent="0.25">
      <c r="A784" t="s">
        <v>10</v>
      </c>
      <c r="B784" t="s">
        <v>810</v>
      </c>
      <c r="C784" t="s">
        <v>92</v>
      </c>
      <c r="D784" t="s">
        <v>1332</v>
      </c>
      <c r="E784" t="s">
        <v>93</v>
      </c>
      <c r="F784">
        <v>63224</v>
      </c>
      <c r="G784">
        <v>51</v>
      </c>
      <c r="H784">
        <v>23</v>
      </c>
      <c r="I784">
        <v>0.51382283365429982</v>
      </c>
      <c r="J784">
        <f t="shared" si="24"/>
        <v>0.45098039215686275</v>
      </c>
      <c r="K784">
        <f t="shared" si="25"/>
        <v>0.23172402302056658</v>
      </c>
    </row>
    <row r="785" spans="1:11" x14ac:dyDescent="0.25">
      <c r="A785" t="s">
        <v>10</v>
      </c>
      <c r="B785" t="s">
        <v>811</v>
      </c>
      <c r="C785" t="s">
        <v>92</v>
      </c>
      <c r="D785" t="s">
        <v>1332</v>
      </c>
      <c r="E785" t="s">
        <v>93</v>
      </c>
      <c r="F785">
        <v>63227</v>
      </c>
      <c r="G785">
        <v>889</v>
      </c>
      <c r="H785">
        <v>220</v>
      </c>
      <c r="I785">
        <v>0.2626151191109819</v>
      </c>
      <c r="J785">
        <f t="shared" si="24"/>
        <v>0.24746906636670415</v>
      </c>
      <c r="K785">
        <f t="shared" si="25"/>
        <v>6.4989118340175497E-2</v>
      </c>
    </row>
    <row r="786" spans="1:11" x14ac:dyDescent="0.25">
      <c r="A786" t="s">
        <v>10</v>
      </c>
      <c r="B786" t="s">
        <v>812</v>
      </c>
      <c r="C786" t="s">
        <v>92</v>
      </c>
      <c r="D786" t="s">
        <v>1332</v>
      </c>
      <c r="E786" t="s">
        <v>93</v>
      </c>
      <c r="F786">
        <v>63231</v>
      </c>
      <c r="G786">
        <v>118</v>
      </c>
      <c r="H786">
        <v>198</v>
      </c>
      <c r="I786">
        <v>0.32197530864197521</v>
      </c>
      <c r="J786">
        <f t="shared" si="24"/>
        <v>1.6779661016949152</v>
      </c>
      <c r="K786">
        <f t="shared" si="25"/>
        <v>0.5402636534839923</v>
      </c>
    </row>
    <row r="787" spans="1:11" x14ac:dyDescent="0.25">
      <c r="A787" t="s">
        <v>10</v>
      </c>
      <c r="B787" t="s">
        <v>813</v>
      </c>
      <c r="C787" t="s">
        <v>92</v>
      </c>
      <c r="D787" t="s">
        <v>1332</v>
      </c>
      <c r="E787" t="s">
        <v>93</v>
      </c>
      <c r="F787">
        <v>63237</v>
      </c>
      <c r="G787">
        <v>540</v>
      </c>
      <c r="H787">
        <v>230</v>
      </c>
      <c r="I787">
        <v>0.2241951189933945</v>
      </c>
      <c r="J787">
        <f t="shared" si="24"/>
        <v>0.42592592592592593</v>
      </c>
      <c r="K787">
        <f t="shared" si="25"/>
        <v>9.5490513645334701E-2</v>
      </c>
    </row>
    <row r="788" spans="1:11" x14ac:dyDescent="0.25">
      <c r="A788" t="s">
        <v>10</v>
      </c>
      <c r="B788" t="s">
        <v>814</v>
      </c>
      <c r="C788" t="s">
        <v>92</v>
      </c>
      <c r="D788" t="s">
        <v>1332</v>
      </c>
      <c r="E788" t="s">
        <v>93</v>
      </c>
      <c r="F788">
        <v>63241</v>
      </c>
      <c r="G788">
        <v>290</v>
      </c>
      <c r="H788">
        <v>11</v>
      </c>
      <c r="I788">
        <v>0.37504384981223648</v>
      </c>
      <c r="J788">
        <f t="shared" si="24"/>
        <v>3.793103448275862E-2</v>
      </c>
      <c r="K788">
        <f t="shared" si="25"/>
        <v>1.4225801199774487E-2</v>
      </c>
    </row>
    <row r="789" spans="1:11" x14ac:dyDescent="0.25">
      <c r="A789" t="s">
        <v>10</v>
      </c>
      <c r="B789" t="s">
        <v>815</v>
      </c>
      <c r="C789" t="s">
        <v>92</v>
      </c>
      <c r="D789" t="s">
        <v>1332</v>
      </c>
      <c r="E789" t="s">
        <v>93</v>
      </c>
      <c r="F789">
        <v>63244</v>
      </c>
      <c r="G789">
        <v>231</v>
      </c>
      <c r="H789">
        <v>45</v>
      </c>
      <c r="I789">
        <v>0.31346037473873334</v>
      </c>
      <c r="J789">
        <f t="shared" si="24"/>
        <v>0.19480519480519481</v>
      </c>
      <c r="K789">
        <f t="shared" si="25"/>
        <v>6.1063709364688315E-2</v>
      </c>
    </row>
    <row r="790" spans="1:11" x14ac:dyDescent="0.25">
      <c r="A790" t="s">
        <v>10</v>
      </c>
      <c r="B790" t="s">
        <v>816</v>
      </c>
      <c r="C790" t="s">
        <v>92</v>
      </c>
      <c r="D790" t="s">
        <v>1332</v>
      </c>
      <c r="E790" t="s">
        <v>93</v>
      </c>
      <c r="F790">
        <v>63247</v>
      </c>
      <c r="G790">
        <v>315</v>
      </c>
      <c r="H790">
        <v>50</v>
      </c>
      <c r="I790">
        <v>0.1924497041420119</v>
      </c>
      <c r="J790">
        <f t="shared" si="24"/>
        <v>0.15873015873015872</v>
      </c>
      <c r="K790">
        <f t="shared" si="25"/>
        <v>3.0547572086033634E-2</v>
      </c>
    </row>
    <row r="791" spans="1:11" x14ac:dyDescent="0.25">
      <c r="A791" t="s">
        <v>10</v>
      </c>
      <c r="B791" t="s">
        <v>817</v>
      </c>
      <c r="C791" t="s">
        <v>92</v>
      </c>
      <c r="D791" t="s">
        <v>1332</v>
      </c>
      <c r="E791" t="s">
        <v>93</v>
      </c>
      <c r="F791">
        <v>63251</v>
      </c>
      <c r="G791">
        <v>538</v>
      </c>
      <c r="H791">
        <v>111</v>
      </c>
      <c r="I791">
        <v>0.4599609375</v>
      </c>
      <c r="J791">
        <f t="shared" si="24"/>
        <v>0.20631970260223048</v>
      </c>
      <c r="K791">
        <f t="shared" si="25"/>
        <v>9.4899003833643122E-2</v>
      </c>
    </row>
    <row r="792" spans="1:11" x14ac:dyDescent="0.25">
      <c r="A792" t="s">
        <v>10</v>
      </c>
      <c r="B792" t="s">
        <v>818</v>
      </c>
      <c r="C792" t="s">
        <v>92</v>
      </c>
      <c r="D792" t="s">
        <v>1332</v>
      </c>
      <c r="E792" t="s">
        <v>93</v>
      </c>
      <c r="F792">
        <v>63254</v>
      </c>
      <c r="G792">
        <v>413</v>
      </c>
      <c r="H792">
        <v>174</v>
      </c>
      <c r="I792">
        <v>0.24606394965796252</v>
      </c>
      <c r="J792">
        <f t="shared" si="24"/>
        <v>0.42130750605326878</v>
      </c>
      <c r="K792">
        <f t="shared" si="25"/>
        <v>0.10366858896001327</v>
      </c>
    </row>
    <row r="793" spans="1:11" x14ac:dyDescent="0.25">
      <c r="A793" t="s">
        <v>10</v>
      </c>
      <c r="B793" t="s">
        <v>819</v>
      </c>
      <c r="C793" t="s">
        <v>92</v>
      </c>
      <c r="D793" t="s">
        <v>1332</v>
      </c>
      <c r="E793" t="s">
        <v>93</v>
      </c>
      <c r="F793">
        <v>63261</v>
      </c>
      <c r="G793">
        <v>425</v>
      </c>
      <c r="H793">
        <v>0</v>
      </c>
      <c r="I793">
        <v>0.42579994960947354</v>
      </c>
      <c r="J793">
        <f t="shared" si="24"/>
        <v>0</v>
      </c>
      <c r="K793">
        <f t="shared" si="25"/>
        <v>0</v>
      </c>
    </row>
    <row r="794" spans="1:11" x14ac:dyDescent="0.25">
      <c r="A794" t="s">
        <v>10</v>
      </c>
      <c r="B794" t="s">
        <v>820</v>
      </c>
      <c r="C794" t="s">
        <v>92</v>
      </c>
      <c r="D794" t="s">
        <v>1332</v>
      </c>
      <c r="E794" t="s">
        <v>93</v>
      </c>
      <c r="F794">
        <v>63264</v>
      </c>
      <c r="G794">
        <v>85</v>
      </c>
      <c r="H794">
        <v>92</v>
      </c>
      <c r="I794">
        <v>0.18674897119341538</v>
      </c>
      <c r="J794">
        <f t="shared" si="24"/>
        <v>1.0823529411764705</v>
      </c>
      <c r="K794">
        <f t="shared" si="25"/>
        <v>0.20212829823287309</v>
      </c>
    </row>
    <row r="795" spans="1:11" x14ac:dyDescent="0.25">
      <c r="A795" t="s">
        <v>10</v>
      </c>
      <c r="B795" t="s">
        <v>821</v>
      </c>
      <c r="C795" t="s">
        <v>92</v>
      </c>
      <c r="D795" t="s">
        <v>1332</v>
      </c>
      <c r="E795" t="s">
        <v>93</v>
      </c>
      <c r="F795">
        <v>63271</v>
      </c>
      <c r="G795">
        <v>395</v>
      </c>
      <c r="H795">
        <v>20</v>
      </c>
      <c r="I795">
        <v>0.11085222444560183</v>
      </c>
      <c r="J795">
        <f t="shared" si="24"/>
        <v>5.0632911392405063E-2</v>
      </c>
      <c r="K795">
        <f t="shared" si="25"/>
        <v>5.6127708580051561E-3</v>
      </c>
    </row>
    <row r="796" spans="1:11" x14ac:dyDescent="0.25">
      <c r="A796" t="s">
        <v>10</v>
      </c>
      <c r="B796" t="s">
        <v>822</v>
      </c>
      <c r="C796" t="s">
        <v>92</v>
      </c>
      <c r="D796" t="s">
        <v>1332</v>
      </c>
      <c r="E796" t="s">
        <v>93</v>
      </c>
      <c r="F796">
        <v>63274</v>
      </c>
      <c r="G796">
        <v>756</v>
      </c>
      <c r="H796">
        <v>100</v>
      </c>
      <c r="I796">
        <v>0.58167630624448585</v>
      </c>
      <c r="J796">
        <f t="shared" si="24"/>
        <v>0.13227513227513227</v>
      </c>
      <c r="K796">
        <f t="shared" si="25"/>
        <v>7.6941310349799716E-2</v>
      </c>
    </row>
    <row r="797" spans="1:11" x14ac:dyDescent="0.25">
      <c r="A797" t="s">
        <v>10</v>
      </c>
      <c r="B797" t="s">
        <v>823</v>
      </c>
      <c r="C797" t="s">
        <v>92</v>
      </c>
      <c r="D797" t="s">
        <v>1332</v>
      </c>
      <c r="E797" t="s">
        <v>93</v>
      </c>
      <c r="F797">
        <v>63277</v>
      </c>
      <c r="G797">
        <v>1723</v>
      </c>
      <c r="H797">
        <v>855</v>
      </c>
      <c r="I797">
        <v>0.68336793540945795</v>
      </c>
      <c r="J797">
        <f t="shared" si="24"/>
        <v>0.49622751015670341</v>
      </c>
      <c r="K797">
        <f t="shared" si="25"/>
        <v>0.33910596910916224</v>
      </c>
    </row>
    <row r="798" spans="1:11" x14ac:dyDescent="0.25">
      <c r="A798" t="s">
        <v>10</v>
      </c>
      <c r="B798" t="s">
        <v>824</v>
      </c>
      <c r="C798" t="s">
        <v>92</v>
      </c>
      <c r="D798" t="s">
        <v>1332</v>
      </c>
      <c r="E798" t="s">
        <v>93</v>
      </c>
      <c r="F798">
        <v>63284</v>
      </c>
      <c r="G798">
        <v>21</v>
      </c>
      <c r="H798">
        <v>38</v>
      </c>
      <c r="I798">
        <v>0.15022100289590035</v>
      </c>
      <c r="J798">
        <f t="shared" si="24"/>
        <v>1.8095238095238095</v>
      </c>
      <c r="K798">
        <f t="shared" si="25"/>
        <v>0.27182848143067684</v>
      </c>
    </row>
    <row r="799" spans="1:11" x14ac:dyDescent="0.25">
      <c r="A799" t="s">
        <v>10</v>
      </c>
      <c r="B799" t="s">
        <v>825</v>
      </c>
      <c r="C799" t="s">
        <v>92</v>
      </c>
      <c r="D799" t="s">
        <v>1332</v>
      </c>
      <c r="E799" t="s">
        <v>93</v>
      </c>
      <c r="F799">
        <v>63287</v>
      </c>
      <c r="G799">
        <v>323</v>
      </c>
      <c r="H799">
        <v>0</v>
      </c>
      <c r="I799">
        <v>0.13834373418789003</v>
      </c>
      <c r="J799">
        <f t="shared" si="24"/>
        <v>0</v>
      </c>
      <c r="K799">
        <f t="shared" si="25"/>
        <v>0</v>
      </c>
    </row>
    <row r="800" spans="1:11" x14ac:dyDescent="0.25">
      <c r="A800" t="s">
        <v>10</v>
      </c>
      <c r="B800" s="8" t="s">
        <v>826</v>
      </c>
      <c r="C800" t="s">
        <v>92</v>
      </c>
      <c r="D800" t="s">
        <v>1332</v>
      </c>
      <c r="E800" t="s">
        <v>93</v>
      </c>
      <c r="F800" s="8">
        <v>63291</v>
      </c>
      <c r="G800">
        <v>65</v>
      </c>
      <c r="H800">
        <v>8</v>
      </c>
      <c r="I800">
        <v>0.5621065215301807</v>
      </c>
      <c r="J800">
        <f t="shared" si="24"/>
        <v>0.12307692307692308</v>
      </c>
      <c r="K800">
        <f t="shared" si="25"/>
        <v>6.9182341111406864E-2</v>
      </c>
    </row>
    <row r="801" spans="1:11" x14ac:dyDescent="0.25">
      <c r="A801" t="s">
        <v>10</v>
      </c>
      <c r="B801" t="s">
        <v>827</v>
      </c>
      <c r="C801" t="s">
        <v>92</v>
      </c>
      <c r="D801" t="s">
        <v>1332</v>
      </c>
      <c r="E801" t="s">
        <v>93</v>
      </c>
      <c r="F801">
        <v>63294</v>
      </c>
      <c r="G801">
        <v>353</v>
      </c>
      <c r="H801">
        <v>0</v>
      </c>
      <c r="I801">
        <v>0.22472505500249451</v>
      </c>
      <c r="J801">
        <f t="shared" si="24"/>
        <v>0</v>
      </c>
      <c r="K801">
        <f t="shared" si="25"/>
        <v>0</v>
      </c>
    </row>
    <row r="802" spans="1:11" x14ac:dyDescent="0.25">
      <c r="A802" t="s">
        <v>10</v>
      </c>
      <c r="B802" t="s">
        <v>828</v>
      </c>
      <c r="C802" t="s">
        <v>92</v>
      </c>
      <c r="D802" t="s">
        <v>1332</v>
      </c>
      <c r="E802" t="s">
        <v>93</v>
      </c>
      <c r="F802">
        <v>63297</v>
      </c>
      <c r="G802">
        <v>327</v>
      </c>
      <c r="H802">
        <v>0</v>
      </c>
      <c r="I802">
        <v>0.41187295828967418</v>
      </c>
      <c r="J802">
        <f t="shared" si="24"/>
        <v>0</v>
      </c>
      <c r="K802">
        <f t="shared" si="25"/>
        <v>0</v>
      </c>
    </row>
    <row r="803" spans="1:11" x14ac:dyDescent="0.25">
      <c r="A803" t="s">
        <v>10</v>
      </c>
      <c r="B803" t="s">
        <v>829</v>
      </c>
      <c r="C803" t="s">
        <v>92</v>
      </c>
      <c r="D803" t="s">
        <v>1332</v>
      </c>
      <c r="E803" t="s">
        <v>93</v>
      </c>
      <c r="F803">
        <v>63298</v>
      </c>
      <c r="G803">
        <v>0</v>
      </c>
      <c r="H803">
        <v>0</v>
      </c>
      <c r="I803">
        <v>2.8912923792778766E-2</v>
      </c>
      <c r="J803">
        <f t="shared" si="24"/>
        <v>0</v>
      </c>
      <c r="K803">
        <f t="shared" si="25"/>
        <v>0</v>
      </c>
    </row>
    <row r="804" spans="1:11" x14ac:dyDescent="0.25">
      <c r="A804" t="s">
        <v>10</v>
      </c>
      <c r="B804" t="s">
        <v>830</v>
      </c>
      <c r="C804" t="s">
        <v>92</v>
      </c>
      <c r="D804" t="s">
        <v>1332</v>
      </c>
      <c r="E804" t="s">
        <v>93</v>
      </c>
      <c r="F804">
        <v>63311</v>
      </c>
      <c r="G804">
        <v>1335</v>
      </c>
      <c r="H804">
        <v>0</v>
      </c>
      <c r="I804">
        <v>9.3077590963808521E-2</v>
      </c>
      <c r="J804">
        <f t="shared" si="24"/>
        <v>0</v>
      </c>
      <c r="K804">
        <f t="shared" si="25"/>
        <v>0</v>
      </c>
    </row>
    <row r="805" spans="1:11" x14ac:dyDescent="0.25">
      <c r="A805" t="s">
        <v>10</v>
      </c>
      <c r="B805" t="s">
        <v>831</v>
      </c>
      <c r="C805" t="s">
        <v>92</v>
      </c>
      <c r="D805" t="s">
        <v>1332</v>
      </c>
      <c r="E805" t="s">
        <v>93</v>
      </c>
      <c r="F805">
        <v>63315</v>
      </c>
      <c r="G805">
        <v>11</v>
      </c>
      <c r="H805">
        <v>95</v>
      </c>
      <c r="I805">
        <v>0.57000261416879483</v>
      </c>
      <c r="J805">
        <f t="shared" si="24"/>
        <v>8.6363636363636367</v>
      </c>
      <c r="K805">
        <f t="shared" si="25"/>
        <v>4.9227498496395921</v>
      </c>
    </row>
    <row r="806" spans="1:11" x14ac:dyDescent="0.25">
      <c r="A806" t="s">
        <v>10</v>
      </c>
      <c r="B806" t="s">
        <v>832</v>
      </c>
      <c r="C806" t="s">
        <v>92</v>
      </c>
      <c r="D806" t="s">
        <v>1332</v>
      </c>
      <c r="E806" t="s">
        <v>93</v>
      </c>
      <c r="F806">
        <v>63327</v>
      </c>
      <c r="G806">
        <v>396</v>
      </c>
      <c r="H806">
        <v>0</v>
      </c>
      <c r="I806">
        <v>0.48251333246618122</v>
      </c>
      <c r="J806">
        <f t="shared" si="24"/>
        <v>0</v>
      </c>
      <c r="K806">
        <f t="shared" si="25"/>
        <v>0</v>
      </c>
    </row>
    <row r="807" spans="1:11" x14ac:dyDescent="0.25">
      <c r="A807" t="s">
        <v>10</v>
      </c>
      <c r="B807" t="s">
        <v>833</v>
      </c>
      <c r="C807" t="s">
        <v>92</v>
      </c>
      <c r="D807" t="s">
        <v>1332</v>
      </c>
      <c r="E807" t="s">
        <v>93</v>
      </c>
      <c r="F807">
        <v>63351</v>
      </c>
      <c r="G807">
        <v>312</v>
      </c>
      <c r="H807">
        <v>0</v>
      </c>
      <c r="I807">
        <v>4.5236180455903496E-2</v>
      </c>
      <c r="J807">
        <f t="shared" si="24"/>
        <v>0</v>
      </c>
      <c r="K807">
        <f t="shared" si="25"/>
        <v>0</v>
      </c>
    </row>
    <row r="808" spans="1:11" x14ac:dyDescent="0.25">
      <c r="A808" t="s">
        <v>10</v>
      </c>
      <c r="B808" t="s">
        <v>834</v>
      </c>
      <c r="C808" t="s">
        <v>92</v>
      </c>
      <c r="D808" t="s">
        <v>1332</v>
      </c>
      <c r="E808" t="s">
        <v>93</v>
      </c>
      <c r="F808">
        <v>63355</v>
      </c>
      <c r="G808">
        <v>588</v>
      </c>
      <c r="H808">
        <v>112</v>
      </c>
      <c r="I808">
        <v>0.38437176140860707</v>
      </c>
      <c r="J808">
        <f t="shared" si="24"/>
        <v>0.19047619047619047</v>
      </c>
      <c r="K808">
        <f t="shared" si="25"/>
        <v>7.321366883973468E-2</v>
      </c>
    </row>
    <row r="809" spans="1:11" x14ac:dyDescent="0.25">
      <c r="A809" t="s">
        <v>10</v>
      </c>
      <c r="B809" t="s">
        <v>835</v>
      </c>
      <c r="C809" t="s">
        <v>92</v>
      </c>
      <c r="D809" t="s">
        <v>1332</v>
      </c>
      <c r="E809" t="s">
        <v>93</v>
      </c>
      <c r="F809">
        <v>63375</v>
      </c>
      <c r="G809">
        <v>41</v>
      </c>
      <c r="H809">
        <v>0</v>
      </c>
      <c r="I809">
        <v>0.54806122047877182</v>
      </c>
      <c r="J809">
        <f t="shared" si="24"/>
        <v>0</v>
      </c>
      <c r="K809">
        <f t="shared" si="25"/>
        <v>0</v>
      </c>
    </row>
    <row r="810" spans="1:11" x14ac:dyDescent="0.25">
      <c r="A810" t="s">
        <v>10</v>
      </c>
      <c r="B810" t="s">
        <v>836</v>
      </c>
      <c r="C810" t="s">
        <v>92</v>
      </c>
      <c r="D810" t="s">
        <v>1332</v>
      </c>
      <c r="E810" t="s">
        <v>93</v>
      </c>
      <c r="F810">
        <v>63385</v>
      </c>
      <c r="G810">
        <v>103</v>
      </c>
      <c r="H810">
        <v>0</v>
      </c>
      <c r="I810">
        <v>0.18371395617070352</v>
      </c>
      <c r="J810">
        <f t="shared" si="24"/>
        <v>0</v>
      </c>
      <c r="K810">
        <f t="shared" si="25"/>
        <v>0</v>
      </c>
    </row>
    <row r="811" spans="1:11" x14ac:dyDescent="0.25">
      <c r="A811" t="s">
        <v>10</v>
      </c>
      <c r="B811" t="s">
        <v>837</v>
      </c>
      <c r="C811" t="s">
        <v>234</v>
      </c>
      <c r="D811" t="s">
        <v>1278</v>
      </c>
      <c r="E811" t="s">
        <v>88</v>
      </c>
      <c r="F811">
        <v>71347</v>
      </c>
      <c r="G811">
        <v>3694</v>
      </c>
      <c r="H811">
        <v>0</v>
      </c>
      <c r="I811">
        <v>3.8211394360175177E-2</v>
      </c>
      <c r="J811">
        <f t="shared" si="24"/>
        <v>0</v>
      </c>
      <c r="K811">
        <f t="shared" si="25"/>
        <v>0</v>
      </c>
    </row>
    <row r="812" spans="1:11" x14ac:dyDescent="0.25">
      <c r="A812" t="s">
        <v>10</v>
      </c>
      <c r="B812" t="s">
        <v>838</v>
      </c>
      <c r="C812" t="s">
        <v>82</v>
      </c>
      <c r="D812" t="s">
        <v>1266</v>
      </c>
      <c r="E812" t="s">
        <v>83</v>
      </c>
      <c r="F812">
        <v>71361</v>
      </c>
      <c r="G812">
        <v>12338</v>
      </c>
      <c r="H812">
        <v>22</v>
      </c>
      <c r="I812">
        <v>3.1040816326530551E-2</v>
      </c>
      <c r="J812">
        <f t="shared" si="24"/>
        <v>1.7831090938563786E-3</v>
      </c>
      <c r="K812">
        <f t="shared" si="25"/>
        <v>5.5349161872562177E-5</v>
      </c>
    </row>
    <row r="813" spans="1:11" x14ac:dyDescent="0.25">
      <c r="A813" t="s">
        <v>10</v>
      </c>
      <c r="B813" t="s">
        <v>839</v>
      </c>
      <c r="C813" t="s">
        <v>553</v>
      </c>
      <c r="D813" t="s">
        <v>1323</v>
      </c>
      <c r="E813" t="s">
        <v>96</v>
      </c>
      <c r="F813">
        <v>71394</v>
      </c>
      <c r="G813">
        <v>2563</v>
      </c>
      <c r="H813">
        <v>0</v>
      </c>
      <c r="I813">
        <v>4.9754462290558243E-2</v>
      </c>
      <c r="J813">
        <f t="shared" si="24"/>
        <v>0</v>
      </c>
      <c r="K813">
        <f t="shared" si="25"/>
        <v>0</v>
      </c>
    </row>
    <row r="814" spans="1:11" x14ac:dyDescent="0.25">
      <c r="A814" t="s">
        <v>10</v>
      </c>
      <c r="B814" t="s">
        <v>619</v>
      </c>
      <c r="C814" t="s">
        <v>619</v>
      </c>
      <c r="D814" t="s">
        <v>1514</v>
      </c>
      <c r="E814" t="s">
        <v>88</v>
      </c>
      <c r="F814">
        <v>72111</v>
      </c>
      <c r="G814">
        <v>9375</v>
      </c>
      <c r="H814">
        <v>0</v>
      </c>
      <c r="I814">
        <v>4.6903645403872485E-2</v>
      </c>
      <c r="J814">
        <f t="shared" si="24"/>
        <v>0</v>
      </c>
      <c r="K814">
        <f t="shared" si="25"/>
        <v>0</v>
      </c>
    </row>
    <row r="815" spans="1:11" x14ac:dyDescent="0.25">
      <c r="A815" t="s">
        <v>10</v>
      </c>
      <c r="B815" t="s">
        <v>840</v>
      </c>
      <c r="C815" t="s">
        <v>619</v>
      </c>
      <c r="D815" t="s">
        <v>1514</v>
      </c>
      <c r="E815" t="s">
        <v>88</v>
      </c>
      <c r="F815">
        <v>72127</v>
      </c>
      <c r="G815">
        <v>335</v>
      </c>
      <c r="H815">
        <v>0</v>
      </c>
      <c r="I815">
        <v>3.562792418129257E-2</v>
      </c>
      <c r="J815">
        <f t="shared" si="24"/>
        <v>0</v>
      </c>
      <c r="K815">
        <f t="shared" si="25"/>
        <v>0</v>
      </c>
    </row>
    <row r="816" spans="1:11" x14ac:dyDescent="0.25">
      <c r="A816" t="s">
        <v>10</v>
      </c>
      <c r="B816" t="s">
        <v>841</v>
      </c>
      <c r="C816" t="s">
        <v>619</v>
      </c>
      <c r="D816" t="s">
        <v>1514</v>
      </c>
      <c r="E816" t="s">
        <v>88</v>
      </c>
      <c r="F816">
        <v>72143</v>
      </c>
      <c r="G816">
        <v>2393</v>
      </c>
      <c r="H816">
        <v>18</v>
      </c>
      <c r="I816">
        <v>0.36270381357377135</v>
      </c>
      <c r="J816">
        <f t="shared" si="24"/>
        <v>7.5219389887170914E-3</v>
      </c>
      <c r="K816">
        <f t="shared" si="25"/>
        <v>2.7282359566769259E-3</v>
      </c>
    </row>
    <row r="817" spans="1:11" x14ac:dyDescent="0.25">
      <c r="A817" t="s">
        <v>10</v>
      </c>
      <c r="B817" t="s">
        <v>842</v>
      </c>
      <c r="C817" t="s">
        <v>619</v>
      </c>
      <c r="D817" t="s">
        <v>1514</v>
      </c>
      <c r="E817" t="s">
        <v>88</v>
      </c>
      <c r="F817">
        <v>72151</v>
      </c>
      <c r="G817">
        <v>4069</v>
      </c>
      <c r="H817">
        <v>0</v>
      </c>
      <c r="I817">
        <v>3.3959449738725112E-2</v>
      </c>
      <c r="J817">
        <f t="shared" si="24"/>
        <v>0</v>
      </c>
      <c r="K817">
        <f t="shared" si="25"/>
        <v>0</v>
      </c>
    </row>
    <row r="818" spans="1:11" x14ac:dyDescent="0.25">
      <c r="A818" t="s">
        <v>10</v>
      </c>
      <c r="B818" t="s">
        <v>843</v>
      </c>
      <c r="C818" t="s">
        <v>619</v>
      </c>
      <c r="D818" t="s">
        <v>1514</v>
      </c>
      <c r="E818" t="s">
        <v>88</v>
      </c>
      <c r="F818">
        <v>72159</v>
      </c>
      <c r="G818">
        <v>2346</v>
      </c>
      <c r="H818">
        <v>0</v>
      </c>
      <c r="I818">
        <v>0.35506604237237116</v>
      </c>
      <c r="J818">
        <f t="shared" si="24"/>
        <v>0</v>
      </c>
      <c r="K818">
        <f t="shared" si="25"/>
        <v>0</v>
      </c>
    </row>
    <row r="819" spans="1:11" x14ac:dyDescent="0.25">
      <c r="A819" t="s">
        <v>10</v>
      </c>
      <c r="B819" t="s">
        <v>844</v>
      </c>
      <c r="C819" t="s">
        <v>619</v>
      </c>
      <c r="D819" t="s">
        <v>1514</v>
      </c>
      <c r="E819" t="s">
        <v>88</v>
      </c>
      <c r="F819">
        <v>72167</v>
      </c>
      <c r="G819">
        <v>4406</v>
      </c>
      <c r="H819">
        <v>63</v>
      </c>
      <c r="I819">
        <v>0.15710004794785892</v>
      </c>
      <c r="J819">
        <f t="shared" si="24"/>
        <v>1.4298683613254653E-2</v>
      </c>
      <c r="K819">
        <f t="shared" si="25"/>
        <v>2.2463238812335706E-3</v>
      </c>
    </row>
    <row r="820" spans="1:11" x14ac:dyDescent="0.25">
      <c r="A820" t="s">
        <v>10</v>
      </c>
      <c r="B820" t="s">
        <v>845</v>
      </c>
      <c r="C820" t="s">
        <v>619</v>
      </c>
      <c r="D820" t="s">
        <v>1514</v>
      </c>
      <c r="E820" t="s">
        <v>88</v>
      </c>
      <c r="F820">
        <v>72183</v>
      </c>
      <c r="G820">
        <v>2848</v>
      </c>
      <c r="H820">
        <v>0</v>
      </c>
      <c r="I820">
        <v>3.4391487207386384E-2</v>
      </c>
      <c r="J820">
        <f t="shared" si="24"/>
        <v>0</v>
      </c>
      <c r="K820">
        <f t="shared" si="25"/>
        <v>0</v>
      </c>
    </row>
    <row r="821" spans="1:11" x14ac:dyDescent="0.25">
      <c r="A821" t="s">
        <v>10</v>
      </c>
      <c r="B821" t="s">
        <v>846</v>
      </c>
      <c r="C821" t="s">
        <v>619</v>
      </c>
      <c r="D821" t="s">
        <v>1514</v>
      </c>
      <c r="E821" t="s">
        <v>88</v>
      </c>
      <c r="F821">
        <v>72191</v>
      </c>
      <c r="G821">
        <v>1069</v>
      </c>
      <c r="H821">
        <v>0</v>
      </c>
      <c r="I821">
        <v>6.7573205403025693E-2</v>
      </c>
      <c r="J821">
        <f t="shared" si="24"/>
        <v>0</v>
      </c>
      <c r="K821">
        <f t="shared" si="25"/>
        <v>0</v>
      </c>
    </row>
    <row r="822" spans="1:11" x14ac:dyDescent="0.25">
      <c r="A822" t="s">
        <v>10</v>
      </c>
      <c r="B822" t="s">
        <v>847</v>
      </c>
      <c r="C822" t="s">
        <v>619</v>
      </c>
      <c r="D822" t="s">
        <v>1514</v>
      </c>
      <c r="E822" t="s">
        <v>88</v>
      </c>
      <c r="F822">
        <v>72211</v>
      </c>
      <c r="G822">
        <v>3340</v>
      </c>
      <c r="H822">
        <v>0</v>
      </c>
      <c r="I822">
        <v>0.20535555295360886</v>
      </c>
      <c r="J822">
        <f t="shared" si="24"/>
        <v>0</v>
      </c>
      <c r="K822">
        <f t="shared" si="25"/>
        <v>0</v>
      </c>
    </row>
    <row r="823" spans="1:11" x14ac:dyDescent="0.25">
      <c r="A823" t="s">
        <v>10</v>
      </c>
      <c r="B823" t="s">
        <v>848</v>
      </c>
      <c r="C823" t="s">
        <v>619</v>
      </c>
      <c r="D823" t="s">
        <v>1514</v>
      </c>
      <c r="E823" t="s">
        <v>88</v>
      </c>
      <c r="F823">
        <v>72214</v>
      </c>
      <c r="G823">
        <v>750</v>
      </c>
      <c r="H823">
        <v>0</v>
      </c>
      <c r="I823">
        <v>6.6217892406188805E-2</v>
      </c>
      <c r="J823">
        <f t="shared" si="24"/>
        <v>0</v>
      </c>
      <c r="K823">
        <f t="shared" si="25"/>
        <v>0</v>
      </c>
    </row>
    <row r="824" spans="1:11" x14ac:dyDescent="0.25">
      <c r="A824" t="s">
        <v>10</v>
      </c>
      <c r="B824" t="s">
        <v>849</v>
      </c>
      <c r="C824" t="s">
        <v>619</v>
      </c>
      <c r="D824" t="s">
        <v>1514</v>
      </c>
      <c r="E824" t="s">
        <v>88</v>
      </c>
      <c r="F824">
        <v>72217</v>
      </c>
      <c r="G824">
        <v>919</v>
      </c>
      <c r="H824">
        <v>0</v>
      </c>
      <c r="I824">
        <v>0.4785761047097491</v>
      </c>
      <c r="J824">
        <f t="shared" si="24"/>
        <v>0</v>
      </c>
      <c r="K824">
        <f t="shared" si="25"/>
        <v>0</v>
      </c>
    </row>
    <row r="825" spans="1:11" x14ac:dyDescent="0.25">
      <c r="A825" t="s">
        <v>10</v>
      </c>
      <c r="B825" t="s">
        <v>850</v>
      </c>
      <c r="C825" t="s">
        <v>619</v>
      </c>
      <c r="D825" t="s">
        <v>1514</v>
      </c>
      <c r="E825" t="s">
        <v>88</v>
      </c>
      <c r="F825">
        <v>72221</v>
      </c>
      <c r="G825">
        <v>1456</v>
      </c>
      <c r="H825">
        <v>0</v>
      </c>
      <c r="I825">
        <v>3.999225648650595E-2</v>
      </c>
      <c r="J825">
        <f t="shared" si="24"/>
        <v>0</v>
      </c>
      <c r="K825">
        <f t="shared" si="25"/>
        <v>0</v>
      </c>
    </row>
    <row r="826" spans="1:11" x14ac:dyDescent="0.25">
      <c r="A826" t="s">
        <v>10</v>
      </c>
      <c r="B826" t="s">
        <v>851</v>
      </c>
      <c r="C826" t="s">
        <v>619</v>
      </c>
      <c r="D826" t="s">
        <v>1514</v>
      </c>
      <c r="E826" t="s">
        <v>88</v>
      </c>
      <c r="F826">
        <v>72224</v>
      </c>
      <c r="G826">
        <v>888</v>
      </c>
      <c r="H826">
        <v>0</v>
      </c>
      <c r="I826">
        <v>4.2890403660952203E-2</v>
      </c>
      <c r="J826">
        <f t="shared" si="24"/>
        <v>0</v>
      </c>
      <c r="K826">
        <f t="shared" si="25"/>
        <v>0</v>
      </c>
    </row>
    <row r="827" spans="1:11" x14ac:dyDescent="0.25">
      <c r="A827" t="s">
        <v>10</v>
      </c>
      <c r="B827" t="s">
        <v>852</v>
      </c>
      <c r="C827" t="s">
        <v>619</v>
      </c>
      <c r="D827" t="s">
        <v>1514</v>
      </c>
      <c r="E827" t="s">
        <v>88</v>
      </c>
      <c r="F827">
        <v>72227</v>
      </c>
      <c r="G827">
        <v>1442</v>
      </c>
      <c r="H827">
        <v>0</v>
      </c>
      <c r="I827">
        <v>0.13697062452076048</v>
      </c>
      <c r="J827">
        <f t="shared" si="24"/>
        <v>0</v>
      </c>
      <c r="K827">
        <f t="shared" si="25"/>
        <v>0</v>
      </c>
    </row>
    <row r="828" spans="1:11" x14ac:dyDescent="0.25">
      <c r="A828" t="s">
        <v>10</v>
      </c>
      <c r="B828" t="s">
        <v>853</v>
      </c>
      <c r="C828" t="s">
        <v>619</v>
      </c>
      <c r="D828" t="s">
        <v>1514</v>
      </c>
      <c r="E828" t="s">
        <v>88</v>
      </c>
      <c r="F828">
        <v>72229</v>
      </c>
      <c r="G828">
        <v>4390</v>
      </c>
      <c r="H828">
        <v>0</v>
      </c>
      <c r="I828">
        <v>3.4488895668688402E-2</v>
      </c>
      <c r="J828">
        <f t="shared" si="24"/>
        <v>0</v>
      </c>
      <c r="K828">
        <f t="shared" si="25"/>
        <v>0</v>
      </c>
    </row>
    <row r="829" spans="1:11" x14ac:dyDescent="0.25">
      <c r="A829" t="s">
        <v>10</v>
      </c>
      <c r="B829" t="s">
        <v>854</v>
      </c>
      <c r="C829" t="s">
        <v>619</v>
      </c>
      <c r="D829" t="s">
        <v>1514</v>
      </c>
      <c r="E829" t="s">
        <v>88</v>
      </c>
      <c r="F829">
        <v>72231</v>
      </c>
      <c r="G829">
        <v>2145</v>
      </c>
      <c r="H829">
        <v>0</v>
      </c>
      <c r="I829">
        <v>5.1743993392362575E-2</v>
      </c>
      <c r="J829">
        <f t="shared" si="24"/>
        <v>0</v>
      </c>
      <c r="K829">
        <f t="shared" si="25"/>
        <v>0</v>
      </c>
    </row>
    <row r="830" spans="1:11" x14ac:dyDescent="0.25">
      <c r="A830" t="s">
        <v>10</v>
      </c>
      <c r="B830" t="s">
        <v>855</v>
      </c>
      <c r="C830" t="s">
        <v>619</v>
      </c>
      <c r="D830" t="s">
        <v>1514</v>
      </c>
      <c r="E830" t="s">
        <v>88</v>
      </c>
      <c r="F830">
        <v>72234</v>
      </c>
      <c r="G830">
        <v>1748</v>
      </c>
      <c r="H830">
        <v>0</v>
      </c>
      <c r="I830">
        <v>5.3277803379150002E-2</v>
      </c>
      <c r="J830">
        <f t="shared" si="24"/>
        <v>0</v>
      </c>
      <c r="K830">
        <f t="shared" si="25"/>
        <v>0</v>
      </c>
    </row>
    <row r="831" spans="1:11" x14ac:dyDescent="0.25">
      <c r="A831" t="s">
        <v>10</v>
      </c>
      <c r="B831" t="s">
        <v>856</v>
      </c>
      <c r="C831" t="s">
        <v>619</v>
      </c>
      <c r="D831" t="s">
        <v>1514</v>
      </c>
      <c r="E831" t="s">
        <v>88</v>
      </c>
      <c r="F831">
        <v>72237</v>
      </c>
      <c r="G831">
        <v>320</v>
      </c>
      <c r="H831">
        <v>0</v>
      </c>
      <c r="I831">
        <v>4.6879737674607624E-2</v>
      </c>
      <c r="J831">
        <f t="shared" si="24"/>
        <v>0</v>
      </c>
      <c r="K831">
        <f t="shared" si="25"/>
        <v>0</v>
      </c>
    </row>
    <row r="832" spans="1:11" x14ac:dyDescent="0.25">
      <c r="A832" t="s">
        <v>10</v>
      </c>
      <c r="B832" t="s">
        <v>857</v>
      </c>
      <c r="C832" t="s">
        <v>619</v>
      </c>
      <c r="D832" t="s">
        <v>1514</v>
      </c>
      <c r="E832" t="s">
        <v>88</v>
      </c>
      <c r="F832">
        <v>72241</v>
      </c>
      <c r="G832">
        <v>3538</v>
      </c>
      <c r="H832">
        <v>0</v>
      </c>
      <c r="I832">
        <v>2.9950855240392982E-2</v>
      </c>
      <c r="J832">
        <f t="shared" si="24"/>
        <v>0</v>
      </c>
      <c r="K832">
        <f t="shared" si="25"/>
        <v>0</v>
      </c>
    </row>
    <row r="833" spans="1:11" x14ac:dyDescent="0.25">
      <c r="A833" t="s">
        <v>10</v>
      </c>
      <c r="B833" t="s">
        <v>858</v>
      </c>
      <c r="C833" t="s">
        <v>619</v>
      </c>
      <c r="D833" t="s">
        <v>1514</v>
      </c>
      <c r="E833" t="s">
        <v>88</v>
      </c>
      <c r="F833">
        <v>72244</v>
      </c>
      <c r="G833">
        <v>2053</v>
      </c>
      <c r="H833">
        <v>0</v>
      </c>
      <c r="I833">
        <v>4.7196158692526025E-2</v>
      </c>
      <c r="J833">
        <f t="shared" si="24"/>
        <v>0</v>
      </c>
      <c r="K833">
        <f t="shared" si="25"/>
        <v>0</v>
      </c>
    </row>
    <row r="834" spans="1:11" x14ac:dyDescent="0.25">
      <c r="A834" t="s">
        <v>10</v>
      </c>
      <c r="B834" t="s">
        <v>859</v>
      </c>
      <c r="C834" t="s">
        <v>619</v>
      </c>
      <c r="D834" t="s">
        <v>1514</v>
      </c>
      <c r="E834" t="s">
        <v>88</v>
      </c>
      <c r="F834">
        <v>72247</v>
      </c>
      <c r="G834">
        <v>2416</v>
      </c>
      <c r="H834">
        <v>0</v>
      </c>
      <c r="I834">
        <v>8.3190379467444453E-2</v>
      </c>
      <c r="J834">
        <f t="shared" si="24"/>
        <v>0</v>
      </c>
      <c r="K834">
        <f t="shared" si="25"/>
        <v>0</v>
      </c>
    </row>
    <row r="835" spans="1:11" x14ac:dyDescent="0.25">
      <c r="A835" t="s">
        <v>10</v>
      </c>
      <c r="B835" t="s">
        <v>860</v>
      </c>
      <c r="C835" t="s">
        <v>619</v>
      </c>
      <c r="D835" t="s">
        <v>1514</v>
      </c>
      <c r="E835" t="s">
        <v>88</v>
      </c>
      <c r="F835">
        <v>72251</v>
      </c>
      <c r="G835">
        <v>434</v>
      </c>
      <c r="H835">
        <v>0</v>
      </c>
      <c r="I835">
        <v>4.790020639153203E-2</v>
      </c>
      <c r="J835">
        <f t="shared" ref="J835:J898" si="26">IF(G835=0,0,H835/G835)</f>
        <v>0</v>
      </c>
      <c r="K835">
        <f t="shared" ref="K835:K898" si="27">J835*I835</f>
        <v>0</v>
      </c>
    </row>
    <row r="836" spans="1:11" x14ac:dyDescent="0.25">
      <c r="A836" t="s">
        <v>10</v>
      </c>
      <c r="B836" t="s">
        <v>861</v>
      </c>
      <c r="C836" t="s">
        <v>619</v>
      </c>
      <c r="D836" t="s">
        <v>1514</v>
      </c>
      <c r="E836" t="s">
        <v>88</v>
      </c>
      <c r="F836">
        <v>72254</v>
      </c>
      <c r="G836">
        <v>450</v>
      </c>
      <c r="H836">
        <v>0</v>
      </c>
      <c r="I836">
        <v>4.5172524648402046E-2</v>
      </c>
      <c r="J836">
        <f t="shared" si="26"/>
        <v>0</v>
      </c>
      <c r="K836">
        <f t="shared" si="27"/>
        <v>0</v>
      </c>
    </row>
    <row r="837" spans="1:11" x14ac:dyDescent="0.25">
      <c r="A837" t="s">
        <v>10</v>
      </c>
      <c r="B837" t="s">
        <v>862</v>
      </c>
      <c r="C837" t="s">
        <v>619</v>
      </c>
      <c r="D837" t="s">
        <v>1514</v>
      </c>
      <c r="E837" t="s">
        <v>88</v>
      </c>
      <c r="F837">
        <v>72257</v>
      </c>
      <c r="G837">
        <v>1466</v>
      </c>
      <c r="H837">
        <v>0</v>
      </c>
      <c r="I837">
        <v>3.5882729374849043E-2</v>
      </c>
      <c r="J837">
        <f t="shared" si="26"/>
        <v>0</v>
      </c>
      <c r="K837">
        <f t="shared" si="27"/>
        <v>0</v>
      </c>
    </row>
    <row r="838" spans="1:11" x14ac:dyDescent="0.25">
      <c r="A838" t="s">
        <v>10</v>
      </c>
      <c r="B838" t="s">
        <v>863</v>
      </c>
      <c r="C838" t="s">
        <v>619</v>
      </c>
      <c r="D838" t="s">
        <v>1514</v>
      </c>
      <c r="E838" t="s">
        <v>88</v>
      </c>
      <c r="F838">
        <v>72261</v>
      </c>
      <c r="G838">
        <v>775</v>
      </c>
      <c r="H838">
        <v>0</v>
      </c>
      <c r="I838">
        <v>3.5618377122949574E-2</v>
      </c>
      <c r="J838">
        <f t="shared" si="26"/>
        <v>0</v>
      </c>
      <c r="K838">
        <f t="shared" si="27"/>
        <v>0</v>
      </c>
    </row>
    <row r="839" spans="1:11" x14ac:dyDescent="0.25">
      <c r="A839" t="s">
        <v>10</v>
      </c>
      <c r="B839" t="s">
        <v>864</v>
      </c>
      <c r="C839" t="s">
        <v>619</v>
      </c>
      <c r="D839" t="s">
        <v>1514</v>
      </c>
      <c r="E839" t="s">
        <v>88</v>
      </c>
      <c r="F839">
        <v>72264</v>
      </c>
      <c r="G839">
        <v>812</v>
      </c>
      <c r="H839">
        <v>0</v>
      </c>
      <c r="I839">
        <v>5.5608888888889152E-2</v>
      </c>
      <c r="J839">
        <f t="shared" si="26"/>
        <v>0</v>
      </c>
      <c r="K839">
        <f t="shared" si="27"/>
        <v>0</v>
      </c>
    </row>
    <row r="840" spans="1:11" x14ac:dyDescent="0.25">
      <c r="A840" t="s">
        <v>10</v>
      </c>
      <c r="B840" t="s">
        <v>865</v>
      </c>
      <c r="C840" t="s">
        <v>619</v>
      </c>
      <c r="D840" t="s">
        <v>1514</v>
      </c>
      <c r="E840" t="s">
        <v>88</v>
      </c>
      <c r="F840">
        <v>72267</v>
      </c>
      <c r="G840">
        <v>79</v>
      </c>
      <c r="H840">
        <v>0</v>
      </c>
      <c r="I840">
        <v>3.2351774356611851E-2</v>
      </c>
      <c r="J840">
        <f t="shared" si="26"/>
        <v>0</v>
      </c>
      <c r="K840">
        <f t="shared" si="27"/>
        <v>0</v>
      </c>
    </row>
    <row r="841" spans="1:11" x14ac:dyDescent="0.25">
      <c r="A841" t="s">
        <v>10</v>
      </c>
      <c r="B841" t="s">
        <v>866</v>
      </c>
      <c r="C841" t="s">
        <v>619</v>
      </c>
      <c r="D841" t="s">
        <v>1514</v>
      </c>
      <c r="E841" t="s">
        <v>88</v>
      </c>
      <c r="F841">
        <v>72271</v>
      </c>
      <c r="G841">
        <v>41</v>
      </c>
      <c r="H841">
        <v>0</v>
      </c>
      <c r="I841">
        <v>4.4202094906432232E-2</v>
      </c>
      <c r="J841">
        <f t="shared" si="26"/>
        <v>0</v>
      </c>
      <c r="K841">
        <f t="shared" si="27"/>
        <v>0</v>
      </c>
    </row>
    <row r="842" spans="1:11" x14ac:dyDescent="0.25">
      <c r="A842" t="s">
        <v>10</v>
      </c>
      <c r="B842" t="s">
        <v>867</v>
      </c>
      <c r="C842" t="s">
        <v>619</v>
      </c>
      <c r="D842" t="s">
        <v>1514</v>
      </c>
      <c r="E842" t="s">
        <v>88</v>
      </c>
      <c r="F842">
        <v>72274</v>
      </c>
      <c r="G842">
        <v>650</v>
      </c>
      <c r="H842">
        <v>0</v>
      </c>
      <c r="I842">
        <v>8.0929403641842868E-2</v>
      </c>
      <c r="J842">
        <f t="shared" si="26"/>
        <v>0</v>
      </c>
      <c r="K842">
        <f t="shared" si="27"/>
        <v>0</v>
      </c>
    </row>
    <row r="843" spans="1:11" x14ac:dyDescent="0.25">
      <c r="A843" t="s">
        <v>10</v>
      </c>
      <c r="B843" t="s">
        <v>868</v>
      </c>
      <c r="C843" t="s">
        <v>619</v>
      </c>
      <c r="D843" t="s">
        <v>1514</v>
      </c>
      <c r="E843" t="s">
        <v>88</v>
      </c>
      <c r="F843">
        <v>72276</v>
      </c>
      <c r="G843">
        <v>820</v>
      </c>
      <c r="H843">
        <v>0</v>
      </c>
      <c r="I843">
        <v>3.7178140264932935E-2</v>
      </c>
      <c r="J843">
        <f t="shared" si="26"/>
        <v>0</v>
      </c>
      <c r="K843">
        <f t="shared" si="27"/>
        <v>0</v>
      </c>
    </row>
    <row r="844" spans="1:11" x14ac:dyDescent="0.25">
      <c r="A844" t="s">
        <v>10</v>
      </c>
      <c r="B844" t="s">
        <v>869</v>
      </c>
      <c r="C844" t="s">
        <v>619</v>
      </c>
      <c r="D844" t="s">
        <v>1514</v>
      </c>
      <c r="E844" t="s">
        <v>88</v>
      </c>
      <c r="F844">
        <v>72277</v>
      </c>
      <c r="G844">
        <v>1687</v>
      </c>
      <c r="H844">
        <v>0</v>
      </c>
      <c r="I844">
        <v>2.870911706132584E-2</v>
      </c>
      <c r="J844">
        <f t="shared" si="26"/>
        <v>0</v>
      </c>
      <c r="K844">
        <f t="shared" si="27"/>
        <v>0</v>
      </c>
    </row>
    <row r="845" spans="1:11" x14ac:dyDescent="0.25">
      <c r="A845" t="s">
        <v>10</v>
      </c>
      <c r="B845" t="s">
        <v>870</v>
      </c>
      <c r="C845" t="s">
        <v>619</v>
      </c>
      <c r="D845" t="s">
        <v>1514</v>
      </c>
      <c r="E845" t="s">
        <v>88</v>
      </c>
      <c r="F845">
        <v>72281</v>
      </c>
      <c r="G845">
        <v>1454</v>
      </c>
      <c r="H845">
        <v>20</v>
      </c>
      <c r="I845">
        <v>0.15662845321618235</v>
      </c>
      <c r="J845">
        <f t="shared" si="26"/>
        <v>1.3755158184319119E-2</v>
      </c>
      <c r="K845">
        <f t="shared" si="27"/>
        <v>2.1544491501538149E-3</v>
      </c>
    </row>
    <row r="846" spans="1:11" x14ac:dyDescent="0.25">
      <c r="A846" t="s">
        <v>10</v>
      </c>
      <c r="B846" t="s">
        <v>871</v>
      </c>
      <c r="C846" t="s">
        <v>619</v>
      </c>
      <c r="D846" t="s">
        <v>1514</v>
      </c>
      <c r="E846" t="s">
        <v>88</v>
      </c>
      <c r="F846">
        <v>72284</v>
      </c>
      <c r="G846">
        <v>41</v>
      </c>
      <c r="H846">
        <v>0</v>
      </c>
      <c r="I846">
        <v>5.1953515153321805E-2</v>
      </c>
      <c r="J846">
        <f t="shared" si="26"/>
        <v>0</v>
      </c>
      <c r="K846">
        <f t="shared" si="27"/>
        <v>0</v>
      </c>
    </row>
    <row r="847" spans="1:11" x14ac:dyDescent="0.25">
      <c r="A847" t="s">
        <v>10</v>
      </c>
      <c r="B847" t="s">
        <v>872</v>
      </c>
      <c r="C847" t="s">
        <v>619</v>
      </c>
      <c r="D847" t="s">
        <v>1514</v>
      </c>
      <c r="E847" t="s">
        <v>88</v>
      </c>
      <c r="F847">
        <v>72287</v>
      </c>
      <c r="G847">
        <v>1879</v>
      </c>
      <c r="H847">
        <v>0</v>
      </c>
      <c r="I847">
        <v>4.7482728277947084E-2</v>
      </c>
      <c r="J847">
        <f t="shared" si="26"/>
        <v>0</v>
      </c>
      <c r="K847">
        <f t="shared" si="27"/>
        <v>0</v>
      </c>
    </row>
    <row r="848" spans="1:11" x14ac:dyDescent="0.25">
      <c r="A848" t="s">
        <v>10</v>
      </c>
      <c r="B848" t="s">
        <v>873</v>
      </c>
      <c r="C848" t="s">
        <v>619</v>
      </c>
      <c r="D848" t="s">
        <v>1514</v>
      </c>
      <c r="E848" t="s">
        <v>88</v>
      </c>
      <c r="F848">
        <v>72291</v>
      </c>
      <c r="G848">
        <v>565</v>
      </c>
      <c r="H848">
        <v>0</v>
      </c>
      <c r="I848">
        <v>0.1616677805488993</v>
      </c>
      <c r="J848">
        <f t="shared" si="26"/>
        <v>0</v>
      </c>
      <c r="K848">
        <f t="shared" si="27"/>
        <v>0</v>
      </c>
    </row>
    <row r="849" spans="1:11" x14ac:dyDescent="0.25">
      <c r="A849" t="s">
        <v>10</v>
      </c>
      <c r="B849" t="s">
        <v>874</v>
      </c>
      <c r="C849" t="s">
        <v>234</v>
      </c>
      <c r="D849" t="s">
        <v>1278</v>
      </c>
      <c r="E849" t="s">
        <v>88</v>
      </c>
      <c r="F849">
        <v>73116</v>
      </c>
      <c r="G849">
        <v>67</v>
      </c>
      <c r="H849">
        <v>27</v>
      </c>
      <c r="I849">
        <v>0.43322268509334561</v>
      </c>
      <c r="J849">
        <f t="shared" si="26"/>
        <v>0.40298507462686567</v>
      </c>
      <c r="K849">
        <f t="shared" si="27"/>
        <v>0.17458227608239302</v>
      </c>
    </row>
    <row r="850" spans="1:11" x14ac:dyDescent="0.25">
      <c r="A850" t="s">
        <v>10</v>
      </c>
      <c r="B850" t="s">
        <v>875</v>
      </c>
      <c r="C850" t="s">
        <v>234</v>
      </c>
      <c r="D850" t="s">
        <v>1278</v>
      </c>
      <c r="E850" t="s">
        <v>88</v>
      </c>
      <c r="F850">
        <v>73119</v>
      </c>
      <c r="G850">
        <v>686</v>
      </c>
      <c r="H850">
        <v>0</v>
      </c>
      <c r="I850">
        <v>0.24130088913005687</v>
      </c>
      <c r="J850">
        <f t="shared" si="26"/>
        <v>0</v>
      </c>
      <c r="K850">
        <f t="shared" si="27"/>
        <v>0</v>
      </c>
    </row>
    <row r="851" spans="1:11" x14ac:dyDescent="0.25">
      <c r="A851" t="s">
        <v>10</v>
      </c>
      <c r="B851" t="s">
        <v>876</v>
      </c>
      <c r="C851" t="s">
        <v>234</v>
      </c>
      <c r="D851" t="s">
        <v>1278</v>
      </c>
      <c r="E851" t="s">
        <v>88</v>
      </c>
      <c r="F851">
        <v>73127</v>
      </c>
      <c r="G851">
        <v>2354</v>
      </c>
      <c r="H851">
        <v>50</v>
      </c>
      <c r="I851">
        <v>0.69986325325257615</v>
      </c>
      <c r="J851">
        <f t="shared" si="26"/>
        <v>2.1240441801189464E-2</v>
      </c>
      <c r="K851">
        <f t="shared" si="27"/>
        <v>1.4865404699502467E-2</v>
      </c>
    </row>
    <row r="852" spans="1:11" x14ac:dyDescent="0.25">
      <c r="A852" t="s">
        <v>10</v>
      </c>
      <c r="B852" t="s">
        <v>877</v>
      </c>
      <c r="C852" t="s">
        <v>234</v>
      </c>
      <c r="D852" t="s">
        <v>1278</v>
      </c>
      <c r="E852" t="s">
        <v>88</v>
      </c>
      <c r="F852">
        <v>73146</v>
      </c>
      <c r="G852">
        <v>423</v>
      </c>
      <c r="H852">
        <v>0</v>
      </c>
      <c r="I852">
        <v>0.64466667444601322</v>
      </c>
      <c r="J852">
        <f t="shared" si="26"/>
        <v>0</v>
      </c>
      <c r="K852">
        <f t="shared" si="27"/>
        <v>0</v>
      </c>
    </row>
    <row r="853" spans="1:11" x14ac:dyDescent="0.25">
      <c r="A853" t="s">
        <v>10</v>
      </c>
      <c r="B853" t="s">
        <v>878</v>
      </c>
      <c r="C853" t="s">
        <v>234</v>
      </c>
      <c r="D853" t="s">
        <v>1278</v>
      </c>
      <c r="E853" t="s">
        <v>88</v>
      </c>
      <c r="F853">
        <v>73151</v>
      </c>
      <c r="G853">
        <v>1970</v>
      </c>
      <c r="H853">
        <v>257</v>
      </c>
      <c r="I853">
        <v>0.15621667530250405</v>
      </c>
      <c r="J853">
        <f t="shared" si="26"/>
        <v>0.13045685279187819</v>
      </c>
      <c r="K853">
        <f t="shared" si="27"/>
        <v>2.0379535813575402E-2</v>
      </c>
    </row>
    <row r="854" spans="1:11" x14ac:dyDescent="0.25">
      <c r="A854" t="s">
        <v>10</v>
      </c>
      <c r="B854" t="s">
        <v>879</v>
      </c>
      <c r="C854" t="s">
        <v>234</v>
      </c>
      <c r="D854" t="s">
        <v>1278</v>
      </c>
      <c r="E854" t="s">
        <v>88</v>
      </c>
      <c r="F854">
        <v>73159</v>
      </c>
      <c r="G854">
        <v>4115</v>
      </c>
      <c r="H854">
        <v>0</v>
      </c>
      <c r="I854">
        <v>0.15583613278870645</v>
      </c>
      <c r="J854">
        <f t="shared" si="26"/>
        <v>0</v>
      </c>
      <c r="K854">
        <f t="shared" si="27"/>
        <v>0</v>
      </c>
    </row>
    <row r="855" spans="1:11" x14ac:dyDescent="0.25">
      <c r="A855" t="s">
        <v>10</v>
      </c>
      <c r="B855" t="s">
        <v>880</v>
      </c>
      <c r="C855" t="s">
        <v>234</v>
      </c>
      <c r="D855" t="s">
        <v>1278</v>
      </c>
      <c r="E855" t="s">
        <v>88</v>
      </c>
      <c r="F855">
        <v>73167</v>
      </c>
      <c r="G855">
        <v>597</v>
      </c>
      <c r="H855">
        <v>4</v>
      </c>
      <c r="I855">
        <v>0.73516103273888744</v>
      </c>
      <c r="J855">
        <f t="shared" si="26"/>
        <v>6.7001675041876048E-3</v>
      </c>
      <c r="K855">
        <f t="shared" si="27"/>
        <v>4.9257020619020934E-3</v>
      </c>
    </row>
    <row r="856" spans="1:11" x14ac:dyDescent="0.25">
      <c r="A856" t="s">
        <v>10</v>
      </c>
      <c r="B856" t="s">
        <v>881</v>
      </c>
      <c r="C856" t="s">
        <v>234</v>
      </c>
      <c r="D856" t="s">
        <v>1278</v>
      </c>
      <c r="E856" t="s">
        <v>88</v>
      </c>
      <c r="F856">
        <v>73175</v>
      </c>
      <c r="G856">
        <v>228</v>
      </c>
      <c r="H856">
        <v>0</v>
      </c>
      <c r="I856">
        <v>0.48953871303616414</v>
      </c>
      <c r="J856">
        <f t="shared" si="26"/>
        <v>0</v>
      </c>
      <c r="K856">
        <f t="shared" si="27"/>
        <v>0</v>
      </c>
    </row>
    <row r="857" spans="1:11" x14ac:dyDescent="0.25">
      <c r="A857" t="s">
        <v>10</v>
      </c>
      <c r="B857" t="s">
        <v>882</v>
      </c>
      <c r="C857" t="s">
        <v>234</v>
      </c>
      <c r="D857" t="s">
        <v>1278</v>
      </c>
      <c r="E857" t="s">
        <v>88</v>
      </c>
      <c r="F857">
        <v>73211</v>
      </c>
      <c r="G857">
        <v>1129</v>
      </c>
      <c r="H857">
        <v>0</v>
      </c>
      <c r="I857">
        <v>5.9106853460580866E-2</v>
      </c>
      <c r="J857">
        <f t="shared" si="26"/>
        <v>0</v>
      </c>
      <c r="K857">
        <f t="shared" si="27"/>
        <v>0</v>
      </c>
    </row>
    <row r="858" spans="1:11" x14ac:dyDescent="0.25">
      <c r="A858" t="s">
        <v>10</v>
      </c>
      <c r="B858" t="s">
        <v>883</v>
      </c>
      <c r="C858" t="s">
        <v>234</v>
      </c>
      <c r="D858" t="s">
        <v>1278</v>
      </c>
      <c r="E858" t="s">
        <v>88</v>
      </c>
      <c r="F858">
        <v>73226</v>
      </c>
      <c r="G858">
        <v>120</v>
      </c>
      <c r="H858">
        <v>0</v>
      </c>
      <c r="I858">
        <v>3.0872989680075236E-2</v>
      </c>
      <c r="J858">
        <f t="shared" si="26"/>
        <v>0</v>
      </c>
      <c r="K858">
        <f t="shared" si="27"/>
        <v>0</v>
      </c>
    </row>
    <row r="859" spans="1:11" x14ac:dyDescent="0.25">
      <c r="A859" t="s">
        <v>10</v>
      </c>
      <c r="B859" t="s">
        <v>884</v>
      </c>
      <c r="C859" t="s">
        <v>234</v>
      </c>
      <c r="D859" t="s">
        <v>1278</v>
      </c>
      <c r="E859" t="s">
        <v>88</v>
      </c>
      <c r="F859">
        <v>73228</v>
      </c>
      <c r="G859">
        <v>2449</v>
      </c>
      <c r="H859">
        <v>0</v>
      </c>
      <c r="I859">
        <v>5.1709167850729876E-2</v>
      </c>
      <c r="J859">
        <f t="shared" si="26"/>
        <v>0</v>
      </c>
      <c r="K859">
        <f t="shared" si="27"/>
        <v>0</v>
      </c>
    </row>
    <row r="860" spans="1:11" x14ac:dyDescent="0.25">
      <c r="A860" t="s">
        <v>10</v>
      </c>
      <c r="B860" t="s">
        <v>885</v>
      </c>
      <c r="C860" t="s">
        <v>234</v>
      </c>
      <c r="D860" t="s">
        <v>1278</v>
      </c>
      <c r="E860" t="s">
        <v>88</v>
      </c>
      <c r="F860">
        <v>73230</v>
      </c>
      <c r="G860">
        <v>339</v>
      </c>
      <c r="H860">
        <v>0</v>
      </c>
      <c r="I860">
        <v>4.0170743059691039E-2</v>
      </c>
      <c r="J860">
        <f t="shared" si="26"/>
        <v>0</v>
      </c>
      <c r="K860">
        <f t="shared" si="27"/>
        <v>0</v>
      </c>
    </row>
    <row r="861" spans="1:11" x14ac:dyDescent="0.25">
      <c r="A861" t="s">
        <v>10</v>
      </c>
      <c r="B861" t="s">
        <v>886</v>
      </c>
      <c r="C861" t="s">
        <v>234</v>
      </c>
      <c r="D861" t="s">
        <v>1278</v>
      </c>
      <c r="E861" t="s">
        <v>88</v>
      </c>
      <c r="F861">
        <v>73234</v>
      </c>
      <c r="G861">
        <v>1733</v>
      </c>
      <c r="H861">
        <v>0</v>
      </c>
      <c r="I861">
        <v>3.0036307672330342E-2</v>
      </c>
      <c r="J861">
        <f t="shared" si="26"/>
        <v>0</v>
      </c>
      <c r="K861">
        <f t="shared" si="27"/>
        <v>0</v>
      </c>
    </row>
    <row r="862" spans="1:11" x14ac:dyDescent="0.25">
      <c r="A862" t="s">
        <v>10</v>
      </c>
      <c r="B862" t="s">
        <v>887</v>
      </c>
      <c r="C862" t="s">
        <v>234</v>
      </c>
      <c r="D862" t="s">
        <v>1278</v>
      </c>
      <c r="E862" t="s">
        <v>88</v>
      </c>
      <c r="F862">
        <v>73244</v>
      </c>
      <c r="G862">
        <v>283</v>
      </c>
      <c r="H862">
        <v>0</v>
      </c>
      <c r="I862">
        <v>3.4056255839879812E-2</v>
      </c>
      <c r="J862">
        <f t="shared" si="26"/>
        <v>0</v>
      </c>
      <c r="K862">
        <f t="shared" si="27"/>
        <v>0</v>
      </c>
    </row>
    <row r="863" spans="1:11" x14ac:dyDescent="0.25">
      <c r="A863" t="s">
        <v>10</v>
      </c>
      <c r="B863" t="s">
        <v>888</v>
      </c>
      <c r="C863" t="s">
        <v>234</v>
      </c>
      <c r="D863" t="s">
        <v>1278</v>
      </c>
      <c r="E863" t="s">
        <v>88</v>
      </c>
      <c r="F863">
        <v>73245</v>
      </c>
      <c r="G863">
        <v>843</v>
      </c>
      <c r="H863">
        <v>0</v>
      </c>
      <c r="I863">
        <v>3.6387093028519502E-2</v>
      </c>
      <c r="J863">
        <f t="shared" si="26"/>
        <v>0</v>
      </c>
      <c r="K863">
        <f t="shared" si="27"/>
        <v>0</v>
      </c>
    </row>
    <row r="864" spans="1:11" x14ac:dyDescent="0.25">
      <c r="A864" t="s">
        <v>10</v>
      </c>
      <c r="B864" t="s">
        <v>889</v>
      </c>
      <c r="C864" t="s">
        <v>234</v>
      </c>
      <c r="D864" t="s">
        <v>1278</v>
      </c>
      <c r="E864" t="s">
        <v>88</v>
      </c>
      <c r="F864">
        <v>73248</v>
      </c>
      <c r="G864">
        <v>325</v>
      </c>
      <c r="H864">
        <v>0</v>
      </c>
      <c r="I864">
        <v>4.5405840600043934E-2</v>
      </c>
      <c r="J864">
        <f t="shared" si="26"/>
        <v>0</v>
      </c>
      <c r="K864">
        <f t="shared" si="27"/>
        <v>0</v>
      </c>
    </row>
    <row r="865" spans="1:11" x14ac:dyDescent="0.25">
      <c r="A865" t="s">
        <v>10</v>
      </c>
      <c r="B865" t="s">
        <v>890</v>
      </c>
      <c r="C865" t="s">
        <v>234</v>
      </c>
      <c r="D865" t="s">
        <v>1278</v>
      </c>
      <c r="E865" t="s">
        <v>88</v>
      </c>
      <c r="F865">
        <v>73250</v>
      </c>
      <c r="G865">
        <v>1782</v>
      </c>
      <c r="H865">
        <v>0</v>
      </c>
      <c r="I865">
        <v>3.907134763318354E-2</v>
      </c>
      <c r="J865">
        <f t="shared" si="26"/>
        <v>0</v>
      </c>
      <c r="K865">
        <f t="shared" si="27"/>
        <v>0</v>
      </c>
    </row>
    <row r="866" spans="1:11" x14ac:dyDescent="0.25">
      <c r="A866" t="s">
        <v>10</v>
      </c>
      <c r="B866" t="s">
        <v>891</v>
      </c>
      <c r="C866" t="s">
        <v>234</v>
      </c>
      <c r="D866" t="s">
        <v>1278</v>
      </c>
      <c r="E866" t="s">
        <v>88</v>
      </c>
      <c r="F866">
        <v>73257</v>
      </c>
      <c r="G866">
        <v>293</v>
      </c>
      <c r="H866">
        <v>0</v>
      </c>
      <c r="I866">
        <v>6.6153263476833812E-2</v>
      </c>
      <c r="J866">
        <f t="shared" si="26"/>
        <v>0</v>
      </c>
      <c r="K866">
        <f t="shared" si="27"/>
        <v>0</v>
      </c>
    </row>
    <row r="867" spans="1:11" x14ac:dyDescent="0.25">
      <c r="A867" t="s">
        <v>10</v>
      </c>
      <c r="B867" t="s">
        <v>892</v>
      </c>
      <c r="C867" t="s">
        <v>234</v>
      </c>
      <c r="D867" t="s">
        <v>1278</v>
      </c>
      <c r="E867" t="s">
        <v>88</v>
      </c>
      <c r="F867">
        <v>73262</v>
      </c>
      <c r="G867">
        <v>1109</v>
      </c>
      <c r="H867">
        <v>0</v>
      </c>
      <c r="I867">
        <v>3.9082384654542279E-2</v>
      </c>
      <c r="J867">
        <f t="shared" si="26"/>
        <v>0</v>
      </c>
      <c r="K867">
        <f t="shared" si="27"/>
        <v>0</v>
      </c>
    </row>
    <row r="868" spans="1:11" x14ac:dyDescent="0.25">
      <c r="A868" t="s">
        <v>10</v>
      </c>
      <c r="B868" t="s">
        <v>893</v>
      </c>
      <c r="C868" t="s">
        <v>85</v>
      </c>
      <c r="D868" t="s">
        <v>991</v>
      </c>
      <c r="E868" t="s">
        <v>85</v>
      </c>
      <c r="F868">
        <v>35135</v>
      </c>
      <c r="G868">
        <v>759</v>
      </c>
      <c r="H868">
        <v>63</v>
      </c>
      <c r="I868">
        <v>0.54985581512625381</v>
      </c>
      <c r="J868">
        <f t="shared" si="26"/>
        <v>8.3003952569169967E-2</v>
      </c>
      <c r="K868">
        <f t="shared" si="27"/>
        <v>4.5640205998621862E-2</v>
      </c>
    </row>
    <row r="869" spans="1:11" x14ac:dyDescent="0.25">
      <c r="A869" t="s">
        <v>10</v>
      </c>
      <c r="B869" t="s">
        <v>894</v>
      </c>
      <c r="C869" t="s">
        <v>234</v>
      </c>
      <c r="D869" t="s">
        <v>1278</v>
      </c>
      <c r="E869" t="s">
        <v>88</v>
      </c>
      <c r="F869">
        <v>73276</v>
      </c>
      <c r="G869">
        <v>68</v>
      </c>
      <c r="H869">
        <v>0</v>
      </c>
      <c r="I869">
        <v>4.0369916056135269E-2</v>
      </c>
      <c r="J869">
        <f t="shared" si="26"/>
        <v>0</v>
      </c>
      <c r="K869">
        <f t="shared" si="27"/>
        <v>0</v>
      </c>
    </row>
    <row r="870" spans="1:11" x14ac:dyDescent="0.25">
      <c r="A870" t="s">
        <v>10</v>
      </c>
      <c r="B870" t="s">
        <v>895</v>
      </c>
      <c r="C870" t="s">
        <v>234</v>
      </c>
      <c r="D870" t="s">
        <v>1278</v>
      </c>
      <c r="E870" t="s">
        <v>88</v>
      </c>
      <c r="F870">
        <v>73279</v>
      </c>
      <c r="G870">
        <v>2356</v>
      </c>
      <c r="H870">
        <v>0</v>
      </c>
      <c r="I870">
        <v>3.7328020490848601E-2</v>
      </c>
      <c r="J870">
        <f t="shared" si="26"/>
        <v>0</v>
      </c>
      <c r="K870">
        <f t="shared" si="27"/>
        <v>0</v>
      </c>
    </row>
    <row r="871" spans="1:11" x14ac:dyDescent="0.25">
      <c r="A871" t="s">
        <v>10</v>
      </c>
      <c r="B871" t="s">
        <v>896</v>
      </c>
      <c r="C871" t="s">
        <v>234</v>
      </c>
      <c r="D871" t="s">
        <v>1278</v>
      </c>
      <c r="E871" t="s">
        <v>88</v>
      </c>
      <c r="F871">
        <v>73282</v>
      </c>
      <c r="G871">
        <v>1643</v>
      </c>
      <c r="H871">
        <v>0</v>
      </c>
      <c r="I871">
        <v>2.1390528046876134E-2</v>
      </c>
      <c r="J871">
        <f t="shared" si="26"/>
        <v>0</v>
      </c>
      <c r="K871">
        <f t="shared" si="27"/>
        <v>0</v>
      </c>
    </row>
    <row r="872" spans="1:11" x14ac:dyDescent="0.25">
      <c r="A872" t="s">
        <v>10</v>
      </c>
      <c r="B872" t="s">
        <v>897</v>
      </c>
      <c r="C872" t="s">
        <v>234</v>
      </c>
      <c r="D872" t="s">
        <v>1278</v>
      </c>
      <c r="E872" t="s">
        <v>88</v>
      </c>
      <c r="F872">
        <v>73288</v>
      </c>
      <c r="G872">
        <v>855</v>
      </c>
      <c r="H872">
        <v>0</v>
      </c>
      <c r="I872">
        <v>3.5005816059953232E-2</v>
      </c>
      <c r="J872">
        <f t="shared" si="26"/>
        <v>0</v>
      </c>
      <c r="K872">
        <f t="shared" si="27"/>
        <v>0</v>
      </c>
    </row>
    <row r="873" spans="1:11" x14ac:dyDescent="0.25">
      <c r="A873" t="s">
        <v>10</v>
      </c>
      <c r="B873" t="s">
        <v>898</v>
      </c>
      <c r="C873" t="s">
        <v>234</v>
      </c>
      <c r="D873" t="s">
        <v>1278</v>
      </c>
      <c r="E873" t="s">
        <v>88</v>
      </c>
      <c r="F873">
        <v>73293</v>
      </c>
      <c r="G873">
        <v>12</v>
      </c>
      <c r="H873">
        <v>0</v>
      </c>
      <c r="I873">
        <v>0.17999999999999994</v>
      </c>
      <c r="J873">
        <f t="shared" si="26"/>
        <v>0</v>
      </c>
      <c r="K873">
        <f t="shared" si="27"/>
        <v>0</v>
      </c>
    </row>
    <row r="874" spans="1:11" x14ac:dyDescent="0.25">
      <c r="A874" t="s">
        <v>10</v>
      </c>
      <c r="B874" t="s">
        <v>899</v>
      </c>
      <c r="C874" t="s">
        <v>87</v>
      </c>
      <c r="D874" t="s">
        <v>1280</v>
      </c>
      <c r="E874" t="s">
        <v>88</v>
      </c>
      <c r="F874">
        <v>74112</v>
      </c>
      <c r="G874">
        <v>66</v>
      </c>
      <c r="H874">
        <v>45</v>
      </c>
      <c r="I874">
        <v>0.48379766012961878</v>
      </c>
      <c r="J874">
        <f t="shared" si="26"/>
        <v>0.68181818181818177</v>
      </c>
      <c r="K874">
        <f t="shared" si="27"/>
        <v>0.3298620409974673</v>
      </c>
    </row>
    <row r="875" spans="1:11" x14ac:dyDescent="0.25">
      <c r="A875" t="s">
        <v>10</v>
      </c>
      <c r="B875" t="s">
        <v>900</v>
      </c>
      <c r="C875" t="s">
        <v>87</v>
      </c>
      <c r="D875" t="s">
        <v>1280</v>
      </c>
      <c r="E875" t="s">
        <v>88</v>
      </c>
      <c r="F875">
        <v>74114</v>
      </c>
      <c r="G875">
        <v>904</v>
      </c>
      <c r="H875">
        <v>36</v>
      </c>
      <c r="I875">
        <v>7.056187610472775E-3</v>
      </c>
      <c r="J875">
        <f t="shared" si="26"/>
        <v>3.9823008849557522E-2</v>
      </c>
      <c r="K875">
        <f t="shared" si="27"/>
        <v>2.8099862165599548E-4</v>
      </c>
    </row>
    <row r="876" spans="1:11" x14ac:dyDescent="0.25">
      <c r="A876" t="s">
        <v>10</v>
      </c>
      <c r="B876" t="s">
        <v>901</v>
      </c>
      <c r="C876" t="s">
        <v>87</v>
      </c>
      <c r="D876" t="s">
        <v>1280</v>
      </c>
      <c r="E876" t="s">
        <v>88</v>
      </c>
      <c r="F876">
        <v>74116</v>
      </c>
      <c r="G876">
        <v>673</v>
      </c>
      <c r="H876">
        <v>0</v>
      </c>
      <c r="I876">
        <v>0.15653748486057395</v>
      </c>
      <c r="J876">
        <f t="shared" si="26"/>
        <v>0</v>
      </c>
      <c r="K876">
        <f t="shared" si="27"/>
        <v>0</v>
      </c>
    </row>
    <row r="877" spans="1:11" x14ac:dyDescent="0.25">
      <c r="A877" t="s">
        <v>10</v>
      </c>
      <c r="B877" t="s">
        <v>902</v>
      </c>
      <c r="C877" t="s">
        <v>87</v>
      </c>
      <c r="D877" t="s">
        <v>1280</v>
      </c>
      <c r="E877" t="s">
        <v>88</v>
      </c>
      <c r="F877">
        <v>74118</v>
      </c>
      <c r="G877">
        <v>602</v>
      </c>
      <c r="H877">
        <v>0</v>
      </c>
      <c r="I877">
        <v>0.67676012549779041</v>
      </c>
      <c r="J877">
        <f t="shared" si="26"/>
        <v>0</v>
      </c>
      <c r="K877">
        <f t="shared" si="27"/>
        <v>0</v>
      </c>
    </row>
    <row r="878" spans="1:11" x14ac:dyDescent="0.25">
      <c r="A878" t="s">
        <v>10</v>
      </c>
      <c r="B878" t="s">
        <v>903</v>
      </c>
      <c r="C878" t="s">
        <v>87</v>
      </c>
      <c r="D878" t="s">
        <v>1280</v>
      </c>
      <c r="E878" t="s">
        <v>88</v>
      </c>
      <c r="F878">
        <v>74122</v>
      </c>
      <c r="G878">
        <v>1742</v>
      </c>
      <c r="H878">
        <v>185</v>
      </c>
      <c r="I878">
        <v>8.0909898603630293E-2</v>
      </c>
      <c r="J878">
        <f t="shared" si="26"/>
        <v>0.10619977037887486</v>
      </c>
      <c r="K878">
        <f t="shared" si="27"/>
        <v>8.5926126530835849E-3</v>
      </c>
    </row>
    <row r="879" spans="1:11" x14ac:dyDescent="0.25">
      <c r="A879" t="s">
        <v>10</v>
      </c>
      <c r="B879" t="s">
        <v>904</v>
      </c>
      <c r="C879" t="s">
        <v>87</v>
      </c>
      <c r="D879" t="s">
        <v>1280</v>
      </c>
      <c r="E879" t="s">
        <v>88</v>
      </c>
      <c r="F879">
        <v>74126</v>
      </c>
      <c r="G879">
        <v>1856</v>
      </c>
      <c r="H879">
        <v>48</v>
      </c>
      <c r="I879">
        <v>0.13878296835873538</v>
      </c>
      <c r="J879">
        <f t="shared" si="26"/>
        <v>2.5862068965517241E-2</v>
      </c>
      <c r="K879">
        <f t="shared" si="27"/>
        <v>3.5892146989328117E-3</v>
      </c>
    </row>
    <row r="880" spans="1:11" x14ac:dyDescent="0.25">
      <c r="A880" t="s">
        <v>10</v>
      </c>
      <c r="B880" t="s">
        <v>905</v>
      </c>
      <c r="C880" t="s">
        <v>87</v>
      </c>
      <c r="D880" t="s">
        <v>1280</v>
      </c>
      <c r="E880" t="s">
        <v>88</v>
      </c>
      <c r="F880">
        <v>74128</v>
      </c>
      <c r="G880">
        <v>1144</v>
      </c>
      <c r="H880">
        <v>117</v>
      </c>
      <c r="I880">
        <v>0.25985248528717841</v>
      </c>
      <c r="J880">
        <f t="shared" si="26"/>
        <v>0.10227272727272728</v>
      </c>
      <c r="K880">
        <f t="shared" si="27"/>
        <v>2.6575822358915976E-2</v>
      </c>
    </row>
    <row r="881" spans="1:11" x14ac:dyDescent="0.25">
      <c r="A881" t="s">
        <v>10</v>
      </c>
      <c r="B881" t="s">
        <v>906</v>
      </c>
      <c r="C881" t="s">
        <v>87</v>
      </c>
      <c r="D881" t="s">
        <v>1280</v>
      </c>
      <c r="E881" t="s">
        <v>88</v>
      </c>
      <c r="F881">
        <v>74130</v>
      </c>
      <c r="G881">
        <v>4959</v>
      </c>
      <c r="H881">
        <v>0</v>
      </c>
      <c r="I881">
        <v>0.12463945494676876</v>
      </c>
      <c r="J881">
        <f t="shared" si="26"/>
        <v>0</v>
      </c>
      <c r="K881">
        <f t="shared" si="27"/>
        <v>0</v>
      </c>
    </row>
    <row r="882" spans="1:11" x14ac:dyDescent="0.25">
      <c r="A882" t="s">
        <v>10</v>
      </c>
      <c r="B882" t="s">
        <v>907</v>
      </c>
      <c r="C882" t="s">
        <v>87</v>
      </c>
      <c r="D882" t="s">
        <v>1280</v>
      </c>
      <c r="E882" t="s">
        <v>88</v>
      </c>
      <c r="F882">
        <v>74155</v>
      </c>
      <c r="G882">
        <v>112</v>
      </c>
      <c r="H882">
        <v>0</v>
      </c>
      <c r="I882">
        <v>0</v>
      </c>
      <c r="J882">
        <f t="shared" si="26"/>
        <v>0</v>
      </c>
      <c r="K882">
        <f t="shared" si="27"/>
        <v>0</v>
      </c>
    </row>
    <row r="883" spans="1:11" x14ac:dyDescent="0.25">
      <c r="A883" t="s">
        <v>10</v>
      </c>
      <c r="B883" t="s">
        <v>908</v>
      </c>
      <c r="C883" t="s">
        <v>87</v>
      </c>
      <c r="D883" t="s">
        <v>1280</v>
      </c>
      <c r="E883" t="s">
        <v>88</v>
      </c>
      <c r="F883">
        <v>74158</v>
      </c>
      <c r="G883">
        <v>1074</v>
      </c>
      <c r="H883">
        <v>0</v>
      </c>
      <c r="I883">
        <v>0.26849079287926803</v>
      </c>
      <c r="J883">
        <f t="shared" si="26"/>
        <v>0</v>
      </c>
      <c r="K883">
        <f t="shared" si="27"/>
        <v>0</v>
      </c>
    </row>
    <row r="884" spans="1:11" x14ac:dyDescent="0.25">
      <c r="A884" t="s">
        <v>10</v>
      </c>
      <c r="B884" t="s">
        <v>909</v>
      </c>
      <c r="C884" t="s">
        <v>87</v>
      </c>
      <c r="D884" t="s">
        <v>1280</v>
      </c>
      <c r="E884" t="s">
        <v>88</v>
      </c>
      <c r="F884">
        <v>74160</v>
      </c>
      <c r="G884">
        <v>1565</v>
      </c>
      <c r="H884">
        <v>0</v>
      </c>
      <c r="I884">
        <v>0.10535488025343909</v>
      </c>
      <c r="J884">
        <f t="shared" si="26"/>
        <v>0</v>
      </c>
      <c r="K884">
        <f t="shared" si="27"/>
        <v>0</v>
      </c>
    </row>
    <row r="885" spans="1:11" x14ac:dyDescent="0.25">
      <c r="A885" t="s">
        <v>10</v>
      </c>
      <c r="B885" t="s">
        <v>910</v>
      </c>
      <c r="C885" t="s">
        <v>87</v>
      </c>
      <c r="D885" t="s">
        <v>1280</v>
      </c>
      <c r="E885" t="s">
        <v>88</v>
      </c>
      <c r="F885">
        <v>74168</v>
      </c>
      <c r="G885">
        <v>883</v>
      </c>
      <c r="H885">
        <v>10</v>
      </c>
      <c r="I885">
        <v>7.9355726136116633E-3</v>
      </c>
      <c r="J885">
        <f t="shared" si="26"/>
        <v>1.1325028312570781E-2</v>
      </c>
      <c r="K885">
        <f t="shared" si="27"/>
        <v>8.9870584525613396E-5</v>
      </c>
    </row>
    <row r="886" spans="1:11" x14ac:dyDescent="0.25">
      <c r="A886" t="s">
        <v>10</v>
      </c>
      <c r="B886" t="s">
        <v>911</v>
      </c>
      <c r="C886" t="s">
        <v>87</v>
      </c>
      <c r="D886" t="s">
        <v>1280</v>
      </c>
      <c r="E886" t="s">
        <v>88</v>
      </c>
      <c r="F886">
        <v>74175</v>
      </c>
      <c r="G886">
        <v>1301</v>
      </c>
      <c r="H886">
        <v>180</v>
      </c>
      <c r="I886">
        <v>0.5736203840408669</v>
      </c>
      <c r="J886">
        <f t="shared" si="26"/>
        <v>0.13835511145272866</v>
      </c>
      <c r="K886">
        <f t="shared" si="27"/>
        <v>7.9363312165531164E-2</v>
      </c>
    </row>
    <row r="887" spans="1:11" x14ac:dyDescent="0.25">
      <c r="A887" t="s">
        <v>10</v>
      </c>
      <c r="B887" t="s">
        <v>912</v>
      </c>
      <c r="C887" t="s">
        <v>87</v>
      </c>
      <c r="D887" t="s">
        <v>1280</v>
      </c>
      <c r="E887" t="s">
        <v>88</v>
      </c>
      <c r="F887">
        <v>74177</v>
      </c>
      <c r="G887">
        <v>74</v>
      </c>
      <c r="H887">
        <v>0</v>
      </c>
      <c r="I887">
        <v>1.724007561436669E-2</v>
      </c>
      <c r="J887">
        <f t="shared" si="26"/>
        <v>0</v>
      </c>
      <c r="K887">
        <f t="shared" si="27"/>
        <v>0</v>
      </c>
    </row>
    <row r="888" spans="1:11" x14ac:dyDescent="0.25">
      <c r="A888" t="s">
        <v>10</v>
      </c>
      <c r="B888" t="s">
        <v>913</v>
      </c>
      <c r="C888" t="s">
        <v>87</v>
      </c>
      <c r="D888" t="s">
        <v>1280</v>
      </c>
      <c r="E888" t="s">
        <v>88</v>
      </c>
      <c r="F888">
        <v>74179</v>
      </c>
      <c r="G888">
        <v>11</v>
      </c>
      <c r="H888">
        <v>0</v>
      </c>
      <c r="I888">
        <v>8.3312164473572592E-2</v>
      </c>
      <c r="J888">
        <f t="shared" si="26"/>
        <v>0</v>
      </c>
      <c r="K888">
        <f t="shared" si="27"/>
        <v>0</v>
      </c>
    </row>
    <row r="889" spans="1:11" x14ac:dyDescent="0.25">
      <c r="A889" t="s">
        <v>10</v>
      </c>
      <c r="B889" t="s">
        <v>914</v>
      </c>
      <c r="C889" t="s">
        <v>915</v>
      </c>
      <c r="D889" t="s">
        <v>915</v>
      </c>
      <c r="E889" t="s">
        <v>916</v>
      </c>
      <c r="F889" s="2">
        <v>22111</v>
      </c>
      <c r="G889">
        <v>101213</v>
      </c>
      <c r="H889">
        <v>4238</v>
      </c>
      <c r="I889">
        <v>0.72392924426466365</v>
      </c>
      <c r="J889">
        <f t="shared" si="26"/>
        <v>4.18720915297442E-2</v>
      </c>
      <c r="K889">
        <f t="shared" si="27"/>
        <v>3.0312431576908543E-2</v>
      </c>
    </row>
    <row r="890" spans="1:11" x14ac:dyDescent="0.25">
      <c r="A890" t="s">
        <v>10</v>
      </c>
      <c r="B890" t="s">
        <v>917</v>
      </c>
      <c r="C890" t="s">
        <v>918</v>
      </c>
      <c r="D890" t="s">
        <v>918</v>
      </c>
      <c r="E890" t="s">
        <v>919</v>
      </c>
      <c r="F890" s="3">
        <v>37271</v>
      </c>
      <c r="G890">
        <v>31818</v>
      </c>
      <c r="H890">
        <v>1600</v>
      </c>
      <c r="I890">
        <v>0.16190388194377814</v>
      </c>
      <c r="J890">
        <f t="shared" si="26"/>
        <v>5.0286001634295051E-2</v>
      </c>
      <c r="K890">
        <f t="shared" si="27"/>
        <v>8.1414988720235407E-3</v>
      </c>
    </row>
    <row r="891" spans="1:11" x14ac:dyDescent="0.25">
      <c r="A891" t="s">
        <v>10</v>
      </c>
      <c r="B891" t="s">
        <v>920</v>
      </c>
      <c r="C891" t="s">
        <v>921</v>
      </c>
      <c r="D891" t="s">
        <v>921</v>
      </c>
      <c r="E891" t="s">
        <v>916</v>
      </c>
      <c r="F891" s="3">
        <v>23251</v>
      </c>
      <c r="G891">
        <v>23223</v>
      </c>
      <c r="H891">
        <v>17145</v>
      </c>
      <c r="I891">
        <v>5.6244943718160689E-2</v>
      </c>
      <c r="J891">
        <f t="shared" si="26"/>
        <v>0.73827670843560267</v>
      </c>
      <c r="K891">
        <f t="shared" si="27"/>
        <v>4.1524331914389402E-2</v>
      </c>
    </row>
    <row r="892" spans="1:11" x14ac:dyDescent="0.25">
      <c r="A892" t="s">
        <v>10</v>
      </c>
      <c r="B892" t="s">
        <v>922</v>
      </c>
      <c r="C892" t="s">
        <v>921</v>
      </c>
      <c r="D892" t="s">
        <v>921</v>
      </c>
      <c r="E892" t="s">
        <v>916</v>
      </c>
      <c r="F892" s="2">
        <v>23141</v>
      </c>
      <c r="G892">
        <v>17065</v>
      </c>
      <c r="H892">
        <v>10950</v>
      </c>
      <c r="I892">
        <v>7.7090347511454493E-2</v>
      </c>
      <c r="J892">
        <f t="shared" si="26"/>
        <v>0.64166422502197484</v>
      </c>
      <c r="K892">
        <f t="shared" si="27"/>
        <v>4.9466118092612171E-2</v>
      </c>
    </row>
    <row r="893" spans="1:11" x14ac:dyDescent="0.25">
      <c r="A893" t="s">
        <v>10</v>
      </c>
      <c r="B893" t="s">
        <v>923</v>
      </c>
      <c r="C893" t="s">
        <v>915</v>
      </c>
      <c r="D893" t="s">
        <v>915</v>
      </c>
      <c r="E893" t="s">
        <v>916</v>
      </c>
      <c r="F893" s="2">
        <v>22228</v>
      </c>
      <c r="G893">
        <v>67773</v>
      </c>
      <c r="H893">
        <v>427</v>
      </c>
      <c r="I893">
        <v>0.81932565009718106</v>
      </c>
      <c r="J893">
        <f t="shared" si="26"/>
        <v>6.300444129668157E-3</v>
      </c>
      <c r="K893">
        <f t="shared" si="27"/>
        <v>5.1621154824413309E-3</v>
      </c>
    </row>
    <row r="894" spans="1:11" x14ac:dyDescent="0.25">
      <c r="A894" t="s">
        <v>10</v>
      </c>
      <c r="B894" t="s">
        <v>924</v>
      </c>
      <c r="C894" t="s">
        <v>921</v>
      </c>
      <c r="D894" t="s">
        <v>921</v>
      </c>
      <c r="E894" t="s">
        <v>916</v>
      </c>
      <c r="F894" s="3">
        <v>23211</v>
      </c>
      <c r="G894">
        <v>24657</v>
      </c>
      <c r="H894">
        <v>8284</v>
      </c>
      <c r="I894">
        <v>6.6710799524541509E-2</v>
      </c>
      <c r="J894">
        <f t="shared" si="26"/>
        <v>0.33596950156142275</v>
      </c>
      <c r="K894">
        <f t="shared" si="27"/>
        <v>2.2412794065024208E-2</v>
      </c>
    </row>
    <row r="895" spans="1:11" x14ac:dyDescent="0.25">
      <c r="A895" t="s">
        <v>10</v>
      </c>
      <c r="B895" t="s">
        <v>925</v>
      </c>
      <c r="C895" t="s">
        <v>921</v>
      </c>
      <c r="D895" t="s">
        <v>921</v>
      </c>
      <c r="E895" t="s">
        <v>916</v>
      </c>
      <c r="F895" s="2">
        <v>23267</v>
      </c>
      <c r="G895">
        <v>8928</v>
      </c>
      <c r="H895">
        <v>14406</v>
      </c>
      <c r="I895">
        <v>0.5313993045176324</v>
      </c>
      <c r="J895">
        <f t="shared" si="26"/>
        <v>1.6135752688172043</v>
      </c>
      <c r="K895">
        <f t="shared" si="27"/>
        <v>0.85745277563631406</v>
      </c>
    </row>
    <row r="896" spans="1:11" x14ac:dyDescent="0.25">
      <c r="A896" t="s">
        <v>10</v>
      </c>
      <c r="B896" t="s">
        <v>926</v>
      </c>
      <c r="C896" t="s">
        <v>921</v>
      </c>
      <c r="D896" t="s">
        <v>921</v>
      </c>
      <c r="E896" t="s">
        <v>916</v>
      </c>
      <c r="F896" s="3">
        <v>23271</v>
      </c>
      <c r="G896">
        <v>4748</v>
      </c>
      <c r="H896">
        <v>3915</v>
      </c>
      <c r="I896">
        <v>0.47461374217312557</v>
      </c>
      <c r="J896">
        <f t="shared" si="26"/>
        <v>0.8245577085088458</v>
      </c>
      <c r="K896">
        <f t="shared" si="27"/>
        <v>0.39134641967308059</v>
      </c>
    </row>
    <row r="897" spans="1:11" x14ac:dyDescent="0.25">
      <c r="A897" t="s">
        <v>10</v>
      </c>
      <c r="B897" t="s">
        <v>927</v>
      </c>
      <c r="C897" t="s">
        <v>921</v>
      </c>
      <c r="D897" t="s">
        <v>921</v>
      </c>
      <c r="E897" t="s">
        <v>916</v>
      </c>
      <c r="F897" s="2">
        <v>23111</v>
      </c>
      <c r="G897">
        <v>5471</v>
      </c>
      <c r="H897">
        <v>662</v>
      </c>
      <c r="I897">
        <v>0.26056557215787601</v>
      </c>
      <c r="J897">
        <f t="shared" si="26"/>
        <v>0.1210016450374703</v>
      </c>
      <c r="K897">
        <f t="shared" si="27"/>
        <v>3.1528862871232667E-2</v>
      </c>
    </row>
    <row r="898" spans="1:11" x14ac:dyDescent="0.25">
      <c r="A898" t="s">
        <v>10</v>
      </c>
      <c r="B898" t="s">
        <v>928</v>
      </c>
      <c r="C898" t="s">
        <v>915</v>
      </c>
      <c r="D898" t="s">
        <v>915</v>
      </c>
      <c r="E898" t="s">
        <v>916</v>
      </c>
      <c r="F898" s="2">
        <v>22262</v>
      </c>
      <c r="G898">
        <v>26757</v>
      </c>
      <c r="H898">
        <v>1443</v>
      </c>
      <c r="I898">
        <v>0.76725867808966774</v>
      </c>
      <c r="J898">
        <f t="shared" si="26"/>
        <v>5.3929812759277947E-2</v>
      </c>
      <c r="K898">
        <f t="shared" si="27"/>
        <v>4.1378116847306891E-2</v>
      </c>
    </row>
    <row r="899" spans="1:11" x14ac:dyDescent="0.25">
      <c r="A899" t="s">
        <v>10</v>
      </c>
      <c r="B899" t="s">
        <v>929</v>
      </c>
      <c r="C899" t="s">
        <v>915</v>
      </c>
      <c r="D899" t="s">
        <v>915</v>
      </c>
      <c r="E899" t="s">
        <v>916</v>
      </c>
      <c r="F899" s="3">
        <v>22155</v>
      </c>
      <c r="G899">
        <v>38488</v>
      </c>
      <c r="H899">
        <v>90</v>
      </c>
      <c r="I899">
        <v>0.5527455506169825</v>
      </c>
      <c r="J899">
        <f t="shared" ref="J899:J962" si="28">IF(G899=0,0,H899/G899)</f>
        <v>2.3383911868634379E-3</v>
      </c>
      <c r="K899">
        <f t="shared" ref="K899:K962" si="29">J899*I899</f>
        <v>1.2925353241407301E-3</v>
      </c>
    </row>
    <row r="900" spans="1:11" x14ac:dyDescent="0.25">
      <c r="A900" t="s">
        <v>10</v>
      </c>
      <c r="B900" t="s">
        <v>930</v>
      </c>
      <c r="C900" t="s">
        <v>931</v>
      </c>
      <c r="D900" t="s">
        <v>931</v>
      </c>
      <c r="E900" t="s">
        <v>919</v>
      </c>
      <c r="F900" s="2">
        <v>34188</v>
      </c>
      <c r="G900">
        <v>12273</v>
      </c>
      <c r="H900">
        <v>100</v>
      </c>
      <c r="I900">
        <v>0.58636827664329882</v>
      </c>
      <c r="J900">
        <f t="shared" si="28"/>
        <v>8.1479670822129872E-3</v>
      </c>
      <c r="K900">
        <f t="shared" si="29"/>
        <v>4.7777094161435569E-3</v>
      </c>
    </row>
    <row r="901" spans="1:11" x14ac:dyDescent="0.25">
      <c r="A901" t="s">
        <v>10</v>
      </c>
      <c r="B901" t="s">
        <v>932</v>
      </c>
      <c r="C901" t="s">
        <v>915</v>
      </c>
      <c r="D901" t="s">
        <v>915</v>
      </c>
      <c r="E901" t="s">
        <v>916</v>
      </c>
      <c r="F901" s="3">
        <v>22419</v>
      </c>
      <c r="G901">
        <v>12788</v>
      </c>
      <c r="H901">
        <v>1399</v>
      </c>
      <c r="I901">
        <v>0.5765196460069667</v>
      </c>
      <c r="J901">
        <f t="shared" si="28"/>
        <v>0.1093994369721614</v>
      </c>
      <c r="K901">
        <f t="shared" si="29"/>
        <v>6.3070924676551954E-2</v>
      </c>
    </row>
    <row r="902" spans="1:11" x14ac:dyDescent="0.25">
      <c r="A902" t="s">
        <v>10</v>
      </c>
      <c r="B902" t="s">
        <v>933</v>
      </c>
      <c r="C902" t="s">
        <v>934</v>
      </c>
      <c r="D902" t="s">
        <v>934</v>
      </c>
      <c r="E902" t="s">
        <v>919</v>
      </c>
      <c r="F902" s="2">
        <v>32119</v>
      </c>
      <c r="G902">
        <v>4804</v>
      </c>
      <c r="H902">
        <v>8</v>
      </c>
      <c r="I902">
        <v>0.2075497131564118</v>
      </c>
      <c r="J902">
        <f t="shared" si="28"/>
        <v>1.6652789342214821E-3</v>
      </c>
      <c r="K902">
        <f t="shared" si="29"/>
        <v>3.4562816512308378E-4</v>
      </c>
    </row>
    <row r="903" spans="1:11" x14ac:dyDescent="0.25">
      <c r="A903" t="s">
        <v>10</v>
      </c>
      <c r="B903" t="s">
        <v>935</v>
      </c>
      <c r="C903" t="s">
        <v>931</v>
      </c>
      <c r="D903" t="s">
        <v>931</v>
      </c>
      <c r="E903" t="s">
        <v>919</v>
      </c>
      <c r="F903" s="3">
        <v>34111</v>
      </c>
      <c r="G903">
        <v>4474</v>
      </c>
      <c r="H903">
        <v>2023</v>
      </c>
      <c r="I903">
        <v>0.57111121447458579</v>
      </c>
      <c r="J903">
        <f t="shared" si="28"/>
        <v>0.45216808225301741</v>
      </c>
      <c r="K903">
        <f t="shared" si="29"/>
        <v>0.2582382626021652</v>
      </c>
    </row>
    <row r="904" spans="1:11" x14ac:dyDescent="0.25">
      <c r="A904" t="s">
        <v>10</v>
      </c>
      <c r="B904" t="s">
        <v>936</v>
      </c>
      <c r="C904" t="s">
        <v>937</v>
      </c>
      <c r="D904" t="s">
        <v>937</v>
      </c>
      <c r="E904" t="s">
        <v>937</v>
      </c>
      <c r="F904" s="3">
        <v>71111</v>
      </c>
      <c r="G904">
        <v>31285</v>
      </c>
      <c r="H904">
        <v>0</v>
      </c>
      <c r="I904">
        <v>6.5879757097429881E-2</v>
      </c>
      <c r="J904">
        <f t="shared" si="28"/>
        <v>0</v>
      </c>
      <c r="K904">
        <f t="shared" si="29"/>
        <v>0</v>
      </c>
    </row>
    <row r="905" spans="1:11" x14ac:dyDescent="0.25">
      <c r="A905" t="s">
        <v>10</v>
      </c>
      <c r="B905" t="s">
        <v>938</v>
      </c>
      <c r="C905" t="s">
        <v>915</v>
      </c>
      <c r="D905" t="s">
        <v>915</v>
      </c>
      <c r="E905" t="s">
        <v>916</v>
      </c>
      <c r="F905" s="2">
        <v>22211</v>
      </c>
      <c r="G905">
        <v>17313</v>
      </c>
      <c r="H905">
        <v>2475</v>
      </c>
      <c r="I905">
        <v>4.9668646199906075E-2</v>
      </c>
      <c r="J905">
        <f t="shared" si="28"/>
        <v>0.14295616011089932</v>
      </c>
      <c r="K905">
        <f t="shared" si="29"/>
        <v>7.1004389386453834E-3</v>
      </c>
    </row>
    <row r="906" spans="1:11" x14ac:dyDescent="0.25">
      <c r="A906" t="s">
        <v>10</v>
      </c>
      <c r="B906" t="s">
        <v>939</v>
      </c>
      <c r="C906" t="s">
        <v>918</v>
      </c>
      <c r="D906" t="s">
        <v>918</v>
      </c>
      <c r="E906" t="s">
        <v>919</v>
      </c>
      <c r="F906" s="3">
        <v>37311</v>
      </c>
      <c r="G906">
        <v>6287</v>
      </c>
      <c r="H906">
        <v>400</v>
      </c>
      <c r="I906">
        <v>0.30629391873608303</v>
      </c>
      <c r="J906">
        <f t="shared" si="28"/>
        <v>6.3623349769365359E-2</v>
      </c>
      <c r="K906">
        <f t="shared" si="29"/>
        <v>1.9487445123975381E-2</v>
      </c>
    </row>
    <row r="907" spans="1:11" x14ac:dyDescent="0.25">
      <c r="A907" t="s">
        <v>10</v>
      </c>
      <c r="B907" t="s">
        <v>940</v>
      </c>
      <c r="C907" t="s">
        <v>934</v>
      </c>
      <c r="D907" t="s">
        <v>934</v>
      </c>
      <c r="E907" t="s">
        <v>919</v>
      </c>
      <c r="F907" s="3">
        <v>32185</v>
      </c>
      <c r="G907">
        <v>7850</v>
      </c>
      <c r="H907">
        <v>250</v>
      </c>
      <c r="I907">
        <v>0.5675025732771295</v>
      </c>
      <c r="J907">
        <f t="shared" si="28"/>
        <v>3.1847133757961783E-2</v>
      </c>
      <c r="K907">
        <f t="shared" si="29"/>
        <v>1.8073330359144251E-2</v>
      </c>
    </row>
    <row r="908" spans="1:11" x14ac:dyDescent="0.25">
      <c r="A908" t="s">
        <v>10</v>
      </c>
      <c r="B908" t="s">
        <v>941</v>
      </c>
      <c r="C908" t="s">
        <v>921</v>
      </c>
      <c r="D908" t="s">
        <v>921</v>
      </c>
      <c r="E908" t="s">
        <v>916</v>
      </c>
      <c r="F908" s="2">
        <v>23321</v>
      </c>
      <c r="G908">
        <v>5440</v>
      </c>
      <c r="H908">
        <v>270</v>
      </c>
      <c r="I908">
        <v>0.44028924711140338</v>
      </c>
      <c r="J908">
        <f t="shared" si="28"/>
        <v>4.9632352941176468E-2</v>
      </c>
      <c r="K908">
        <f t="shared" si="29"/>
        <v>2.1852591308838033E-2</v>
      </c>
    </row>
    <row r="909" spans="1:11" x14ac:dyDescent="0.25">
      <c r="A909" t="s">
        <v>10</v>
      </c>
      <c r="B909" t="s">
        <v>942</v>
      </c>
      <c r="C909" t="s">
        <v>937</v>
      </c>
      <c r="D909" t="s">
        <v>937</v>
      </c>
      <c r="E909" t="s">
        <v>937</v>
      </c>
      <c r="F909" s="2">
        <v>71155</v>
      </c>
      <c r="G909">
        <v>12482</v>
      </c>
      <c r="H909">
        <v>112</v>
      </c>
      <c r="I909">
        <v>8.1251291074497467E-2</v>
      </c>
      <c r="J909">
        <f t="shared" si="28"/>
        <v>8.9729210062489979E-3</v>
      </c>
      <c r="K909">
        <f t="shared" si="29"/>
        <v>7.2906141646721003E-4</v>
      </c>
    </row>
    <row r="910" spans="1:11" x14ac:dyDescent="0.25">
      <c r="A910" t="s">
        <v>10</v>
      </c>
      <c r="B910" t="s">
        <v>943</v>
      </c>
      <c r="C910" t="s">
        <v>937</v>
      </c>
      <c r="D910" t="s">
        <v>937</v>
      </c>
      <c r="E910" t="s">
        <v>937</v>
      </c>
      <c r="F910" s="3">
        <v>71324</v>
      </c>
      <c r="G910">
        <v>3741</v>
      </c>
      <c r="H910">
        <v>0</v>
      </c>
      <c r="I910">
        <v>0.53439999999999999</v>
      </c>
      <c r="J910">
        <f t="shared" si="28"/>
        <v>0</v>
      </c>
      <c r="K910">
        <f t="shared" si="29"/>
        <v>0</v>
      </c>
    </row>
    <row r="911" spans="1:11" x14ac:dyDescent="0.25">
      <c r="A911" t="s">
        <v>10</v>
      </c>
      <c r="B911" t="s">
        <v>944</v>
      </c>
      <c r="C911" t="s">
        <v>934</v>
      </c>
      <c r="D911" t="s">
        <v>934</v>
      </c>
      <c r="E911" t="s">
        <v>919</v>
      </c>
      <c r="F911" s="2">
        <v>32179</v>
      </c>
      <c r="G911">
        <v>6594</v>
      </c>
      <c r="H911">
        <v>150</v>
      </c>
      <c r="I911">
        <v>0.56712363880937966</v>
      </c>
      <c r="J911">
        <f t="shared" si="28"/>
        <v>2.2747952684258416E-2</v>
      </c>
      <c r="K911">
        <f t="shared" si="29"/>
        <v>1.2900901701760227E-2</v>
      </c>
    </row>
    <row r="912" spans="1:11" x14ac:dyDescent="0.25">
      <c r="A912" t="s">
        <v>10</v>
      </c>
      <c r="B912" t="s">
        <v>945</v>
      </c>
      <c r="C912" t="s">
        <v>937</v>
      </c>
      <c r="D912" t="s">
        <v>937</v>
      </c>
      <c r="E912" t="s">
        <v>937</v>
      </c>
      <c r="F912" s="3">
        <v>71133</v>
      </c>
      <c r="G912">
        <v>7826</v>
      </c>
      <c r="H912">
        <v>315</v>
      </c>
      <c r="I912">
        <v>6.1211284745902095E-2</v>
      </c>
      <c r="J912">
        <f t="shared" si="28"/>
        <v>4.0250447227191413E-2</v>
      </c>
      <c r="K912">
        <f t="shared" si="29"/>
        <v>2.4637815863735191E-3</v>
      </c>
    </row>
    <row r="913" spans="1:11" x14ac:dyDescent="0.25">
      <c r="A913" t="s">
        <v>10</v>
      </c>
      <c r="B913" t="s">
        <v>946</v>
      </c>
      <c r="C913" t="s">
        <v>934</v>
      </c>
      <c r="D913" t="s">
        <v>934</v>
      </c>
      <c r="E913" t="s">
        <v>919</v>
      </c>
      <c r="F913" s="3">
        <v>32181</v>
      </c>
      <c r="G913">
        <v>8681</v>
      </c>
      <c r="H913">
        <v>340</v>
      </c>
      <c r="I913">
        <v>0.41158961869721244</v>
      </c>
      <c r="J913">
        <f t="shared" si="28"/>
        <v>3.9165994701071308E-2</v>
      </c>
      <c r="K913">
        <f t="shared" si="29"/>
        <v>1.6120316824910982E-2</v>
      </c>
    </row>
    <row r="914" spans="1:11" x14ac:dyDescent="0.25">
      <c r="A914" t="s">
        <v>10</v>
      </c>
      <c r="B914" t="s">
        <v>947</v>
      </c>
      <c r="C914" t="s">
        <v>921</v>
      </c>
      <c r="D914" t="s">
        <v>921</v>
      </c>
      <c r="E914" t="s">
        <v>916</v>
      </c>
      <c r="F914" s="3">
        <v>23511</v>
      </c>
      <c r="G914">
        <v>11590</v>
      </c>
      <c r="H914">
        <v>720</v>
      </c>
      <c r="I914">
        <v>8.4097157065115558E-2</v>
      </c>
      <c r="J914">
        <f t="shared" si="28"/>
        <v>6.2122519413287315E-2</v>
      </c>
      <c r="K914">
        <f t="shared" si="29"/>
        <v>5.2243272723799137E-3</v>
      </c>
    </row>
    <row r="915" spans="1:11" x14ac:dyDescent="0.25">
      <c r="A915" t="s">
        <v>10</v>
      </c>
      <c r="B915" t="s">
        <v>948</v>
      </c>
      <c r="C915" t="s">
        <v>918</v>
      </c>
      <c r="D915" t="s">
        <v>918</v>
      </c>
      <c r="E915" t="s">
        <v>919</v>
      </c>
      <c r="F915" s="2">
        <v>37391</v>
      </c>
      <c r="G915">
        <v>10472</v>
      </c>
      <c r="H915">
        <v>532</v>
      </c>
      <c r="I915">
        <v>1.9559351900525379E-2</v>
      </c>
      <c r="J915">
        <f t="shared" si="28"/>
        <v>5.0802139037433157E-2</v>
      </c>
      <c r="K915">
        <f t="shared" si="29"/>
        <v>9.9365691473257277E-4</v>
      </c>
    </row>
    <row r="916" spans="1:11" x14ac:dyDescent="0.25">
      <c r="A916" t="s">
        <v>10</v>
      </c>
      <c r="B916" t="s">
        <v>949</v>
      </c>
      <c r="C916" t="s">
        <v>921</v>
      </c>
      <c r="D916" t="s">
        <v>921</v>
      </c>
      <c r="E916" t="s">
        <v>916</v>
      </c>
      <c r="F916" s="3">
        <v>23231</v>
      </c>
      <c r="G916">
        <v>7143</v>
      </c>
      <c r="H916">
        <v>1500</v>
      </c>
      <c r="I916">
        <v>0.19433366899754567</v>
      </c>
      <c r="J916">
        <f t="shared" si="28"/>
        <v>0.20999580008399832</v>
      </c>
      <c r="K916">
        <f t="shared" si="29"/>
        <v>4.0809254304398503E-2</v>
      </c>
    </row>
    <row r="917" spans="1:11" x14ac:dyDescent="0.25">
      <c r="A917" t="s">
        <v>10</v>
      </c>
      <c r="B917" t="s">
        <v>950</v>
      </c>
      <c r="C917" t="s">
        <v>918</v>
      </c>
      <c r="D917" t="s">
        <v>918</v>
      </c>
      <c r="E917" t="s">
        <v>919</v>
      </c>
      <c r="F917" s="2">
        <v>37241</v>
      </c>
      <c r="G917">
        <v>6243</v>
      </c>
      <c r="H917">
        <v>191</v>
      </c>
      <c r="I917">
        <v>1.3211084785234584E-2</v>
      </c>
      <c r="J917">
        <f t="shared" si="28"/>
        <v>3.0594265577446739E-2</v>
      </c>
      <c r="K917">
        <f t="shared" si="29"/>
        <v>4.0418343648563276E-4</v>
      </c>
    </row>
    <row r="918" spans="1:11" x14ac:dyDescent="0.25">
      <c r="A918" t="s">
        <v>10</v>
      </c>
      <c r="B918" t="s">
        <v>951</v>
      </c>
      <c r="C918" t="s">
        <v>937</v>
      </c>
      <c r="D918" t="s">
        <v>937</v>
      </c>
      <c r="E918" t="s">
        <v>937</v>
      </c>
      <c r="F918" s="3">
        <v>71166</v>
      </c>
      <c r="G918">
        <v>6156</v>
      </c>
      <c r="H918">
        <v>0</v>
      </c>
      <c r="I918">
        <v>4.6658172998762404E-2</v>
      </c>
      <c r="J918">
        <f t="shared" si="28"/>
        <v>0</v>
      </c>
      <c r="K918">
        <f t="shared" si="29"/>
        <v>0</v>
      </c>
    </row>
    <row r="919" spans="1:11" x14ac:dyDescent="0.25">
      <c r="A919" t="s">
        <v>10</v>
      </c>
      <c r="B919" t="s">
        <v>952</v>
      </c>
      <c r="C919" t="s">
        <v>937</v>
      </c>
      <c r="D919" t="s">
        <v>937</v>
      </c>
      <c r="E919" t="s">
        <v>937</v>
      </c>
      <c r="F919" s="3">
        <v>71334</v>
      </c>
      <c r="G919">
        <v>11385</v>
      </c>
      <c r="H919">
        <v>4</v>
      </c>
      <c r="I919">
        <v>5.0757280978916963E-2</v>
      </c>
      <c r="J919">
        <f t="shared" si="28"/>
        <v>3.5133948177426441E-4</v>
      </c>
      <c r="K919">
        <f t="shared" si="29"/>
        <v>1.7833036795403415E-5</v>
      </c>
    </row>
    <row r="920" spans="1:11" x14ac:dyDescent="0.25">
      <c r="A920" t="s">
        <v>10</v>
      </c>
      <c r="B920" t="s">
        <v>953</v>
      </c>
      <c r="C920" t="s">
        <v>915</v>
      </c>
      <c r="D920" t="s">
        <v>915</v>
      </c>
      <c r="E920" t="s">
        <v>916</v>
      </c>
      <c r="F920" s="2">
        <v>22754</v>
      </c>
      <c r="G920">
        <v>3359</v>
      </c>
      <c r="H920">
        <v>670</v>
      </c>
      <c r="I920">
        <v>0.66884717978865638</v>
      </c>
      <c r="J920">
        <f t="shared" si="28"/>
        <v>0.19946412622804405</v>
      </c>
      <c r="K920">
        <f t="shared" si="29"/>
        <v>0.13341101829663582</v>
      </c>
    </row>
    <row r="921" spans="1:11" x14ac:dyDescent="0.25">
      <c r="A921" t="s">
        <v>10</v>
      </c>
      <c r="B921" t="s">
        <v>954</v>
      </c>
      <c r="C921" t="s">
        <v>937</v>
      </c>
      <c r="D921" t="s">
        <v>937</v>
      </c>
      <c r="E921" t="s">
        <v>937</v>
      </c>
      <c r="F921" s="2">
        <v>71113</v>
      </c>
      <c r="G921">
        <v>8161</v>
      </c>
      <c r="H921">
        <v>0</v>
      </c>
      <c r="I921">
        <v>0.17089337481854461</v>
      </c>
      <c r="J921">
        <f t="shared" si="28"/>
        <v>0</v>
      </c>
      <c r="K921">
        <f t="shared" si="29"/>
        <v>0</v>
      </c>
    </row>
    <row r="922" spans="1:11" x14ac:dyDescent="0.25">
      <c r="A922" t="s">
        <v>10</v>
      </c>
      <c r="B922" t="s">
        <v>955</v>
      </c>
      <c r="C922" t="s">
        <v>915</v>
      </c>
      <c r="D922" t="s">
        <v>915</v>
      </c>
      <c r="E922" t="s">
        <v>916</v>
      </c>
      <c r="F922" s="3">
        <v>22311</v>
      </c>
      <c r="G922">
        <v>14804</v>
      </c>
      <c r="H922">
        <v>566</v>
      </c>
      <c r="I922">
        <v>0.77209716580525867</v>
      </c>
      <c r="J922">
        <f t="shared" si="28"/>
        <v>3.8232910024317751E-2</v>
      </c>
      <c r="K922">
        <f t="shared" si="29"/>
        <v>2.95195214702632E-2</v>
      </c>
    </row>
    <row r="923" spans="1:11" x14ac:dyDescent="0.25">
      <c r="A923" t="s">
        <v>10</v>
      </c>
      <c r="B923" t="s">
        <v>956</v>
      </c>
      <c r="C923" t="s">
        <v>915</v>
      </c>
      <c r="D923" t="s">
        <v>915</v>
      </c>
      <c r="E923" t="s">
        <v>916</v>
      </c>
      <c r="F923" s="2">
        <v>22511</v>
      </c>
      <c r="G923">
        <v>3945</v>
      </c>
      <c r="H923">
        <v>23</v>
      </c>
      <c r="I923">
        <v>0.47951078238712674</v>
      </c>
      <c r="J923">
        <f t="shared" si="28"/>
        <v>5.8301647655259825E-3</v>
      </c>
      <c r="K923">
        <f t="shared" si="29"/>
        <v>2.7956268681632234E-3</v>
      </c>
    </row>
    <row r="924" spans="1:11" x14ac:dyDescent="0.25">
      <c r="A924" t="s">
        <v>10</v>
      </c>
      <c r="B924" t="s">
        <v>957</v>
      </c>
      <c r="C924" t="s">
        <v>937</v>
      </c>
      <c r="D924" t="s">
        <v>937</v>
      </c>
      <c r="E924" t="s">
        <v>937</v>
      </c>
      <c r="F924" s="3">
        <v>71311</v>
      </c>
      <c r="G924">
        <v>8690</v>
      </c>
      <c r="H924">
        <v>144</v>
      </c>
      <c r="I924">
        <v>9.7638683185543584E-2</v>
      </c>
      <c r="J924">
        <f t="shared" si="28"/>
        <v>1.6570771001150748E-2</v>
      </c>
      <c r="K924">
        <f t="shared" si="29"/>
        <v>1.6179482599215508E-3</v>
      </c>
    </row>
    <row r="925" spans="1:11" x14ac:dyDescent="0.25">
      <c r="A925" t="s">
        <v>10</v>
      </c>
      <c r="B925" t="s">
        <v>958</v>
      </c>
      <c r="C925" t="s">
        <v>915</v>
      </c>
      <c r="D925" t="s">
        <v>915</v>
      </c>
      <c r="E925" t="s">
        <v>916</v>
      </c>
      <c r="F925" s="2">
        <v>22611</v>
      </c>
      <c r="G925">
        <v>8762</v>
      </c>
      <c r="H925">
        <v>332</v>
      </c>
      <c r="I925">
        <v>0.75943801174625036</v>
      </c>
      <c r="J925">
        <f t="shared" si="28"/>
        <v>3.7890892490299019E-2</v>
      </c>
      <c r="K925">
        <f t="shared" si="29"/>
        <v>2.8775784056123615E-2</v>
      </c>
    </row>
    <row r="926" spans="1:11" x14ac:dyDescent="0.25">
      <c r="A926" t="s">
        <v>10</v>
      </c>
      <c r="B926" t="s">
        <v>959</v>
      </c>
      <c r="C926" t="s">
        <v>931</v>
      </c>
      <c r="D926" t="s">
        <v>931</v>
      </c>
      <c r="E926" t="s">
        <v>919</v>
      </c>
      <c r="F926" s="2">
        <v>34155</v>
      </c>
      <c r="G926">
        <v>1923</v>
      </c>
      <c r="H926">
        <v>257</v>
      </c>
      <c r="I926">
        <v>0.41922272343795741</v>
      </c>
      <c r="J926">
        <f t="shared" si="28"/>
        <v>0.13364534581383256</v>
      </c>
      <c r="K926">
        <f t="shared" si="29"/>
        <v>5.6027165846882505E-2</v>
      </c>
    </row>
    <row r="927" spans="1:11" x14ac:dyDescent="0.25">
      <c r="A927" t="s">
        <v>10</v>
      </c>
      <c r="B927" t="s">
        <v>960</v>
      </c>
      <c r="C927" t="s">
        <v>934</v>
      </c>
      <c r="D927" t="s">
        <v>934</v>
      </c>
      <c r="E927" t="s">
        <v>919</v>
      </c>
      <c r="F927" s="3">
        <v>32111</v>
      </c>
      <c r="G927">
        <v>7172</v>
      </c>
      <c r="H927">
        <v>200</v>
      </c>
      <c r="I927">
        <v>0.24897695237729567</v>
      </c>
      <c r="J927">
        <f t="shared" si="28"/>
        <v>2.7886224205242609E-2</v>
      </c>
      <c r="K927">
        <f t="shared" si="29"/>
        <v>6.9430271159312785E-3</v>
      </c>
    </row>
    <row r="928" spans="1:11" x14ac:dyDescent="0.25">
      <c r="A928" t="s">
        <v>10</v>
      </c>
      <c r="B928" t="s">
        <v>961</v>
      </c>
      <c r="C928" t="s">
        <v>915</v>
      </c>
      <c r="D928" t="s">
        <v>915</v>
      </c>
      <c r="E928" t="s">
        <v>916</v>
      </c>
      <c r="F928" s="3">
        <v>22659</v>
      </c>
      <c r="G928">
        <v>6269</v>
      </c>
      <c r="H928">
        <v>279</v>
      </c>
      <c r="I928">
        <v>0.56121410080521605</v>
      </c>
      <c r="J928">
        <f t="shared" si="28"/>
        <v>4.4504705694688146E-2</v>
      </c>
      <c r="K928">
        <f t="shared" si="29"/>
        <v>2.4976668388045187E-2</v>
      </c>
    </row>
    <row r="929" spans="1:11" x14ac:dyDescent="0.25">
      <c r="A929" t="s">
        <v>10</v>
      </c>
      <c r="B929" t="s">
        <v>962</v>
      </c>
      <c r="C929" t="s">
        <v>918</v>
      </c>
      <c r="D929" t="s">
        <v>918</v>
      </c>
      <c r="E929" t="s">
        <v>919</v>
      </c>
      <c r="F929" s="2">
        <v>37381</v>
      </c>
      <c r="G929">
        <v>2534</v>
      </c>
      <c r="H929">
        <v>327</v>
      </c>
      <c r="I929">
        <v>0.16468038094319248</v>
      </c>
      <c r="J929">
        <f t="shared" si="28"/>
        <v>0.12904498816101026</v>
      </c>
      <c r="K929">
        <f t="shared" si="29"/>
        <v>2.1251177809164933E-2</v>
      </c>
    </row>
    <row r="930" spans="1:11" x14ac:dyDescent="0.25">
      <c r="A930" t="s">
        <v>10</v>
      </c>
      <c r="B930" t="s">
        <v>963</v>
      </c>
      <c r="C930" t="s">
        <v>921</v>
      </c>
      <c r="D930" t="s">
        <v>921</v>
      </c>
      <c r="E930" t="s">
        <v>916</v>
      </c>
      <c r="F930" s="3">
        <v>23259</v>
      </c>
      <c r="G930">
        <v>1786</v>
      </c>
      <c r="H930">
        <v>20000</v>
      </c>
      <c r="I930">
        <v>0.25289064977941089</v>
      </c>
      <c r="J930">
        <f t="shared" si="28"/>
        <v>11.198208286674133</v>
      </c>
      <c r="K930">
        <f t="shared" si="29"/>
        <v>2.8319221699822048</v>
      </c>
    </row>
    <row r="931" spans="1:11" x14ac:dyDescent="0.25">
      <c r="A931" t="s">
        <v>10</v>
      </c>
      <c r="B931" t="s">
        <v>964</v>
      </c>
      <c r="C931" t="s">
        <v>934</v>
      </c>
      <c r="D931" t="s">
        <v>934</v>
      </c>
      <c r="E931" t="s">
        <v>919</v>
      </c>
      <c r="F931" s="2">
        <v>32113</v>
      </c>
      <c r="G931">
        <v>5161</v>
      </c>
      <c r="H931">
        <v>31</v>
      </c>
      <c r="I931">
        <v>0.2374997333333333</v>
      </c>
      <c r="J931">
        <f t="shared" si="28"/>
        <v>6.0065878705677193E-3</v>
      </c>
      <c r="K931">
        <f t="shared" si="29"/>
        <v>1.4265630175030676E-3</v>
      </c>
    </row>
    <row r="932" spans="1:11" x14ac:dyDescent="0.25">
      <c r="A932" t="s">
        <v>10</v>
      </c>
      <c r="B932" t="s">
        <v>965</v>
      </c>
      <c r="C932" t="s">
        <v>934</v>
      </c>
      <c r="D932" t="s">
        <v>934</v>
      </c>
      <c r="E932" t="s">
        <v>919</v>
      </c>
      <c r="F932" s="3">
        <v>32191</v>
      </c>
      <c r="G932">
        <v>3154</v>
      </c>
      <c r="H932">
        <v>495</v>
      </c>
      <c r="I932">
        <v>0.32748716906453335</v>
      </c>
      <c r="J932">
        <f t="shared" si="28"/>
        <v>0.15694356372859861</v>
      </c>
      <c r="K932">
        <f t="shared" si="29"/>
        <v>5.1397003388377938E-2</v>
      </c>
    </row>
    <row r="933" spans="1:11" x14ac:dyDescent="0.25">
      <c r="A933" t="s">
        <v>10</v>
      </c>
      <c r="B933" t="s">
        <v>966</v>
      </c>
      <c r="C933" t="s">
        <v>934</v>
      </c>
      <c r="D933" t="s">
        <v>934</v>
      </c>
      <c r="E933" t="s">
        <v>919</v>
      </c>
      <c r="F933" s="2">
        <v>32137</v>
      </c>
      <c r="G933">
        <v>6422</v>
      </c>
      <c r="H933">
        <v>288</v>
      </c>
      <c r="I933">
        <v>0.3888734888882498</v>
      </c>
      <c r="J933">
        <f t="shared" si="28"/>
        <v>4.4845842416692622E-2</v>
      </c>
      <c r="K933">
        <f t="shared" si="29"/>
        <v>1.7439359202711918E-2</v>
      </c>
    </row>
    <row r="934" spans="1:11" x14ac:dyDescent="0.25">
      <c r="A934" t="s">
        <v>10</v>
      </c>
      <c r="B934" t="s">
        <v>967</v>
      </c>
      <c r="C934" t="s">
        <v>915</v>
      </c>
      <c r="D934" t="s">
        <v>915</v>
      </c>
      <c r="E934" t="s">
        <v>916</v>
      </c>
      <c r="F934" s="3">
        <v>22757</v>
      </c>
      <c r="G934">
        <v>3416</v>
      </c>
      <c r="H934">
        <v>117</v>
      </c>
      <c r="I934">
        <v>0.54032157014710913</v>
      </c>
      <c r="J934">
        <f t="shared" si="28"/>
        <v>3.425058548009368E-2</v>
      </c>
      <c r="K934">
        <f t="shared" si="29"/>
        <v>1.8506330125061993E-2</v>
      </c>
    </row>
    <row r="935" spans="1:11" x14ac:dyDescent="0.25">
      <c r="A935" t="s">
        <v>10</v>
      </c>
      <c r="B935" t="s">
        <v>968</v>
      </c>
      <c r="C935" t="s">
        <v>921</v>
      </c>
      <c r="D935" t="s">
        <v>921</v>
      </c>
      <c r="E935" t="s">
        <v>916</v>
      </c>
      <c r="F935" s="2">
        <v>23215</v>
      </c>
      <c r="G935">
        <v>5008</v>
      </c>
      <c r="H935">
        <v>180</v>
      </c>
      <c r="I935">
        <v>8.5060000636611566E-2</v>
      </c>
      <c r="J935">
        <f t="shared" si="28"/>
        <v>3.5942492012779555E-2</v>
      </c>
      <c r="K935">
        <f t="shared" si="29"/>
        <v>3.0572683934884351E-3</v>
      </c>
    </row>
    <row r="936" spans="1:11" x14ac:dyDescent="0.25">
      <c r="A936" t="s">
        <v>10</v>
      </c>
      <c r="B936" t="s">
        <v>969</v>
      </c>
      <c r="C936" t="s">
        <v>918</v>
      </c>
      <c r="D936" t="s">
        <v>918</v>
      </c>
      <c r="E936" t="s">
        <v>919</v>
      </c>
      <c r="F936" s="3">
        <v>37365</v>
      </c>
      <c r="G936">
        <v>3253</v>
      </c>
      <c r="H936">
        <v>100</v>
      </c>
      <c r="I936">
        <v>0.49228293801939038</v>
      </c>
      <c r="J936">
        <f t="shared" si="28"/>
        <v>3.0740854595757761E-2</v>
      </c>
      <c r="K936">
        <f t="shared" si="29"/>
        <v>1.5133198217626509E-2</v>
      </c>
    </row>
    <row r="937" spans="1:11" x14ac:dyDescent="0.25">
      <c r="A937" t="s">
        <v>10</v>
      </c>
      <c r="B937" t="s">
        <v>970</v>
      </c>
      <c r="C937" t="s">
        <v>915</v>
      </c>
      <c r="D937" t="s">
        <v>915</v>
      </c>
      <c r="E937" t="s">
        <v>916</v>
      </c>
      <c r="F937" s="2">
        <v>22375</v>
      </c>
      <c r="G937">
        <v>4996</v>
      </c>
      <c r="H937">
        <v>459</v>
      </c>
      <c r="I937">
        <v>0.4981095080666299</v>
      </c>
      <c r="J937">
        <f t="shared" si="28"/>
        <v>9.1873498799039235E-2</v>
      </c>
      <c r="K937">
        <f t="shared" si="29"/>
        <v>4.5763063291149549E-2</v>
      </c>
    </row>
    <row r="938" spans="1:11" x14ac:dyDescent="0.25">
      <c r="A938" t="s">
        <v>10</v>
      </c>
      <c r="B938" t="s">
        <v>971</v>
      </c>
      <c r="C938" t="s">
        <v>921</v>
      </c>
      <c r="D938" t="s">
        <v>921</v>
      </c>
      <c r="E938" t="s">
        <v>916</v>
      </c>
      <c r="F938" s="3">
        <v>23331</v>
      </c>
      <c r="G938">
        <v>4413</v>
      </c>
      <c r="H938">
        <v>7966</v>
      </c>
      <c r="I938">
        <v>0.46838429777372392</v>
      </c>
      <c r="J938">
        <f t="shared" si="28"/>
        <v>1.8051212327215047</v>
      </c>
      <c r="K938">
        <f t="shared" si="29"/>
        <v>0.84549044098470083</v>
      </c>
    </row>
    <row r="939" spans="1:11" x14ac:dyDescent="0.25">
      <c r="A939" t="s">
        <v>10</v>
      </c>
      <c r="B939" t="s">
        <v>972</v>
      </c>
      <c r="C939" t="s">
        <v>915</v>
      </c>
      <c r="D939" t="s">
        <v>915</v>
      </c>
      <c r="E939" t="s">
        <v>916</v>
      </c>
      <c r="F939" s="2">
        <v>22327</v>
      </c>
      <c r="G939">
        <v>10507</v>
      </c>
      <c r="H939">
        <v>270</v>
      </c>
      <c r="I939">
        <v>0.63634284689219089</v>
      </c>
      <c r="J939">
        <f t="shared" si="28"/>
        <v>2.5697154278100313E-2</v>
      </c>
      <c r="K939">
        <f t="shared" si="29"/>
        <v>1.6352200310354194E-2</v>
      </c>
    </row>
    <row r="940" spans="1:11" x14ac:dyDescent="0.25">
      <c r="A940" t="s">
        <v>10</v>
      </c>
      <c r="B940" t="s">
        <v>973</v>
      </c>
      <c r="C940" t="s">
        <v>921</v>
      </c>
      <c r="D940" t="s">
        <v>921</v>
      </c>
      <c r="E940" t="s">
        <v>916</v>
      </c>
      <c r="F940" s="3">
        <v>23243</v>
      </c>
      <c r="G940">
        <v>8466</v>
      </c>
      <c r="H940">
        <v>7807</v>
      </c>
      <c r="I940">
        <v>0.38253836631518268</v>
      </c>
      <c r="J940">
        <f t="shared" si="28"/>
        <v>0.92215922513583748</v>
      </c>
      <c r="K940">
        <f t="shared" si="29"/>
        <v>0.35276128346593799</v>
      </c>
    </row>
    <row r="941" spans="1:11" x14ac:dyDescent="0.25">
      <c r="A941" t="s">
        <v>10</v>
      </c>
      <c r="B941" t="s">
        <v>974</v>
      </c>
      <c r="C941" t="s">
        <v>937</v>
      </c>
      <c r="D941" t="s">
        <v>937</v>
      </c>
      <c r="E941" t="s">
        <v>937</v>
      </c>
      <c r="F941" s="2">
        <v>71144</v>
      </c>
      <c r="G941">
        <v>1634</v>
      </c>
      <c r="H941">
        <v>0</v>
      </c>
      <c r="I941">
        <v>4.9391770734968032E-2</v>
      </c>
      <c r="J941">
        <f t="shared" si="28"/>
        <v>0</v>
      </c>
      <c r="K941">
        <f t="shared" si="29"/>
        <v>0</v>
      </c>
    </row>
    <row r="942" spans="1:11" x14ac:dyDescent="0.25">
      <c r="A942" t="s">
        <v>10</v>
      </c>
      <c r="B942" t="s">
        <v>975</v>
      </c>
      <c r="C942" t="s">
        <v>937</v>
      </c>
      <c r="D942" t="s">
        <v>937</v>
      </c>
      <c r="E942" t="s">
        <v>937</v>
      </c>
      <c r="F942" s="2">
        <v>71281</v>
      </c>
      <c r="G942">
        <v>4412</v>
      </c>
      <c r="H942">
        <v>315</v>
      </c>
      <c r="I942">
        <v>6.2730307266754437E-2</v>
      </c>
      <c r="J942">
        <f t="shared" si="28"/>
        <v>7.1396192203082506E-2</v>
      </c>
      <c r="K942">
        <f t="shared" si="29"/>
        <v>4.4787050745756229E-3</v>
      </c>
    </row>
    <row r="943" spans="1:11" x14ac:dyDescent="0.25">
      <c r="A943" t="s">
        <v>10</v>
      </c>
      <c r="B943" t="s">
        <v>976</v>
      </c>
      <c r="C943" t="s">
        <v>918</v>
      </c>
      <c r="D943" t="s">
        <v>918</v>
      </c>
      <c r="E943" t="s">
        <v>919</v>
      </c>
      <c r="F943" s="3">
        <v>37377</v>
      </c>
      <c r="G943">
        <v>1704</v>
      </c>
      <c r="H943">
        <v>170</v>
      </c>
      <c r="I943">
        <v>4.0898715443936862E-2</v>
      </c>
      <c r="J943">
        <f t="shared" si="28"/>
        <v>9.9765258215962438E-2</v>
      </c>
      <c r="K943">
        <f t="shared" si="29"/>
        <v>4.0802709069655317E-3</v>
      </c>
    </row>
    <row r="944" spans="1:11" x14ac:dyDescent="0.25">
      <c r="A944" t="s">
        <v>10</v>
      </c>
      <c r="B944" t="s">
        <v>977</v>
      </c>
      <c r="C944" t="s">
        <v>921</v>
      </c>
      <c r="D944" t="s">
        <v>921</v>
      </c>
      <c r="E944" t="s">
        <v>916</v>
      </c>
      <c r="F944" s="2">
        <v>23336</v>
      </c>
      <c r="G944">
        <v>3998</v>
      </c>
      <c r="H944">
        <v>270</v>
      </c>
      <c r="I944">
        <v>0.71417256671972518</v>
      </c>
      <c r="J944">
        <f t="shared" si="28"/>
        <v>6.7533766883441718E-2</v>
      </c>
      <c r="K944">
        <f t="shared" si="29"/>
        <v>4.8230763635399146E-2</v>
      </c>
    </row>
    <row r="945" spans="1:11" x14ac:dyDescent="0.25">
      <c r="A945" t="s">
        <v>10</v>
      </c>
      <c r="B945" t="s">
        <v>978</v>
      </c>
      <c r="C945" t="s">
        <v>915</v>
      </c>
      <c r="D945" t="s">
        <v>915</v>
      </c>
      <c r="E945" t="s">
        <v>916</v>
      </c>
      <c r="F945" s="3">
        <v>22351</v>
      </c>
      <c r="G945">
        <v>14077</v>
      </c>
      <c r="H945">
        <v>315</v>
      </c>
      <c r="I945">
        <v>0.66043100186519277</v>
      </c>
      <c r="J945">
        <f t="shared" si="28"/>
        <v>2.2376926902038786E-2</v>
      </c>
      <c r="K945">
        <f t="shared" si="29"/>
        <v>1.4778416252577659E-2</v>
      </c>
    </row>
    <row r="946" spans="1:11" x14ac:dyDescent="0.25">
      <c r="A946" t="s">
        <v>10</v>
      </c>
      <c r="B946" t="s">
        <v>979</v>
      </c>
      <c r="C946" t="s">
        <v>915</v>
      </c>
      <c r="D946" t="s">
        <v>915</v>
      </c>
      <c r="E946" t="s">
        <v>916</v>
      </c>
      <c r="F946" s="2">
        <v>22475</v>
      </c>
      <c r="G946">
        <v>6415</v>
      </c>
      <c r="H946">
        <v>180</v>
      </c>
      <c r="I946">
        <v>0.33589465656341888</v>
      </c>
      <c r="J946">
        <f t="shared" si="28"/>
        <v>2.8059236165237724E-2</v>
      </c>
      <c r="K946">
        <f t="shared" si="29"/>
        <v>9.4249474951543875E-3</v>
      </c>
    </row>
    <row r="947" spans="1:11" x14ac:dyDescent="0.25">
      <c r="A947" t="s">
        <v>10</v>
      </c>
      <c r="B947" t="s">
        <v>980</v>
      </c>
      <c r="C947" t="s">
        <v>931</v>
      </c>
      <c r="D947" t="s">
        <v>931</v>
      </c>
      <c r="E947" t="s">
        <v>919</v>
      </c>
      <c r="F947" s="3">
        <v>34386</v>
      </c>
      <c r="G947">
        <v>2529</v>
      </c>
      <c r="H947">
        <v>5</v>
      </c>
      <c r="I947">
        <v>0.15222820603272891</v>
      </c>
      <c r="J947">
        <f t="shared" si="28"/>
        <v>1.9770660340055358E-3</v>
      </c>
      <c r="K947">
        <f t="shared" si="29"/>
        <v>3.0096521556490489E-4</v>
      </c>
    </row>
    <row r="948" spans="1:11" x14ac:dyDescent="0.25">
      <c r="A948" t="s">
        <v>10</v>
      </c>
      <c r="B948" t="s">
        <v>981</v>
      </c>
      <c r="C948" t="s">
        <v>937</v>
      </c>
      <c r="D948" t="s">
        <v>937</v>
      </c>
      <c r="E948" t="s">
        <v>937</v>
      </c>
      <c r="F948" s="2">
        <v>71256</v>
      </c>
      <c r="G948">
        <v>7429</v>
      </c>
      <c r="H948">
        <v>0</v>
      </c>
      <c r="I948">
        <v>4.8508188698873633E-2</v>
      </c>
      <c r="J948">
        <f t="shared" si="28"/>
        <v>0</v>
      </c>
      <c r="K948">
        <f t="shared" si="29"/>
        <v>0</v>
      </c>
    </row>
    <row r="949" spans="1:11" x14ac:dyDescent="0.25">
      <c r="A949" t="s">
        <v>10</v>
      </c>
      <c r="B949" t="s">
        <v>982</v>
      </c>
      <c r="C949" t="s">
        <v>982</v>
      </c>
      <c r="D949" t="s">
        <v>982</v>
      </c>
      <c r="E949" t="s">
        <v>919</v>
      </c>
      <c r="F949" s="2">
        <v>36111</v>
      </c>
      <c r="G949">
        <v>1042</v>
      </c>
      <c r="H949">
        <v>237</v>
      </c>
      <c r="I949">
        <v>0.12422759932375305</v>
      </c>
      <c r="J949">
        <f t="shared" si="28"/>
        <v>0.22744721689059502</v>
      </c>
      <c r="K949">
        <f t="shared" si="29"/>
        <v>2.8255221727187595E-2</v>
      </c>
    </row>
    <row r="950" spans="1:11" x14ac:dyDescent="0.25">
      <c r="A950" t="s">
        <v>10</v>
      </c>
      <c r="B950" t="s">
        <v>983</v>
      </c>
      <c r="C950" t="s">
        <v>918</v>
      </c>
      <c r="D950" t="s">
        <v>918</v>
      </c>
      <c r="E950" t="s">
        <v>919</v>
      </c>
      <c r="F950" s="3">
        <v>37317</v>
      </c>
      <c r="G950">
        <v>2670</v>
      </c>
      <c r="H950">
        <v>293</v>
      </c>
      <c r="I950">
        <v>6.3809079446156547E-3</v>
      </c>
      <c r="J950">
        <f t="shared" si="28"/>
        <v>0.1097378277153558</v>
      </c>
      <c r="K950">
        <f t="shared" si="29"/>
        <v>7.002269766937778E-4</v>
      </c>
    </row>
    <row r="951" spans="1:11" x14ac:dyDescent="0.25">
      <c r="A951" t="s">
        <v>10</v>
      </c>
      <c r="B951" t="s">
        <v>984</v>
      </c>
      <c r="C951" t="s">
        <v>915</v>
      </c>
      <c r="D951" t="s">
        <v>915</v>
      </c>
      <c r="E951" t="s">
        <v>916</v>
      </c>
      <c r="F951" s="2">
        <v>22667</v>
      </c>
      <c r="G951">
        <v>10486</v>
      </c>
      <c r="H951">
        <v>450</v>
      </c>
      <c r="I951">
        <v>0.61326891122053118</v>
      </c>
      <c r="J951">
        <f t="shared" si="28"/>
        <v>4.2914362006484838E-2</v>
      </c>
      <c r="K951">
        <f t="shared" si="29"/>
        <v>2.6318044063440686E-2</v>
      </c>
    </row>
    <row r="952" spans="1:11" x14ac:dyDescent="0.25">
      <c r="A952" t="s">
        <v>10</v>
      </c>
      <c r="B952" t="s">
        <v>985</v>
      </c>
      <c r="C952" t="s">
        <v>915</v>
      </c>
      <c r="D952" t="s">
        <v>915</v>
      </c>
      <c r="E952" t="s">
        <v>916</v>
      </c>
      <c r="F952" s="2">
        <v>22797</v>
      </c>
      <c r="G952">
        <v>4396</v>
      </c>
      <c r="H952">
        <v>164</v>
      </c>
      <c r="I952">
        <v>0.56176565322727456</v>
      </c>
      <c r="J952">
        <f t="shared" si="28"/>
        <v>3.7306642402183801E-2</v>
      </c>
      <c r="K952">
        <f t="shared" si="29"/>
        <v>2.0957590338779121E-2</v>
      </c>
    </row>
    <row r="953" spans="1:11" x14ac:dyDescent="0.25">
      <c r="A953" t="s">
        <v>10</v>
      </c>
      <c r="B953" t="s">
        <v>986</v>
      </c>
      <c r="C953" t="s">
        <v>921</v>
      </c>
      <c r="D953" t="s">
        <v>921</v>
      </c>
      <c r="E953" t="s">
        <v>916</v>
      </c>
      <c r="F953" s="2">
        <v>23439</v>
      </c>
      <c r="G953">
        <v>3461</v>
      </c>
      <c r="H953">
        <v>600</v>
      </c>
      <c r="I953">
        <v>3.5855898622355387E-2</v>
      </c>
      <c r="J953">
        <f t="shared" si="28"/>
        <v>0.17336030049118753</v>
      </c>
      <c r="K953">
        <f t="shared" si="29"/>
        <v>6.2159893595530868E-3</v>
      </c>
    </row>
    <row r="954" spans="1:11" x14ac:dyDescent="0.25">
      <c r="A954" t="s">
        <v>10</v>
      </c>
      <c r="B954" t="s">
        <v>987</v>
      </c>
      <c r="C954" t="s">
        <v>918</v>
      </c>
      <c r="D954" t="s">
        <v>918</v>
      </c>
      <c r="E954" t="s">
        <v>919</v>
      </c>
      <c r="F954" s="3">
        <v>37363</v>
      </c>
      <c r="G954">
        <v>1929</v>
      </c>
      <c r="H954">
        <v>90</v>
      </c>
      <c r="I954">
        <v>9.2647290457744336E-2</v>
      </c>
      <c r="J954">
        <f t="shared" si="28"/>
        <v>4.6656298600311043E-2</v>
      </c>
      <c r="K954">
        <f t="shared" si="29"/>
        <v>4.3225796481062674E-3</v>
      </c>
    </row>
    <row r="955" spans="1:11" x14ac:dyDescent="0.25">
      <c r="A955" t="s">
        <v>10</v>
      </c>
      <c r="B955" t="s">
        <v>988</v>
      </c>
      <c r="C955" t="s">
        <v>934</v>
      </c>
      <c r="D955" t="s">
        <v>934</v>
      </c>
      <c r="E955" t="s">
        <v>919</v>
      </c>
      <c r="F955" s="2">
        <v>32131</v>
      </c>
      <c r="G955">
        <v>2977</v>
      </c>
      <c r="H955">
        <v>80</v>
      </c>
      <c r="I955">
        <v>0.16701896832846208</v>
      </c>
      <c r="J955">
        <f t="shared" si="28"/>
        <v>2.6872690628149145E-2</v>
      </c>
      <c r="K955">
        <f t="shared" si="29"/>
        <v>4.4882490649234014E-3</v>
      </c>
    </row>
    <row r="956" spans="1:11" x14ac:dyDescent="0.25">
      <c r="A956" t="s">
        <v>10</v>
      </c>
      <c r="B956" t="s">
        <v>989</v>
      </c>
      <c r="C956" t="s">
        <v>937</v>
      </c>
      <c r="D956" t="s">
        <v>937</v>
      </c>
      <c r="E956" t="s">
        <v>937</v>
      </c>
      <c r="F956" s="2">
        <v>71397</v>
      </c>
      <c r="G956">
        <v>4498</v>
      </c>
      <c r="H956">
        <v>0</v>
      </c>
      <c r="I956">
        <v>3.398874251605899E-2</v>
      </c>
      <c r="J956">
        <f t="shared" si="28"/>
        <v>0</v>
      </c>
      <c r="K956">
        <f t="shared" si="29"/>
        <v>0</v>
      </c>
    </row>
    <row r="957" spans="1:11" x14ac:dyDescent="0.25">
      <c r="A957" t="s">
        <v>10</v>
      </c>
      <c r="B957" t="s">
        <v>990</v>
      </c>
      <c r="C957" t="s">
        <v>991</v>
      </c>
      <c r="D957" t="s">
        <v>991</v>
      </c>
      <c r="E957" t="s">
        <v>991</v>
      </c>
      <c r="F957" s="3">
        <v>35465</v>
      </c>
      <c r="G957">
        <v>536</v>
      </c>
      <c r="H957">
        <v>0</v>
      </c>
      <c r="I957">
        <v>0.2178646921977776</v>
      </c>
      <c r="J957">
        <f t="shared" si="28"/>
        <v>0</v>
      </c>
      <c r="K957">
        <f t="shared" si="29"/>
        <v>0</v>
      </c>
    </row>
    <row r="958" spans="1:11" x14ac:dyDescent="0.25">
      <c r="A958" t="s">
        <v>10</v>
      </c>
      <c r="B958" t="s">
        <v>992</v>
      </c>
      <c r="C958" t="s">
        <v>921</v>
      </c>
      <c r="D958" t="s">
        <v>921</v>
      </c>
      <c r="E958" t="s">
        <v>916</v>
      </c>
      <c r="F958" s="2">
        <v>23311</v>
      </c>
      <c r="G958">
        <v>1264</v>
      </c>
      <c r="H958">
        <v>504</v>
      </c>
      <c r="I958">
        <v>0.36354001640528932</v>
      </c>
      <c r="J958">
        <f t="shared" si="28"/>
        <v>0.39873417721518989</v>
      </c>
      <c r="K958">
        <f t="shared" si="29"/>
        <v>0.14495582932615966</v>
      </c>
    </row>
    <row r="959" spans="1:11" x14ac:dyDescent="0.25">
      <c r="A959" t="s">
        <v>10</v>
      </c>
      <c r="B959" t="s">
        <v>993</v>
      </c>
      <c r="C959" t="s">
        <v>921</v>
      </c>
      <c r="D959" t="s">
        <v>921</v>
      </c>
      <c r="E959" t="s">
        <v>916</v>
      </c>
      <c r="F959" s="3">
        <v>23341</v>
      </c>
      <c r="G959">
        <v>3912</v>
      </c>
      <c r="H959">
        <v>1150</v>
      </c>
      <c r="I959">
        <v>0.31046033053050937</v>
      </c>
      <c r="J959">
        <f t="shared" si="28"/>
        <v>0.29396728016359919</v>
      </c>
      <c r="K959">
        <f t="shared" si="29"/>
        <v>9.1265178964745855E-2</v>
      </c>
    </row>
    <row r="960" spans="1:11" x14ac:dyDescent="0.25">
      <c r="A960" t="s">
        <v>10</v>
      </c>
      <c r="B960" t="s">
        <v>994</v>
      </c>
      <c r="C960" t="s">
        <v>934</v>
      </c>
      <c r="D960" t="s">
        <v>934</v>
      </c>
      <c r="E960" t="s">
        <v>919</v>
      </c>
      <c r="F960" s="2">
        <v>32125</v>
      </c>
      <c r="G960">
        <v>2128</v>
      </c>
      <c r="H960">
        <v>46</v>
      </c>
      <c r="I960">
        <v>0.51345211971050986</v>
      </c>
      <c r="J960">
        <f t="shared" si="28"/>
        <v>2.1616541353383457E-2</v>
      </c>
      <c r="K960">
        <f t="shared" si="29"/>
        <v>1.109905897870463E-2</v>
      </c>
    </row>
    <row r="961" spans="1:11" x14ac:dyDescent="0.25">
      <c r="A961" t="s">
        <v>10</v>
      </c>
      <c r="B961" t="s">
        <v>995</v>
      </c>
      <c r="C961" t="s">
        <v>921</v>
      </c>
      <c r="D961" t="s">
        <v>921</v>
      </c>
      <c r="E961" t="s">
        <v>916</v>
      </c>
      <c r="F961" s="3">
        <v>23413</v>
      </c>
      <c r="G961">
        <v>5893</v>
      </c>
      <c r="H961">
        <v>450</v>
      </c>
      <c r="I961">
        <v>0.43664980149422916</v>
      </c>
      <c r="J961">
        <f t="shared" si="28"/>
        <v>7.6361785168844398E-2</v>
      </c>
      <c r="K961">
        <f t="shared" si="29"/>
        <v>3.3343358335720878E-2</v>
      </c>
    </row>
    <row r="962" spans="1:11" x14ac:dyDescent="0.25">
      <c r="A962" t="s">
        <v>10</v>
      </c>
      <c r="B962" t="s">
        <v>996</v>
      </c>
      <c r="C962" t="s">
        <v>921</v>
      </c>
      <c r="D962" t="s">
        <v>921</v>
      </c>
      <c r="E962" t="s">
        <v>916</v>
      </c>
      <c r="F962" s="2">
        <v>23417</v>
      </c>
      <c r="G962">
        <v>4905</v>
      </c>
      <c r="H962">
        <v>900</v>
      </c>
      <c r="I962">
        <v>3.9810044130706101E-2</v>
      </c>
      <c r="J962">
        <f t="shared" si="28"/>
        <v>0.1834862385321101</v>
      </c>
      <c r="K962">
        <f t="shared" si="29"/>
        <v>7.3045952533405695E-3</v>
      </c>
    </row>
    <row r="963" spans="1:11" x14ac:dyDescent="0.25">
      <c r="A963" t="s">
        <v>10</v>
      </c>
      <c r="B963" t="s">
        <v>997</v>
      </c>
      <c r="C963" t="s">
        <v>921</v>
      </c>
      <c r="D963" t="s">
        <v>921</v>
      </c>
      <c r="E963" t="s">
        <v>916</v>
      </c>
      <c r="F963" s="3">
        <v>23239</v>
      </c>
      <c r="G963">
        <v>6115</v>
      </c>
      <c r="H963">
        <v>770</v>
      </c>
      <c r="I963">
        <v>7.2603566036825828E-2</v>
      </c>
      <c r="J963">
        <f t="shared" ref="J963:J1026" si="30">IF(G963=0,0,H963/G963)</f>
        <v>0.1259198691741619</v>
      </c>
      <c r="K963">
        <f t="shared" ref="K963:K1026" si="31">J963*I963</f>
        <v>9.1422315369347317E-3</v>
      </c>
    </row>
    <row r="964" spans="1:11" x14ac:dyDescent="0.25">
      <c r="A964" t="s">
        <v>10</v>
      </c>
      <c r="B964" t="s">
        <v>998</v>
      </c>
      <c r="C964" t="s">
        <v>937</v>
      </c>
      <c r="D964" t="s">
        <v>937</v>
      </c>
      <c r="E964" t="s">
        <v>937</v>
      </c>
      <c r="F964" s="3">
        <v>71331</v>
      </c>
      <c r="G964">
        <v>10519</v>
      </c>
      <c r="H964">
        <v>22</v>
      </c>
      <c r="I964">
        <v>3.7062975778546559E-2</v>
      </c>
      <c r="J964">
        <f t="shared" si="30"/>
        <v>2.0914535602243561E-3</v>
      </c>
      <c r="K964">
        <f t="shared" si="31"/>
        <v>7.7515492644550282E-5</v>
      </c>
    </row>
    <row r="965" spans="1:11" x14ac:dyDescent="0.25">
      <c r="A965" t="s">
        <v>10</v>
      </c>
      <c r="B965" t="s">
        <v>999</v>
      </c>
      <c r="C965" t="s">
        <v>915</v>
      </c>
      <c r="D965" t="s">
        <v>915</v>
      </c>
      <c r="E965" t="s">
        <v>916</v>
      </c>
      <c r="F965" s="2">
        <v>22359</v>
      </c>
      <c r="G965">
        <v>3774</v>
      </c>
      <c r="H965">
        <v>842</v>
      </c>
      <c r="I965">
        <v>0.54535201117066778</v>
      </c>
      <c r="J965">
        <f t="shared" si="30"/>
        <v>0.22310545839957605</v>
      </c>
      <c r="K965">
        <f t="shared" si="31"/>
        <v>0.12167101044136255</v>
      </c>
    </row>
    <row r="966" spans="1:11" x14ac:dyDescent="0.25">
      <c r="A966" t="s">
        <v>10</v>
      </c>
      <c r="B966" t="s">
        <v>1000</v>
      </c>
      <c r="C966" t="s">
        <v>915</v>
      </c>
      <c r="D966" t="s">
        <v>915</v>
      </c>
      <c r="E966" t="s">
        <v>916</v>
      </c>
      <c r="F966" s="3">
        <v>22733</v>
      </c>
      <c r="G966">
        <v>1636</v>
      </c>
      <c r="H966">
        <v>90</v>
      </c>
      <c r="I966">
        <v>0.4067965698971453</v>
      </c>
      <c r="J966">
        <f t="shared" si="30"/>
        <v>5.5012224938875302E-2</v>
      </c>
      <c r="K966">
        <f t="shared" si="31"/>
        <v>2.2378784407544667E-2</v>
      </c>
    </row>
    <row r="967" spans="1:11" x14ac:dyDescent="0.25">
      <c r="A967" t="s">
        <v>10</v>
      </c>
      <c r="B967" t="s">
        <v>1001</v>
      </c>
      <c r="C967" t="s">
        <v>915</v>
      </c>
      <c r="D967" t="s">
        <v>915</v>
      </c>
      <c r="E967" t="s">
        <v>916</v>
      </c>
      <c r="F967" s="2">
        <v>22427</v>
      </c>
      <c r="G967">
        <v>3027</v>
      </c>
      <c r="H967">
        <v>90</v>
      </c>
      <c r="I967">
        <v>0.54058084652594296</v>
      </c>
      <c r="J967">
        <f t="shared" si="30"/>
        <v>2.973240832507433E-2</v>
      </c>
      <c r="K967">
        <f t="shared" si="31"/>
        <v>1.6072770461623677E-2</v>
      </c>
    </row>
    <row r="968" spans="1:11" x14ac:dyDescent="0.25">
      <c r="A968" t="s">
        <v>10</v>
      </c>
      <c r="B968" t="s">
        <v>1002</v>
      </c>
      <c r="C968" t="s">
        <v>937</v>
      </c>
      <c r="D968" t="s">
        <v>937</v>
      </c>
      <c r="E968" t="s">
        <v>937</v>
      </c>
      <c r="F968" s="3">
        <v>71391</v>
      </c>
      <c r="G968">
        <v>7591</v>
      </c>
      <c r="H968">
        <v>0</v>
      </c>
      <c r="I968">
        <v>3.2744230268021202E-2</v>
      </c>
      <c r="J968">
        <f t="shared" si="30"/>
        <v>0</v>
      </c>
      <c r="K968">
        <f t="shared" si="31"/>
        <v>0</v>
      </c>
    </row>
    <row r="969" spans="1:11" x14ac:dyDescent="0.25">
      <c r="A969" t="s">
        <v>10</v>
      </c>
      <c r="B969" t="s">
        <v>1003</v>
      </c>
      <c r="C969" t="s">
        <v>921</v>
      </c>
      <c r="D969" t="s">
        <v>921</v>
      </c>
      <c r="E969" t="s">
        <v>916</v>
      </c>
      <c r="F969" s="2">
        <v>23255</v>
      </c>
      <c r="G969">
        <v>4920</v>
      </c>
      <c r="H969">
        <v>2800</v>
      </c>
      <c r="I969">
        <v>8.4663819893819992E-2</v>
      </c>
      <c r="J969">
        <f t="shared" si="30"/>
        <v>0.56910569105691056</v>
      </c>
      <c r="K969">
        <f t="shared" si="31"/>
        <v>4.8182661728190239E-2</v>
      </c>
    </row>
    <row r="970" spans="1:11" x14ac:dyDescent="0.25">
      <c r="A970" t="s">
        <v>10</v>
      </c>
      <c r="B970" t="s">
        <v>1004</v>
      </c>
      <c r="C970" t="s">
        <v>918</v>
      </c>
      <c r="D970" t="s">
        <v>918</v>
      </c>
      <c r="E970" t="s">
        <v>919</v>
      </c>
      <c r="F970" s="3">
        <v>37319</v>
      </c>
      <c r="G970">
        <v>3340</v>
      </c>
      <c r="H970">
        <v>85</v>
      </c>
      <c r="I970">
        <v>1.7802955938848841E-2</v>
      </c>
      <c r="J970">
        <f t="shared" si="30"/>
        <v>2.5449101796407185E-2</v>
      </c>
      <c r="K970">
        <f t="shared" si="31"/>
        <v>4.5306923796471603E-4</v>
      </c>
    </row>
    <row r="971" spans="1:11" x14ac:dyDescent="0.25">
      <c r="A971" t="s">
        <v>10</v>
      </c>
      <c r="B971" t="s">
        <v>1005</v>
      </c>
      <c r="C971" t="s">
        <v>934</v>
      </c>
      <c r="D971" t="s">
        <v>934</v>
      </c>
      <c r="E971" t="s">
        <v>919</v>
      </c>
      <c r="F971" s="2">
        <v>32127</v>
      </c>
      <c r="G971">
        <v>1382</v>
      </c>
      <c r="H971">
        <v>49</v>
      </c>
      <c r="I971">
        <v>0.52761651654969888</v>
      </c>
      <c r="J971">
        <f t="shared" si="30"/>
        <v>3.5455861070911719E-2</v>
      </c>
      <c r="K971">
        <f t="shared" si="31"/>
        <v>1.8707097909504516E-2</v>
      </c>
    </row>
    <row r="972" spans="1:11" x14ac:dyDescent="0.25">
      <c r="A972" t="s">
        <v>10</v>
      </c>
      <c r="B972" t="s">
        <v>1006</v>
      </c>
      <c r="C972" t="s">
        <v>937</v>
      </c>
      <c r="D972" t="s">
        <v>937</v>
      </c>
      <c r="E972" t="s">
        <v>937</v>
      </c>
      <c r="F972" s="3">
        <v>71246</v>
      </c>
      <c r="G972">
        <v>4318</v>
      </c>
      <c r="H972">
        <v>99</v>
      </c>
      <c r="I972">
        <v>5.7491160386995865E-2</v>
      </c>
      <c r="J972">
        <f t="shared" si="30"/>
        <v>2.2927281148679944E-2</v>
      </c>
      <c r="K972">
        <f t="shared" si="31"/>
        <v>1.3181159977565054E-3</v>
      </c>
    </row>
    <row r="973" spans="1:11" x14ac:dyDescent="0.25">
      <c r="A973" t="s">
        <v>10</v>
      </c>
      <c r="B973" t="s">
        <v>1007</v>
      </c>
      <c r="C973" t="s">
        <v>915</v>
      </c>
      <c r="D973" t="s">
        <v>915</v>
      </c>
      <c r="E973" t="s">
        <v>916</v>
      </c>
      <c r="F973" s="2">
        <v>22423</v>
      </c>
      <c r="G973">
        <v>5541</v>
      </c>
      <c r="H973">
        <v>600</v>
      </c>
      <c r="I973">
        <v>0.58970483118568429</v>
      </c>
      <c r="J973">
        <f t="shared" si="30"/>
        <v>0.10828370330265295</v>
      </c>
      <c r="K973">
        <f t="shared" si="31"/>
        <v>6.3855422976251686E-2</v>
      </c>
    </row>
    <row r="974" spans="1:11" x14ac:dyDescent="0.25">
      <c r="A974" t="s">
        <v>10</v>
      </c>
      <c r="B974" t="s">
        <v>1008</v>
      </c>
      <c r="C974" t="s">
        <v>937</v>
      </c>
      <c r="D974" t="s">
        <v>937</v>
      </c>
      <c r="E974" t="s">
        <v>937</v>
      </c>
      <c r="F974" s="2">
        <v>71381</v>
      </c>
      <c r="G974">
        <v>6327</v>
      </c>
      <c r="H974">
        <v>22</v>
      </c>
      <c r="I974">
        <v>3.8294372702422308E-2</v>
      </c>
      <c r="J974">
        <f t="shared" si="30"/>
        <v>3.4771613718982139E-3</v>
      </c>
      <c r="K974">
        <f t="shared" si="31"/>
        <v>1.3315571352193626E-4</v>
      </c>
    </row>
    <row r="975" spans="1:11" x14ac:dyDescent="0.25">
      <c r="A975" t="s">
        <v>10</v>
      </c>
      <c r="B975" t="s">
        <v>1009</v>
      </c>
      <c r="C975" t="s">
        <v>918</v>
      </c>
      <c r="D975" t="s">
        <v>918</v>
      </c>
      <c r="E975" t="s">
        <v>919</v>
      </c>
      <c r="F975" s="2">
        <v>37313</v>
      </c>
      <c r="G975">
        <v>2433</v>
      </c>
      <c r="H975">
        <v>135</v>
      </c>
      <c r="I975">
        <v>0.46217086620706194</v>
      </c>
      <c r="J975">
        <f t="shared" si="30"/>
        <v>5.5487053020961775E-2</v>
      </c>
      <c r="K975">
        <f t="shared" si="31"/>
        <v>2.5644499357975078E-2</v>
      </c>
    </row>
    <row r="976" spans="1:11" x14ac:dyDescent="0.25">
      <c r="A976" t="s">
        <v>10</v>
      </c>
      <c r="B976" t="s">
        <v>1010</v>
      </c>
      <c r="C976" t="s">
        <v>915</v>
      </c>
      <c r="D976" t="s">
        <v>915</v>
      </c>
      <c r="E976" t="s">
        <v>916</v>
      </c>
      <c r="F976" s="2">
        <v>22531</v>
      </c>
      <c r="G976">
        <v>5120</v>
      </c>
      <c r="H976">
        <v>90</v>
      </c>
      <c r="I976">
        <v>0.21440334890074153</v>
      </c>
      <c r="J976">
        <f t="shared" si="30"/>
        <v>1.7578125E-2</v>
      </c>
      <c r="K976">
        <f t="shared" si="31"/>
        <v>3.7688088673958472E-3</v>
      </c>
    </row>
    <row r="977" spans="1:11" x14ac:dyDescent="0.25">
      <c r="A977" t="s">
        <v>10</v>
      </c>
      <c r="B977" t="s">
        <v>1011</v>
      </c>
      <c r="C977" t="s">
        <v>931</v>
      </c>
      <c r="D977" t="s">
        <v>931</v>
      </c>
      <c r="E977" t="s">
        <v>919</v>
      </c>
      <c r="F977" s="3">
        <v>34144</v>
      </c>
      <c r="G977">
        <v>10422</v>
      </c>
      <c r="H977">
        <v>360</v>
      </c>
      <c r="I977">
        <v>0.15102144928342354</v>
      </c>
      <c r="J977">
        <f t="shared" si="30"/>
        <v>3.4542314335060449E-2</v>
      </c>
      <c r="K977">
        <f t="shared" si="31"/>
        <v>5.2166303724844052E-3</v>
      </c>
    </row>
    <row r="978" spans="1:11" x14ac:dyDescent="0.25">
      <c r="A978" t="s">
        <v>10</v>
      </c>
      <c r="B978" t="s">
        <v>1012</v>
      </c>
      <c r="C978" t="s">
        <v>934</v>
      </c>
      <c r="D978" t="s">
        <v>934</v>
      </c>
      <c r="E978" t="s">
        <v>919</v>
      </c>
      <c r="F978" s="2">
        <v>32169</v>
      </c>
      <c r="G978">
        <v>1962</v>
      </c>
      <c r="H978">
        <v>54</v>
      </c>
      <c r="I978">
        <v>3.6037297239547406E-2</v>
      </c>
      <c r="J978">
        <f t="shared" si="30"/>
        <v>2.7522935779816515E-2</v>
      </c>
      <c r="K978">
        <f t="shared" si="31"/>
        <v>9.9185221760222215E-4</v>
      </c>
    </row>
    <row r="979" spans="1:11" x14ac:dyDescent="0.25">
      <c r="A979" t="s">
        <v>10</v>
      </c>
      <c r="B979" t="s">
        <v>1013</v>
      </c>
      <c r="C979" t="s">
        <v>934</v>
      </c>
      <c r="D979" t="s">
        <v>934</v>
      </c>
      <c r="E979" t="s">
        <v>919</v>
      </c>
      <c r="F979" s="3">
        <v>32121</v>
      </c>
      <c r="G979">
        <v>1637</v>
      </c>
      <c r="H979">
        <v>319</v>
      </c>
      <c r="I979">
        <v>0.58610293874153374</v>
      </c>
      <c r="J979">
        <f t="shared" si="30"/>
        <v>0.19486866218692731</v>
      </c>
      <c r="K979">
        <f t="shared" si="31"/>
        <v>0.11421309557638928</v>
      </c>
    </row>
    <row r="980" spans="1:11" x14ac:dyDescent="0.25">
      <c r="A980" t="s">
        <v>10</v>
      </c>
      <c r="B980" t="s">
        <v>1014</v>
      </c>
      <c r="C980" t="s">
        <v>931</v>
      </c>
      <c r="D980" t="s">
        <v>931</v>
      </c>
      <c r="E980" t="s">
        <v>919</v>
      </c>
      <c r="F980" s="2">
        <v>34269</v>
      </c>
      <c r="G980">
        <v>1875</v>
      </c>
      <c r="H980">
        <v>540</v>
      </c>
      <c r="I980">
        <v>0.14933584154409429</v>
      </c>
      <c r="J980">
        <f t="shared" si="30"/>
        <v>0.28799999999999998</v>
      </c>
      <c r="K980">
        <f t="shared" si="31"/>
        <v>4.3008722364699152E-2</v>
      </c>
    </row>
    <row r="981" spans="1:11" x14ac:dyDescent="0.25">
      <c r="A981" t="s">
        <v>10</v>
      </c>
      <c r="B981" t="s">
        <v>1015</v>
      </c>
      <c r="C981" t="s">
        <v>921</v>
      </c>
      <c r="D981" t="s">
        <v>921</v>
      </c>
      <c r="E981" t="s">
        <v>916</v>
      </c>
      <c r="F981" s="3">
        <v>23675</v>
      </c>
      <c r="G981">
        <v>3043</v>
      </c>
      <c r="H981">
        <v>108</v>
      </c>
      <c r="I981">
        <v>0.20413921166406912</v>
      </c>
      <c r="J981">
        <f t="shared" si="30"/>
        <v>3.5491291488662507E-2</v>
      </c>
      <c r="K981">
        <f t="shared" si="31"/>
        <v>7.2451642654352503E-3</v>
      </c>
    </row>
    <row r="982" spans="1:11" x14ac:dyDescent="0.25">
      <c r="A982" t="s">
        <v>10</v>
      </c>
      <c r="B982" t="s">
        <v>1016</v>
      </c>
      <c r="C982" t="s">
        <v>915</v>
      </c>
      <c r="D982" t="s">
        <v>915</v>
      </c>
      <c r="E982" t="s">
        <v>916</v>
      </c>
      <c r="F982" s="2">
        <v>22675</v>
      </c>
      <c r="G982">
        <v>2465</v>
      </c>
      <c r="H982">
        <v>260</v>
      </c>
      <c r="I982">
        <v>0.31069787387492753</v>
      </c>
      <c r="J982">
        <f t="shared" si="30"/>
        <v>0.10547667342799188</v>
      </c>
      <c r="K982">
        <f t="shared" si="31"/>
        <v>3.2771378177477141E-2</v>
      </c>
    </row>
    <row r="983" spans="1:11" x14ac:dyDescent="0.25">
      <c r="A983" t="s">
        <v>10</v>
      </c>
      <c r="B983" t="s">
        <v>1017</v>
      </c>
      <c r="C983" t="s">
        <v>915</v>
      </c>
      <c r="D983" t="s">
        <v>915</v>
      </c>
      <c r="E983" t="s">
        <v>916</v>
      </c>
      <c r="F983" s="2">
        <v>22335</v>
      </c>
      <c r="G983">
        <v>10947</v>
      </c>
      <c r="H983">
        <v>279</v>
      </c>
      <c r="I983">
        <v>0.66767619604355688</v>
      </c>
      <c r="J983">
        <f t="shared" si="30"/>
        <v>2.5486434639627294E-2</v>
      </c>
      <c r="K983">
        <f t="shared" si="31"/>
        <v>1.7016685730899091E-2</v>
      </c>
    </row>
    <row r="984" spans="1:11" x14ac:dyDescent="0.25">
      <c r="A984" t="s">
        <v>10</v>
      </c>
      <c r="B984" t="s">
        <v>1018</v>
      </c>
      <c r="C984" t="s">
        <v>931</v>
      </c>
      <c r="D984" t="s">
        <v>931</v>
      </c>
      <c r="E984" t="s">
        <v>919</v>
      </c>
      <c r="F984" s="3">
        <v>34177</v>
      </c>
      <c r="G984">
        <v>1368</v>
      </c>
      <c r="H984">
        <v>450</v>
      </c>
      <c r="I984">
        <v>0.25674436205597606</v>
      </c>
      <c r="J984">
        <f t="shared" si="30"/>
        <v>0.32894736842105265</v>
      </c>
      <c r="K984">
        <f t="shared" si="31"/>
        <v>8.4455382255255285E-2</v>
      </c>
    </row>
    <row r="985" spans="1:11" x14ac:dyDescent="0.25">
      <c r="A985" t="s">
        <v>10</v>
      </c>
      <c r="B985" t="s">
        <v>1019</v>
      </c>
      <c r="C985" t="s">
        <v>921</v>
      </c>
      <c r="D985" t="s">
        <v>921</v>
      </c>
      <c r="E985" t="s">
        <v>916</v>
      </c>
      <c r="F985" s="2">
        <v>23447</v>
      </c>
      <c r="G985">
        <v>2356</v>
      </c>
      <c r="H985">
        <v>630</v>
      </c>
      <c r="I985">
        <v>6.1296738603812795E-2</v>
      </c>
      <c r="J985">
        <f t="shared" si="30"/>
        <v>0.267402376910017</v>
      </c>
      <c r="K985">
        <f t="shared" si="31"/>
        <v>1.639089359949154E-2</v>
      </c>
    </row>
    <row r="986" spans="1:11" x14ac:dyDescent="0.25">
      <c r="A986" t="s">
        <v>10</v>
      </c>
      <c r="B986" t="s">
        <v>1020</v>
      </c>
      <c r="C986" t="s">
        <v>934</v>
      </c>
      <c r="D986" t="s">
        <v>934</v>
      </c>
      <c r="E986" t="s">
        <v>919</v>
      </c>
      <c r="F986" s="3">
        <v>32171</v>
      </c>
      <c r="G986">
        <v>1472</v>
      </c>
      <c r="H986">
        <v>250</v>
      </c>
      <c r="I986">
        <v>0.23711739577511526</v>
      </c>
      <c r="J986">
        <f t="shared" si="30"/>
        <v>0.16983695652173914</v>
      </c>
      <c r="K986">
        <f t="shared" si="31"/>
        <v>4.0271296836806261E-2</v>
      </c>
    </row>
    <row r="987" spans="1:11" x14ac:dyDescent="0.25">
      <c r="A987" t="s">
        <v>10</v>
      </c>
      <c r="B987" t="s">
        <v>1021</v>
      </c>
      <c r="C987" t="s">
        <v>937</v>
      </c>
      <c r="D987" t="s">
        <v>937</v>
      </c>
      <c r="E987" t="s">
        <v>937</v>
      </c>
      <c r="F987" s="2">
        <v>71344</v>
      </c>
      <c r="G987">
        <v>6659</v>
      </c>
      <c r="H987">
        <v>0</v>
      </c>
      <c r="I987">
        <v>5.7206426876626693E-2</v>
      </c>
      <c r="J987">
        <f t="shared" si="30"/>
        <v>0</v>
      </c>
      <c r="K987">
        <f t="shared" si="31"/>
        <v>0</v>
      </c>
    </row>
    <row r="988" spans="1:11" x14ac:dyDescent="0.25">
      <c r="A988" t="s">
        <v>10</v>
      </c>
      <c r="B988" t="s">
        <v>1022</v>
      </c>
      <c r="C988" t="s">
        <v>931</v>
      </c>
      <c r="D988" t="s">
        <v>931</v>
      </c>
      <c r="E988" t="s">
        <v>919</v>
      </c>
      <c r="F988" s="3">
        <v>34221</v>
      </c>
      <c r="G988">
        <v>879</v>
      </c>
      <c r="H988">
        <v>70</v>
      </c>
      <c r="I988">
        <v>0.13889979215865444</v>
      </c>
      <c r="J988">
        <f t="shared" si="30"/>
        <v>7.9635949943117179E-2</v>
      </c>
      <c r="K988">
        <f t="shared" si="31"/>
        <v>1.1061416895455985E-2</v>
      </c>
    </row>
    <row r="989" spans="1:11" x14ac:dyDescent="0.25">
      <c r="A989" t="s">
        <v>10</v>
      </c>
      <c r="B989" t="s">
        <v>1023</v>
      </c>
      <c r="C989" t="s">
        <v>931</v>
      </c>
      <c r="D989" t="s">
        <v>931</v>
      </c>
      <c r="E989" t="s">
        <v>919</v>
      </c>
      <c r="F989" s="2">
        <v>34287</v>
      </c>
      <c r="G989">
        <v>2446</v>
      </c>
      <c r="H989">
        <v>180</v>
      </c>
      <c r="I989">
        <v>0.23945978046674943</v>
      </c>
      <c r="J989">
        <f t="shared" si="30"/>
        <v>7.3589533932951756E-2</v>
      </c>
      <c r="K989">
        <f t="shared" si="31"/>
        <v>1.7621733640235036E-2</v>
      </c>
    </row>
    <row r="990" spans="1:11" x14ac:dyDescent="0.25">
      <c r="A990" t="s">
        <v>10</v>
      </c>
      <c r="B990" t="s">
        <v>1024</v>
      </c>
      <c r="C990" t="s">
        <v>915</v>
      </c>
      <c r="D990" t="s">
        <v>915</v>
      </c>
      <c r="E990" t="s">
        <v>916</v>
      </c>
      <c r="F990" s="2">
        <v>22447</v>
      </c>
      <c r="G990">
        <v>5165</v>
      </c>
      <c r="H990">
        <v>76</v>
      </c>
      <c r="I990">
        <v>0.43265943877551016</v>
      </c>
      <c r="J990">
        <f t="shared" si="30"/>
        <v>1.4714424007744434E-2</v>
      </c>
      <c r="K990">
        <f t="shared" si="31"/>
        <v>6.3663344330955997E-3</v>
      </c>
    </row>
    <row r="991" spans="1:11" x14ac:dyDescent="0.25">
      <c r="A991" t="s">
        <v>10</v>
      </c>
      <c r="B991" t="s">
        <v>1025</v>
      </c>
      <c r="C991" t="s">
        <v>931</v>
      </c>
      <c r="D991" t="s">
        <v>931</v>
      </c>
      <c r="E991" t="s">
        <v>919</v>
      </c>
      <c r="F991" s="2">
        <v>34284</v>
      </c>
      <c r="G991">
        <v>1645</v>
      </c>
      <c r="H991">
        <v>32</v>
      </c>
      <c r="I991">
        <v>7.0167900300998065E-2</v>
      </c>
      <c r="J991">
        <f t="shared" si="30"/>
        <v>1.9452887537993922E-2</v>
      </c>
      <c r="K991">
        <f t="shared" si="31"/>
        <v>1.3649682733324852E-3</v>
      </c>
    </row>
    <row r="992" spans="1:11" x14ac:dyDescent="0.25">
      <c r="A992" t="s">
        <v>10</v>
      </c>
      <c r="B992" t="s">
        <v>1026</v>
      </c>
      <c r="C992" t="s">
        <v>934</v>
      </c>
      <c r="D992" t="s">
        <v>934</v>
      </c>
      <c r="E992" t="s">
        <v>919</v>
      </c>
      <c r="F992" s="2">
        <v>32159</v>
      </c>
      <c r="G992">
        <v>1644</v>
      </c>
      <c r="H992">
        <v>190</v>
      </c>
      <c r="I992">
        <v>0.2009475634083786</v>
      </c>
      <c r="J992">
        <f t="shared" si="30"/>
        <v>0.11557177615571776</v>
      </c>
      <c r="K992">
        <f t="shared" si="31"/>
        <v>2.3223866817270032E-2</v>
      </c>
    </row>
    <row r="993" spans="1:11" x14ac:dyDescent="0.25">
      <c r="A993" t="s">
        <v>10</v>
      </c>
      <c r="B993" t="s">
        <v>1027</v>
      </c>
      <c r="C993" t="s">
        <v>918</v>
      </c>
      <c r="D993" t="s">
        <v>918</v>
      </c>
      <c r="E993" t="s">
        <v>919</v>
      </c>
      <c r="F993" s="3">
        <v>37341</v>
      </c>
      <c r="G993">
        <v>3393</v>
      </c>
      <c r="H993">
        <v>396</v>
      </c>
      <c r="I993">
        <v>7.745402399457757E-3</v>
      </c>
      <c r="J993">
        <f t="shared" si="30"/>
        <v>0.11671087533156499</v>
      </c>
      <c r="K993">
        <f t="shared" si="31"/>
        <v>9.0397269383591858E-4</v>
      </c>
    </row>
    <row r="994" spans="1:11" x14ac:dyDescent="0.25">
      <c r="A994" t="s">
        <v>10</v>
      </c>
      <c r="B994" t="s">
        <v>1028</v>
      </c>
      <c r="C994" t="s">
        <v>915</v>
      </c>
      <c r="D994" t="s">
        <v>915</v>
      </c>
      <c r="E994" t="s">
        <v>916</v>
      </c>
      <c r="F994" s="2">
        <v>22547</v>
      </c>
      <c r="G994">
        <v>1419</v>
      </c>
      <c r="H994">
        <v>23</v>
      </c>
      <c r="I994">
        <v>0.19903649126843548</v>
      </c>
      <c r="J994">
        <f t="shared" si="30"/>
        <v>1.620859760394644E-2</v>
      </c>
      <c r="K994">
        <f t="shared" si="31"/>
        <v>3.2261023954714696E-3</v>
      </c>
    </row>
    <row r="995" spans="1:11" x14ac:dyDescent="0.25">
      <c r="A995" t="s">
        <v>10</v>
      </c>
      <c r="B995" t="s">
        <v>1029</v>
      </c>
      <c r="C995" t="s">
        <v>937</v>
      </c>
      <c r="D995" t="s">
        <v>937</v>
      </c>
      <c r="E995" t="s">
        <v>937</v>
      </c>
      <c r="F995" s="3">
        <v>71327</v>
      </c>
      <c r="G995">
        <v>4264</v>
      </c>
      <c r="H995">
        <v>22</v>
      </c>
      <c r="I995">
        <v>6.4092362397351388E-2</v>
      </c>
      <c r="J995">
        <f t="shared" si="30"/>
        <v>5.1594746716697934E-3</v>
      </c>
      <c r="K995">
        <f t="shared" si="31"/>
        <v>3.3068292043661598E-4</v>
      </c>
    </row>
    <row r="996" spans="1:11" x14ac:dyDescent="0.25">
      <c r="A996" t="s">
        <v>10</v>
      </c>
      <c r="B996" t="s">
        <v>1030</v>
      </c>
      <c r="C996" t="s">
        <v>931</v>
      </c>
      <c r="D996" t="s">
        <v>931</v>
      </c>
      <c r="E996" t="s">
        <v>919</v>
      </c>
      <c r="F996" s="2">
        <v>34311</v>
      </c>
      <c r="G996">
        <v>1839</v>
      </c>
      <c r="H996">
        <v>76</v>
      </c>
      <c r="I996">
        <v>0.63553213754818283</v>
      </c>
      <c r="J996">
        <f t="shared" si="30"/>
        <v>4.1326808047852097E-2</v>
      </c>
      <c r="K996">
        <f t="shared" si="31"/>
        <v>2.6264514656694889E-2</v>
      </c>
    </row>
    <row r="997" spans="1:11" x14ac:dyDescent="0.25">
      <c r="A997" t="s">
        <v>10</v>
      </c>
      <c r="B997" t="s">
        <v>1031</v>
      </c>
      <c r="C997" t="s">
        <v>937</v>
      </c>
      <c r="D997" t="s">
        <v>937</v>
      </c>
      <c r="E997" t="s">
        <v>937</v>
      </c>
      <c r="F997" s="2">
        <v>71367</v>
      </c>
      <c r="G997">
        <v>2931</v>
      </c>
      <c r="H997">
        <v>0</v>
      </c>
      <c r="I997">
        <v>2.562008038443031E-2</v>
      </c>
      <c r="J997">
        <f t="shared" si="30"/>
        <v>0</v>
      </c>
      <c r="K997">
        <f t="shared" si="31"/>
        <v>0</v>
      </c>
    </row>
    <row r="998" spans="1:11" x14ac:dyDescent="0.25">
      <c r="A998" t="s">
        <v>10</v>
      </c>
      <c r="B998" t="s">
        <v>1032</v>
      </c>
      <c r="C998" t="s">
        <v>921</v>
      </c>
      <c r="D998" t="s">
        <v>921</v>
      </c>
      <c r="E998" t="s">
        <v>916</v>
      </c>
      <c r="F998" s="3">
        <v>23445</v>
      </c>
      <c r="G998">
        <v>2379</v>
      </c>
      <c r="H998">
        <v>0</v>
      </c>
      <c r="I998">
        <v>0.1571534026586372</v>
      </c>
      <c r="J998">
        <f t="shared" si="30"/>
        <v>0</v>
      </c>
      <c r="K998">
        <f t="shared" si="31"/>
        <v>0</v>
      </c>
    </row>
    <row r="999" spans="1:11" x14ac:dyDescent="0.25">
      <c r="A999" t="s">
        <v>10</v>
      </c>
      <c r="B999" t="s">
        <v>1033</v>
      </c>
      <c r="C999" t="s">
        <v>934</v>
      </c>
      <c r="D999" t="s">
        <v>934</v>
      </c>
      <c r="E999" t="s">
        <v>919</v>
      </c>
      <c r="F999" s="2">
        <v>32117</v>
      </c>
      <c r="G999">
        <v>2595</v>
      </c>
      <c r="H999">
        <v>127</v>
      </c>
      <c r="I999">
        <v>0.35417862360429919</v>
      </c>
      <c r="J999">
        <f t="shared" si="30"/>
        <v>4.8940269749518303E-2</v>
      </c>
      <c r="K999">
        <f t="shared" si="31"/>
        <v>1.7333597378707512E-2</v>
      </c>
    </row>
    <row r="1000" spans="1:11" x14ac:dyDescent="0.25">
      <c r="A1000" t="s">
        <v>10</v>
      </c>
      <c r="B1000" t="s">
        <v>1034</v>
      </c>
      <c r="C1000" t="s">
        <v>915</v>
      </c>
      <c r="D1000" t="s">
        <v>915</v>
      </c>
      <c r="E1000" t="s">
        <v>916</v>
      </c>
      <c r="F1000" s="3">
        <v>22483</v>
      </c>
      <c r="G1000">
        <v>956</v>
      </c>
      <c r="H1000">
        <v>23</v>
      </c>
      <c r="I1000">
        <v>0.14471914518184459</v>
      </c>
      <c r="J1000">
        <f t="shared" si="30"/>
        <v>2.4058577405857741E-2</v>
      </c>
      <c r="K1000">
        <f t="shared" si="31"/>
        <v>3.4817367564669724E-3</v>
      </c>
    </row>
    <row r="1001" spans="1:11" x14ac:dyDescent="0.25">
      <c r="A1001" t="s">
        <v>10</v>
      </c>
      <c r="B1001" t="s">
        <v>1035</v>
      </c>
      <c r="C1001" t="s">
        <v>937</v>
      </c>
      <c r="D1001" t="s">
        <v>937</v>
      </c>
      <c r="E1001" t="s">
        <v>937</v>
      </c>
      <c r="F1001" s="2">
        <v>71337</v>
      </c>
      <c r="G1001">
        <v>10456</v>
      </c>
      <c r="H1001">
        <v>0</v>
      </c>
      <c r="I1001">
        <v>2.5937976832823173E-2</v>
      </c>
      <c r="J1001">
        <f t="shared" si="30"/>
        <v>0</v>
      </c>
      <c r="K1001">
        <f t="shared" si="31"/>
        <v>0</v>
      </c>
    </row>
    <row r="1002" spans="1:11" x14ac:dyDescent="0.25">
      <c r="A1002" t="s">
        <v>10</v>
      </c>
      <c r="B1002" t="s">
        <v>1036</v>
      </c>
      <c r="C1002" t="s">
        <v>915</v>
      </c>
      <c r="D1002" t="s">
        <v>915</v>
      </c>
      <c r="E1002" t="s">
        <v>916</v>
      </c>
      <c r="F1002" s="2">
        <v>22455</v>
      </c>
      <c r="G1002">
        <v>8947</v>
      </c>
      <c r="H1002">
        <v>338</v>
      </c>
      <c r="I1002">
        <v>0.36744796363206689</v>
      </c>
      <c r="J1002">
        <f t="shared" si="30"/>
        <v>3.777802615401811E-2</v>
      </c>
      <c r="K1002">
        <f t="shared" si="31"/>
        <v>1.3881458780332917E-2</v>
      </c>
    </row>
    <row r="1003" spans="1:11" x14ac:dyDescent="0.25">
      <c r="A1003" t="s">
        <v>10</v>
      </c>
      <c r="B1003" t="s">
        <v>1037</v>
      </c>
      <c r="C1003" t="s">
        <v>921</v>
      </c>
      <c r="D1003" t="s">
        <v>921</v>
      </c>
      <c r="E1003" t="s">
        <v>916</v>
      </c>
      <c r="F1003" s="3">
        <v>23655</v>
      </c>
      <c r="G1003">
        <v>4739</v>
      </c>
      <c r="H1003">
        <v>450</v>
      </c>
      <c r="I1003">
        <v>0.53477610860102787</v>
      </c>
      <c r="J1003">
        <f t="shared" si="30"/>
        <v>9.4956741928676938E-2</v>
      </c>
      <c r="K1003">
        <f t="shared" si="31"/>
        <v>5.0780596934049918E-2</v>
      </c>
    </row>
    <row r="1004" spans="1:11" x14ac:dyDescent="0.25">
      <c r="A1004" t="s">
        <v>10</v>
      </c>
      <c r="B1004" t="s">
        <v>1038</v>
      </c>
      <c r="C1004" t="s">
        <v>915</v>
      </c>
      <c r="D1004" t="s">
        <v>915</v>
      </c>
      <c r="E1004" t="s">
        <v>916</v>
      </c>
      <c r="F1004" s="2">
        <v>22619</v>
      </c>
      <c r="G1004">
        <v>1600</v>
      </c>
      <c r="H1004">
        <v>50</v>
      </c>
      <c r="I1004">
        <v>0.49534723853527007</v>
      </c>
      <c r="J1004">
        <f t="shared" si="30"/>
        <v>3.125E-2</v>
      </c>
      <c r="K1004">
        <f t="shared" si="31"/>
        <v>1.547960120422719E-2</v>
      </c>
    </row>
    <row r="1005" spans="1:11" x14ac:dyDescent="0.25">
      <c r="A1005" t="s">
        <v>10</v>
      </c>
      <c r="B1005" t="s">
        <v>1039</v>
      </c>
      <c r="C1005" t="s">
        <v>915</v>
      </c>
      <c r="D1005" t="s">
        <v>915</v>
      </c>
      <c r="E1005" t="s">
        <v>916</v>
      </c>
      <c r="F1005" s="3">
        <v>22711</v>
      </c>
      <c r="G1005">
        <v>1642</v>
      </c>
      <c r="H1005">
        <v>279</v>
      </c>
      <c r="I1005">
        <v>0.56666239316491795</v>
      </c>
      <c r="J1005">
        <f t="shared" si="30"/>
        <v>0.16991473812423874</v>
      </c>
      <c r="K1005">
        <f t="shared" si="31"/>
        <v>9.6284292139471442E-2</v>
      </c>
    </row>
    <row r="1006" spans="1:11" x14ac:dyDescent="0.25">
      <c r="A1006" t="s">
        <v>10</v>
      </c>
      <c r="B1006" t="s">
        <v>1040</v>
      </c>
      <c r="C1006" t="s">
        <v>921</v>
      </c>
      <c r="D1006" t="s">
        <v>921</v>
      </c>
      <c r="E1006" t="s">
        <v>916</v>
      </c>
      <c r="F1006" s="2">
        <v>23566</v>
      </c>
      <c r="G1006">
        <v>3687</v>
      </c>
      <c r="H1006">
        <v>135</v>
      </c>
      <c r="I1006">
        <v>0.15119441436045977</v>
      </c>
      <c r="J1006">
        <f t="shared" si="30"/>
        <v>3.6615134255492267E-2</v>
      </c>
      <c r="K1006">
        <f t="shared" si="31"/>
        <v>5.5360037804887624E-3</v>
      </c>
    </row>
    <row r="1007" spans="1:11" x14ac:dyDescent="0.25">
      <c r="A1007" t="s">
        <v>10</v>
      </c>
      <c r="B1007" t="s">
        <v>1041</v>
      </c>
      <c r="C1007" t="s">
        <v>982</v>
      </c>
      <c r="D1007" t="s">
        <v>982</v>
      </c>
      <c r="E1007" t="s">
        <v>919</v>
      </c>
      <c r="F1007" s="2">
        <v>36171</v>
      </c>
      <c r="G1007">
        <v>2630</v>
      </c>
      <c r="H1007">
        <v>33</v>
      </c>
      <c r="I1007">
        <v>0.12582157182143672</v>
      </c>
      <c r="J1007">
        <f t="shared" si="30"/>
        <v>1.2547528517110267E-2</v>
      </c>
      <c r="K1007">
        <f t="shared" si="31"/>
        <v>1.5787497604971147E-3</v>
      </c>
    </row>
    <row r="1008" spans="1:11" x14ac:dyDescent="0.25">
      <c r="A1008" t="s">
        <v>10</v>
      </c>
      <c r="B1008" t="s">
        <v>1042</v>
      </c>
      <c r="C1008" t="s">
        <v>937</v>
      </c>
      <c r="D1008" t="s">
        <v>937</v>
      </c>
      <c r="E1008" t="s">
        <v>937</v>
      </c>
      <c r="F1008" s="3">
        <v>71351</v>
      </c>
      <c r="G1008">
        <v>6283</v>
      </c>
      <c r="H1008">
        <v>0</v>
      </c>
      <c r="I1008">
        <v>0.4150757915117318</v>
      </c>
      <c r="J1008">
        <f t="shared" si="30"/>
        <v>0</v>
      </c>
      <c r="K1008">
        <f t="shared" si="31"/>
        <v>0</v>
      </c>
    </row>
    <row r="1009" spans="1:11" x14ac:dyDescent="0.25">
      <c r="A1009" t="s">
        <v>10</v>
      </c>
      <c r="B1009" t="s">
        <v>1043</v>
      </c>
      <c r="C1009" t="s">
        <v>921</v>
      </c>
      <c r="D1009" t="s">
        <v>921</v>
      </c>
      <c r="E1009" t="s">
        <v>916</v>
      </c>
      <c r="F1009" s="2">
        <v>23651</v>
      </c>
      <c r="G1009">
        <v>3139</v>
      </c>
      <c r="H1009">
        <v>100</v>
      </c>
      <c r="I1009">
        <v>0.43916272716940608</v>
      </c>
      <c r="J1009">
        <f t="shared" si="30"/>
        <v>3.1857279388340237E-2</v>
      </c>
      <c r="K1009">
        <f t="shared" si="31"/>
        <v>1.3990529696381208E-2</v>
      </c>
    </row>
    <row r="1010" spans="1:11" x14ac:dyDescent="0.25">
      <c r="A1010" t="s">
        <v>10</v>
      </c>
      <c r="B1010" t="s">
        <v>1044</v>
      </c>
      <c r="C1010" t="s">
        <v>937</v>
      </c>
      <c r="D1010" t="s">
        <v>937</v>
      </c>
      <c r="E1010" t="s">
        <v>937</v>
      </c>
      <c r="F1010" s="3">
        <v>71321</v>
      </c>
      <c r="G1010">
        <v>3610</v>
      </c>
      <c r="H1010">
        <v>0</v>
      </c>
      <c r="I1010">
        <v>4.940850110306727E-2</v>
      </c>
      <c r="J1010">
        <f t="shared" si="30"/>
        <v>0</v>
      </c>
      <c r="K1010">
        <f t="shared" si="31"/>
        <v>0</v>
      </c>
    </row>
    <row r="1011" spans="1:11" x14ac:dyDescent="0.25">
      <c r="A1011" t="s">
        <v>10</v>
      </c>
      <c r="B1011" t="s">
        <v>1045</v>
      </c>
      <c r="C1011" t="s">
        <v>934</v>
      </c>
      <c r="D1011" t="s">
        <v>934</v>
      </c>
      <c r="E1011" t="s">
        <v>919</v>
      </c>
      <c r="F1011" s="3">
        <v>32147</v>
      </c>
      <c r="G1011">
        <v>1944</v>
      </c>
      <c r="H1011">
        <v>158</v>
      </c>
      <c r="I1011">
        <v>0.28657380557505718</v>
      </c>
      <c r="J1011">
        <f t="shared" si="30"/>
        <v>8.1275720164609058E-2</v>
      </c>
      <c r="K1011">
        <f t="shared" si="31"/>
        <v>2.3291492428425431E-2</v>
      </c>
    </row>
    <row r="1012" spans="1:11" x14ac:dyDescent="0.25">
      <c r="A1012" t="s">
        <v>10</v>
      </c>
      <c r="B1012" t="s">
        <v>1046</v>
      </c>
      <c r="C1012" t="s">
        <v>921</v>
      </c>
      <c r="D1012" t="s">
        <v>921</v>
      </c>
      <c r="E1012" t="s">
        <v>916</v>
      </c>
      <c r="F1012" s="2">
        <v>23463</v>
      </c>
      <c r="G1012">
        <v>1807</v>
      </c>
      <c r="H1012">
        <v>297</v>
      </c>
      <c r="I1012">
        <v>1.3664812380834279E-2</v>
      </c>
      <c r="J1012">
        <f t="shared" si="30"/>
        <v>0.16436081903707803</v>
      </c>
      <c r="K1012">
        <f t="shared" si="31"/>
        <v>2.2459597549019262E-3</v>
      </c>
    </row>
    <row r="1013" spans="1:11" x14ac:dyDescent="0.25">
      <c r="A1013" t="s">
        <v>10</v>
      </c>
      <c r="B1013" t="s">
        <v>1047</v>
      </c>
      <c r="C1013" t="s">
        <v>937</v>
      </c>
      <c r="D1013" t="s">
        <v>937</v>
      </c>
      <c r="E1013" t="s">
        <v>937</v>
      </c>
      <c r="F1013" s="3">
        <v>71261</v>
      </c>
      <c r="G1013">
        <v>2537</v>
      </c>
      <c r="H1013">
        <v>63</v>
      </c>
      <c r="I1013">
        <v>6.6495433789954372E-2</v>
      </c>
      <c r="J1013">
        <f t="shared" si="30"/>
        <v>2.4832479306267245E-2</v>
      </c>
      <c r="K1013">
        <f t="shared" si="31"/>
        <v>1.6512464835503058E-3</v>
      </c>
    </row>
    <row r="1014" spans="1:11" x14ac:dyDescent="0.25">
      <c r="A1014" t="s">
        <v>10</v>
      </c>
      <c r="B1014" t="s">
        <v>1048</v>
      </c>
      <c r="C1014" t="s">
        <v>921</v>
      </c>
      <c r="D1014" t="s">
        <v>921</v>
      </c>
      <c r="E1014" t="s">
        <v>916</v>
      </c>
      <c r="F1014" s="3">
        <v>23459</v>
      </c>
      <c r="G1014">
        <v>1772</v>
      </c>
      <c r="H1014">
        <v>220</v>
      </c>
      <c r="I1014">
        <v>0.5712420744348049</v>
      </c>
      <c r="J1014">
        <f t="shared" si="30"/>
        <v>0.12415349887133183</v>
      </c>
      <c r="K1014">
        <f t="shared" si="31"/>
        <v>7.0921702243598797E-2</v>
      </c>
    </row>
    <row r="1015" spans="1:11" x14ac:dyDescent="0.25">
      <c r="A1015" t="s">
        <v>10</v>
      </c>
      <c r="B1015" t="s">
        <v>1049</v>
      </c>
      <c r="C1015" t="s">
        <v>921</v>
      </c>
      <c r="D1015" t="s">
        <v>921</v>
      </c>
      <c r="E1015" t="s">
        <v>916</v>
      </c>
      <c r="F1015" s="2">
        <v>23381</v>
      </c>
      <c r="G1015">
        <v>1440</v>
      </c>
      <c r="H1015">
        <v>292</v>
      </c>
      <c r="I1015">
        <v>0.344756950079111</v>
      </c>
      <c r="J1015">
        <f t="shared" si="30"/>
        <v>0.20277777777777778</v>
      </c>
      <c r="K1015">
        <f t="shared" si="31"/>
        <v>6.9909048210486394E-2</v>
      </c>
    </row>
    <row r="1016" spans="1:11" x14ac:dyDescent="0.25">
      <c r="A1016" t="s">
        <v>10</v>
      </c>
      <c r="B1016" t="s">
        <v>1050</v>
      </c>
      <c r="C1016" t="s">
        <v>915</v>
      </c>
      <c r="D1016" t="s">
        <v>915</v>
      </c>
      <c r="E1016" t="s">
        <v>916</v>
      </c>
      <c r="F1016" s="3">
        <v>22439</v>
      </c>
      <c r="G1016">
        <v>2222</v>
      </c>
      <c r="H1016">
        <v>135</v>
      </c>
      <c r="I1016">
        <v>0.58888969777367939</v>
      </c>
      <c r="J1016">
        <f t="shared" si="30"/>
        <v>6.0756075607560758E-2</v>
      </c>
      <c r="K1016">
        <f t="shared" si="31"/>
        <v>3.5778627002451269E-2</v>
      </c>
    </row>
    <row r="1017" spans="1:11" x14ac:dyDescent="0.25">
      <c r="A1017" t="s">
        <v>10</v>
      </c>
      <c r="B1017" t="s">
        <v>1051</v>
      </c>
      <c r="C1017" t="s">
        <v>915</v>
      </c>
      <c r="D1017" t="s">
        <v>915</v>
      </c>
      <c r="E1017" t="s">
        <v>916</v>
      </c>
      <c r="F1017" s="2">
        <v>22731</v>
      </c>
      <c r="G1017">
        <v>1247</v>
      </c>
      <c r="H1017">
        <v>45</v>
      </c>
      <c r="I1017">
        <v>0.62248409454484954</v>
      </c>
      <c r="J1017">
        <f t="shared" si="30"/>
        <v>3.6086607858861267E-2</v>
      </c>
      <c r="K1017">
        <f t="shared" si="31"/>
        <v>2.2463339418218306E-2</v>
      </c>
    </row>
    <row r="1018" spans="1:11" x14ac:dyDescent="0.25">
      <c r="A1018" t="s">
        <v>10</v>
      </c>
      <c r="B1018" t="s">
        <v>1052</v>
      </c>
      <c r="C1018" t="s">
        <v>934</v>
      </c>
      <c r="D1018" t="s">
        <v>934</v>
      </c>
      <c r="E1018" t="s">
        <v>919</v>
      </c>
      <c r="F1018" s="3">
        <v>32175</v>
      </c>
      <c r="G1018">
        <v>478</v>
      </c>
      <c r="H1018">
        <v>0</v>
      </c>
      <c r="I1018">
        <v>0.19104591836734697</v>
      </c>
      <c r="J1018">
        <f t="shared" si="30"/>
        <v>0</v>
      </c>
      <c r="K1018">
        <f t="shared" si="31"/>
        <v>0</v>
      </c>
    </row>
    <row r="1019" spans="1:11" x14ac:dyDescent="0.25">
      <c r="A1019" t="s">
        <v>10</v>
      </c>
      <c r="B1019" t="s">
        <v>1053</v>
      </c>
      <c r="C1019" t="s">
        <v>915</v>
      </c>
      <c r="D1019" t="s">
        <v>915</v>
      </c>
      <c r="E1019" t="s">
        <v>916</v>
      </c>
      <c r="F1019" s="2">
        <v>22279</v>
      </c>
      <c r="G1019">
        <v>1215</v>
      </c>
      <c r="H1019">
        <v>26</v>
      </c>
      <c r="I1019">
        <v>0.59929074347866551</v>
      </c>
      <c r="J1019">
        <f t="shared" si="30"/>
        <v>2.1399176954732511E-2</v>
      </c>
      <c r="K1019">
        <f t="shared" si="31"/>
        <v>1.2824328667033171E-2</v>
      </c>
    </row>
    <row r="1020" spans="1:11" x14ac:dyDescent="0.25">
      <c r="A1020" t="s">
        <v>10</v>
      </c>
      <c r="B1020" t="s">
        <v>1054</v>
      </c>
      <c r="C1020" t="s">
        <v>934</v>
      </c>
      <c r="D1020" t="s">
        <v>934</v>
      </c>
      <c r="E1020" t="s">
        <v>919</v>
      </c>
      <c r="F1020" s="3">
        <v>32129</v>
      </c>
      <c r="G1020">
        <v>613</v>
      </c>
      <c r="H1020">
        <v>0</v>
      </c>
      <c r="I1020">
        <v>0.31044169505707975</v>
      </c>
      <c r="J1020">
        <f t="shared" si="30"/>
        <v>0</v>
      </c>
      <c r="K1020">
        <f t="shared" si="31"/>
        <v>0</v>
      </c>
    </row>
    <row r="1021" spans="1:11" x14ac:dyDescent="0.25">
      <c r="A1021" t="s">
        <v>10</v>
      </c>
      <c r="B1021" t="s">
        <v>1055</v>
      </c>
      <c r="C1021" t="s">
        <v>921</v>
      </c>
      <c r="D1021" t="s">
        <v>921</v>
      </c>
      <c r="E1021" t="s">
        <v>916</v>
      </c>
      <c r="F1021" s="2">
        <v>23219</v>
      </c>
      <c r="G1021">
        <v>2712</v>
      </c>
      <c r="H1021">
        <v>315</v>
      </c>
      <c r="I1021">
        <v>8.1602760106242234E-2</v>
      </c>
      <c r="J1021">
        <f t="shared" si="30"/>
        <v>0.11615044247787611</v>
      </c>
      <c r="K1021">
        <f t="shared" si="31"/>
        <v>9.4781966937560122E-3</v>
      </c>
    </row>
    <row r="1022" spans="1:11" x14ac:dyDescent="0.25">
      <c r="A1022" t="s">
        <v>10</v>
      </c>
      <c r="B1022" t="s">
        <v>1056</v>
      </c>
      <c r="C1022" t="s">
        <v>934</v>
      </c>
      <c r="D1022" t="s">
        <v>934</v>
      </c>
      <c r="E1022" t="s">
        <v>919</v>
      </c>
      <c r="F1022" s="3">
        <v>32163</v>
      </c>
      <c r="G1022">
        <v>480</v>
      </c>
      <c r="H1022">
        <v>7</v>
      </c>
      <c r="I1022">
        <v>7.187453545413991E-2</v>
      </c>
      <c r="J1022">
        <f t="shared" si="30"/>
        <v>1.4583333333333334E-2</v>
      </c>
      <c r="K1022">
        <f t="shared" si="31"/>
        <v>1.048170308706207E-3</v>
      </c>
    </row>
    <row r="1023" spans="1:11" x14ac:dyDescent="0.25">
      <c r="A1023" t="s">
        <v>10</v>
      </c>
      <c r="B1023" t="s">
        <v>1057</v>
      </c>
      <c r="C1023" t="s">
        <v>937</v>
      </c>
      <c r="D1023" t="s">
        <v>937</v>
      </c>
      <c r="E1023" t="s">
        <v>937</v>
      </c>
      <c r="F1023" s="2">
        <v>71266</v>
      </c>
      <c r="G1023">
        <v>2320</v>
      </c>
      <c r="H1023">
        <v>171</v>
      </c>
      <c r="I1023">
        <v>6.1628806218861798E-2</v>
      </c>
      <c r="J1023">
        <f t="shared" si="30"/>
        <v>7.3706896551724133E-2</v>
      </c>
      <c r="K1023">
        <f t="shared" si="31"/>
        <v>4.5424680445798997E-3</v>
      </c>
    </row>
    <row r="1024" spans="1:11" x14ac:dyDescent="0.25">
      <c r="A1024" t="s">
        <v>10</v>
      </c>
      <c r="B1024" t="s">
        <v>1058</v>
      </c>
      <c r="C1024" t="s">
        <v>921</v>
      </c>
      <c r="D1024" t="s">
        <v>921</v>
      </c>
      <c r="E1024" t="s">
        <v>916</v>
      </c>
      <c r="F1024" s="3">
        <v>23469</v>
      </c>
      <c r="G1024">
        <v>2577</v>
      </c>
      <c r="H1024">
        <v>350</v>
      </c>
      <c r="I1024">
        <v>0.62101570533696626</v>
      </c>
      <c r="J1024">
        <f t="shared" si="30"/>
        <v>0.13581684128831975</v>
      </c>
      <c r="K1024">
        <f t="shared" si="31"/>
        <v>8.4344391489304685E-2</v>
      </c>
    </row>
    <row r="1025" spans="1:11" x14ac:dyDescent="0.25">
      <c r="A1025" t="s">
        <v>10</v>
      </c>
      <c r="B1025" t="s">
        <v>1059</v>
      </c>
      <c r="C1025" t="s">
        <v>937</v>
      </c>
      <c r="D1025" t="s">
        <v>937</v>
      </c>
      <c r="E1025" t="s">
        <v>937</v>
      </c>
      <c r="F1025" s="2">
        <v>71387</v>
      </c>
      <c r="G1025">
        <v>2301</v>
      </c>
      <c r="H1025">
        <v>0</v>
      </c>
      <c r="I1025">
        <v>3.0178197415961727E-2</v>
      </c>
      <c r="J1025">
        <f t="shared" si="30"/>
        <v>0</v>
      </c>
      <c r="K1025">
        <f t="shared" si="31"/>
        <v>0</v>
      </c>
    </row>
    <row r="1026" spans="1:11" x14ac:dyDescent="0.25">
      <c r="A1026" t="s">
        <v>10</v>
      </c>
      <c r="B1026" t="s">
        <v>1060</v>
      </c>
      <c r="C1026" t="s">
        <v>931</v>
      </c>
      <c r="D1026" t="s">
        <v>931</v>
      </c>
      <c r="E1026" t="s">
        <v>919</v>
      </c>
      <c r="F1026" s="2">
        <v>34263</v>
      </c>
      <c r="G1026">
        <v>1032</v>
      </c>
      <c r="H1026">
        <v>39</v>
      </c>
      <c r="I1026">
        <v>0.21493060172681777</v>
      </c>
      <c r="J1026">
        <f t="shared" si="30"/>
        <v>3.7790697674418602E-2</v>
      </c>
      <c r="K1026">
        <f t="shared" si="31"/>
        <v>8.1223773908390435E-3</v>
      </c>
    </row>
    <row r="1027" spans="1:11" x14ac:dyDescent="0.25">
      <c r="A1027" t="s">
        <v>10</v>
      </c>
      <c r="B1027" t="s">
        <v>1061</v>
      </c>
      <c r="C1027" t="s">
        <v>921</v>
      </c>
      <c r="D1027" t="s">
        <v>921</v>
      </c>
      <c r="E1027" t="s">
        <v>916</v>
      </c>
      <c r="F1027" s="3">
        <v>23423</v>
      </c>
      <c r="G1027">
        <v>2447</v>
      </c>
      <c r="H1027">
        <v>135</v>
      </c>
      <c r="I1027">
        <v>1.9754237991534085E-2</v>
      </c>
      <c r="J1027">
        <f t="shared" ref="J1027:J1090" si="32">IF(G1027=0,0,H1027/G1027)</f>
        <v>5.5169595422966899E-2</v>
      </c>
      <c r="K1027">
        <f t="shared" ref="K1027:K1090" si="33">J1027*I1027</f>
        <v>1.0898333178819377E-3</v>
      </c>
    </row>
    <row r="1028" spans="1:11" x14ac:dyDescent="0.25">
      <c r="A1028" t="s">
        <v>10</v>
      </c>
      <c r="B1028" t="s">
        <v>1062</v>
      </c>
      <c r="C1028" t="s">
        <v>915</v>
      </c>
      <c r="D1028" t="s">
        <v>915</v>
      </c>
      <c r="E1028" t="s">
        <v>916</v>
      </c>
      <c r="F1028" s="2">
        <v>22551</v>
      </c>
      <c r="G1028">
        <v>1281</v>
      </c>
      <c r="H1028">
        <v>0</v>
      </c>
      <c r="I1028">
        <v>0.3418445864033518</v>
      </c>
      <c r="J1028">
        <f t="shared" si="32"/>
        <v>0</v>
      </c>
      <c r="K1028">
        <f t="shared" si="33"/>
        <v>0</v>
      </c>
    </row>
    <row r="1029" spans="1:11" x14ac:dyDescent="0.25">
      <c r="A1029" t="s">
        <v>10</v>
      </c>
      <c r="B1029" t="s">
        <v>1063</v>
      </c>
      <c r="C1029" t="s">
        <v>921</v>
      </c>
      <c r="D1029" t="s">
        <v>921</v>
      </c>
      <c r="E1029" t="s">
        <v>916</v>
      </c>
      <c r="F1029" s="3">
        <v>23588</v>
      </c>
      <c r="G1029">
        <v>1218</v>
      </c>
      <c r="H1029">
        <v>641</v>
      </c>
      <c r="I1029">
        <v>0.32494705075445818</v>
      </c>
      <c r="J1029">
        <f t="shared" si="32"/>
        <v>0.5262725779967159</v>
      </c>
      <c r="K1029">
        <f t="shared" si="33"/>
        <v>0.17101072211297838</v>
      </c>
    </row>
    <row r="1030" spans="1:11" x14ac:dyDescent="0.25">
      <c r="A1030" t="s">
        <v>10</v>
      </c>
      <c r="B1030" t="s">
        <v>1064</v>
      </c>
      <c r="C1030" t="s">
        <v>918</v>
      </c>
      <c r="D1030" t="s">
        <v>918</v>
      </c>
      <c r="E1030" t="s">
        <v>919</v>
      </c>
      <c r="F1030" s="2">
        <v>37261</v>
      </c>
      <c r="G1030">
        <v>2178</v>
      </c>
      <c r="H1030">
        <v>450</v>
      </c>
      <c r="I1030">
        <v>9.9185323584933816E-3</v>
      </c>
      <c r="J1030">
        <f t="shared" si="32"/>
        <v>0.20661157024793389</v>
      </c>
      <c r="K1030">
        <f t="shared" si="33"/>
        <v>2.0492835451432607E-3</v>
      </c>
    </row>
    <row r="1031" spans="1:11" x14ac:dyDescent="0.25">
      <c r="A1031" t="s">
        <v>10</v>
      </c>
      <c r="B1031" t="s">
        <v>1065</v>
      </c>
      <c r="C1031" t="s">
        <v>937</v>
      </c>
      <c r="D1031" t="s">
        <v>937</v>
      </c>
      <c r="E1031" t="s">
        <v>937</v>
      </c>
      <c r="F1031" s="3">
        <v>71226</v>
      </c>
      <c r="G1031">
        <v>3069</v>
      </c>
      <c r="H1031">
        <v>0</v>
      </c>
      <c r="I1031">
        <v>6.1750035411481385E-2</v>
      </c>
      <c r="J1031">
        <f t="shared" si="32"/>
        <v>0</v>
      </c>
      <c r="K1031">
        <f t="shared" si="33"/>
        <v>0</v>
      </c>
    </row>
    <row r="1032" spans="1:11" x14ac:dyDescent="0.25">
      <c r="A1032" t="s">
        <v>10</v>
      </c>
      <c r="B1032" t="s">
        <v>1066</v>
      </c>
      <c r="C1032" t="s">
        <v>921</v>
      </c>
      <c r="D1032" t="s">
        <v>921</v>
      </c>
      <c r="E1032" t="s">
        <v>916</v>
      </c>
      <c r="F1032" s="2">
        <v>23577</v>
      </c>
      <c r="G1032">
        <v>3602</v>
      </c>
      <c r="H1032">
        <v>650</v>
      </c>
      <c r="I1032">
        <v>2.442177750798602E-2</v>
      </c>
      <c r="J1032">
        <f t="shared" si="32"/>
        <v>0.18045530260966131</v>
      </c>
      <c r="K1032">
        <f t="shared" si="33"/>
        <v>4.4070392504694375E-3</v>
      </c>
    </row>
    <row r="1033" spans="1:11" x14ac:dyDescent="0.25">
      <c r="A1033" t="s">
        <v>10</v>
      </c>
      <c r="B1033" t="s">
        <v>1067</v>
      </c>
      <c r="C1033" t="s">
        <v>921</v>
      </c>
      <c r="D1033" t="s">
        <v>921</v>
      </c>
      <c r="E1033" t="s">
        <v>916</v>
      </c>
      <c r="F1033" s="2">
        <v>23615</v>
      </c>
      <c r="G1033">
        <v>1694</v>
      </c>
      <c r="H1033">
        <v>125</v>
      </c>
      <c r="I1033">
        <v>0.43757554465856274</v>
      </c>
      <c r="J1033">
        <f t="shared" si="32"/>
        <v>7.3789846517119242E-2</v>
      </c>
      <c r="K1033">
        <f t="shared" si="33"/>
        <v>3.2288632280000201E-2</v>
      </c>
    </row>
    <row r="1034" spans="1:11" x14ac:dyDescent="0.25">
      <c r="A1034" t="s">
        <v>10</v>
      </c>
      <c r="B1034" t="s">
        <v>1068</v>
      </c>
      <c r="C1034" t="s">
        <v>921</v>
      </c>
      <c r="D1034" t="s">
        <v>921</v>
      </c>
      <c r="E1034" t="s">
        <v>916</v>
      </c>
      <c r="F1034" s="3">
        <v>23679</v>
      </c>
      <c r="G1034">
        <v>3787</v>
      </c>
      <c r="H1034">
        <v>180</v>
      </c>
      <c r="I1034">
        <v>0.47438233255204931</v>
      </c>
      <c r="J1034">
        <f t="shared" si="32"/>
        <v>4.7531027198310011E-2</v>
      </c>
      <c r="K1034">
        <f t="shared" si="33"/>
        <v>2.2547879550929201E-2</v>
      </c>
    </row>
    <row r="1035" spans="1:11" x14ac:dyDescent="0.25">
      <c r="A1035" t="s">
        <v>10</v>
      </c>
      <c r="B1035" t="s">
        <v>1069</v>
      </c>
      <c r="C1035" t="s">
        <v>918</v>
      </c>
      <c r="D1035" t="s">
        <v>918</v>
      </c>
      <c r="E1035" t="s">
        <v>919</v>
      </c>
      <c r="F1035" s="3">
        <v>37333</v>
      </c>
      <c r="G1035">
        <v>949</v>
      </c>
      <c r="H1035">
        <v>16</v>
      </c>
      <c r="I1035">
        <v>4.4223205777714769E-3</v>
      </c>
      <c r="J1035">
        <f t="shared" si="32"/>
        <v>1.6859852476290831E-2</v>
      </c>
      <c r="K1035">
        <f t="shared" si="33"/>
        <v>7.4559672544092332E-5</v>
      </c>
    </row>
    <row r="1036" spans="1:11" x14ac:dyDescent="0.25">
      <c r="A1036" t="s">
        <v>10</v>
      </c>
      <c r="B1036" t="s">
        <v>1070</v>
      </c>
      <c r="C1036" t="s">
        <v>931</v>
      </c>
      <c r="D1036" t="s">
        <v>931</v>
      </c>
      <c r="E1036" t="s">
        <v>919</v>
      </c>
      <c r="F1036" s="2">
        <v>34276</v>
      </c>
      <c r="G1036">
        <v>538</v>
      </c>
      <c r="H1036">
        <v>1440</v>
      </c>
      <c r="I1036">
        <v>0.16231632463264911</v>
      </c>
      <c r="J1036">
        <f t="shared" si="32"/>
        <v>2.6765799256505578</v>
      </c>
      <c r="K1036">
        <f t="shared" si="33"/>
        <v>0.43445261611712777</v>
      </c>
    </row>
    <row r="1037" spans="1:11" x14ac:dyDescent="0.25">
      <c r="A1037" t="s">
        <v>10</v>
      </c>
      <c r="B1037" t="s">
        <v>1071</v>
      </c>
      <c r="C1037" t="s">
        <v>921</v>
      </c>
      <c r="D1037" t="s">
        <v>921</v>
      </c>
      <c r="E1037" t="s">
        <v>916</v>
      </c>
      <c r="F1037" s="3">
        <v>23663</v>
      </c>
      <c r="G1037">
        <v>2942</v>
      </c>
      <c r="H1037">
        <v>635</v>
      </c>
      <c r="I1037">
        <v>6.5614855440672581E-2</v>
      </c>
      <c r="J1037">
        <f t="shared" si="32"/>
        <v>0.21583956492182188</v>
      </c>
      <c r="K1037">
        <f t="shared" si="33"/>
        <v>1.4162281850723006E-2</v>
      </c>
    </row>
    <row r="1038" spans="1:11" x14ac:dyDescent="0.25">
      <c r="A1038" t="s">
        <v>10</v>
      </c>
      <c r="B1038" t="s">
        <v>1072</v>
      </c>
      <c r="C1038" t="s">
        <v>915</v>
      </c>
      <c r="D1038" t="s">
        <v>915</v>
      </c>
      <c r="E1038" t="s">
        <v>916</v>
      </c>
      <c r="F1038" s="3">
        <v>22741</v>
      </c>
      <c r="G1038">
        <v>609</v>
      </c>
      <c r="H1038">
        <v>140</v>
      </c>
      <c r="I1038">
        <v>0.10633528559352734</v>
      </c>
      <c r="J1038">
        <f t="shared" si="32"/>
        <v>0.22988505747126436</v>
      </c>
      <c r="K1038">
        <f t="shared" si="33"/>
        <v>2.4444893239891342E-2</v>
      </c>
    </row>
    <row r="1039" spans="1:11" x14ac:dyDescent="0.25">
      <c r="A1039" t="s">
        <v>10</v>
      </c>
      <c r="B1039" t="s">
        <v>1073</v>
      </c>
      <c r="C1039" t="s">
        <v>921</v>
      </c>
      <c r="D1039" t="s">
        <v>921</v>
      </c>
      <c r="E1039" t="s">
        <v>916</v>
      </c>
      <c r="F1039" s="2">
        <v>23171</v>
      </c>
      <c r="G1039">
        <v>932</v>
      </c>
      <c r="H1039">
        <v>306</v>
      </c>
      <c r="I1039">
        <v>0.1457464160937979</v>
      </c>
      <c r="J1039">
        <f t="shared" si="32"/>
        <v>0.3283261802575107</v>
      </c>
      <c r="K1039">
        <f t="shared" si="33"/>
        <v>4.7852364082298447E-2</v>
      </c>
    </row>
    <row r="1040" spans="1:11" x14ac:dyDescent="0.25">
      <c r="A1040" t="s">
        <v>10</v>
      </c>
      <c r="B1040" t="s">
        <v>1074</v>
      </c>
      <c r="C1040" t="s">
        <v>931</v>
      </c>
      <c r="D1040" t="s">
        <v>931</v>
      </c>
      <c r="E1040" t="s">
        <v>919</v>
      </c>
      <c r="F1040" s="3">
        <v>34217</v>
      </c>
      <c r="G1040">
        <v>736</v>
      </c>
      <c r="H1040">
        <v>54</v>
      </c>
      <c r="I1040">
        <v>0.15859043639575099</v>
      </c>
      <c r="J1040">
        <f t="shared" si="32"/>
        <v>7.3369565217391311E-2</v>
      </c>
      <c r="K1040">
        <f t="shared" si="33"/>
        <v>1.1635711365992601E-2</v>
      </c>
    </row>
    <row r="1041" spans="1:11" x14ac:dyDescent="0.25">
      <c r="A1041" t="s">
        <v>10</v>
      </c>
      <c r="B1041" t="s">
        <v>1075</v>
      </c>
      <c r="C1041" t="s">
        <v>937</v>
      </c>
      <c r="D1041" t="s">
        <v>937</v>
      </c>
      <c r="E1041" t="s">
        <v>937</v>
      </c>
      <c r="F1041" s="2">
        <v>71377</v>
      </c>
      <c r="G1041">
        <v>977</v>
      </c>
      <c r="H1041">
        <v>0</v>
      </c>
      <c r="I1041">
        <v>5.3780278318394048E-2</v>
      </c>
      <c r="J1041">
        <f t="shared" si="32"/>
        <v>0</v>
      </c>
      <c r="K1041">
        <f t="shared" si="33"/>
        <v>0</v>
      </c>
    </row>
    <row r="1042" spans="1:11" x14ac:dyDescent="0.25">
      <c r="A1042" t="s">
        <v>10</v>
      </c>
      <c r="B1042" t="s">
        <v>1076</v>
      </c>
      <c r="C1042" t="s">
        <v>934</v>
      </c>
      <c r="D1042" t="s">
        <v>934</v>
      </c>
      <c r="E1042" t="s">
        <v>919</v>
      </c>
      <c r="F1042" s="3">
        <v>32153</v>
      </c>
      <c r="G1042">
        <v>841</v>
      </c>
      <c r="H1042">
        <v>23</v>
      </c>
      <c r="I1042">
        <v>0.24136580781580397</v>
      </c>
      <c r="J1042">
        <f t="shared" si="32"/>
        <v>2.7348394768133173E-2</v>
      </c>
      <c r="K1042">
        <f t="shared" si="33"/>
        <v>6.6009673956759704E-3</v>
      </c>
    </row>
    <row r="1043" spans="1:11" x14ac:dyDescent="0.25">
      <c r="A1043" t="s">
        <v>10</v>
      </c>
      <c r="B1043" t="s">
        <v>1077</v>
      </c>
      <c r="C1043" t="s">
        <v>931</v>
      </c>
      <c r="D1043" t="s">
        <v>931</v>
      </c>
      <c r="E1043" t="s">
        <v>919</v>
      </c>
      <c r="F1043" s="3">
        <v>34321</v>
      </c>
      <c r="G1043">
        <v>556</v>
      </c>
      <c r="H1043">
        <v>17</v>
      </c>
      <c r="I1043">
        <v>0.15914840010078124</v>
      </c>
      <c r="J1043">
        <f t="shared" si="32"/>
        <v>3.0575539568345324E-2</v>
      </c>
      <c r="K1043">
        <f t="shared" si="33"/>
        <v>4.86604820452029E-3</v>
      </c>
    </row>
    <row r="1044" spans="1:11" x14ac:dyDescent="0.25">
      <c r="A1044" t="s">
        <v>10</v>
      </c>
      <c r="B1044" t="s">
        <v>1078</v>
      </c>
      <c r="C1044" t="s">
        <v>931</v>
      </c>
      <c r="D1044" t="s">
        <v>931</v>
      </c>
      <c r="E1044" t="s">
        <v>919</v>
      </c>
      <c r="F1044" s="3">
        <v>34277</v>
      </c>
      <c r="G1044">
        <v>791</v>
      </c>
      <c r="H1044">
        <v>28</v>
      </c>
      <c r="I1044">
        <v>0.19682797376155647</v>
      </c>
      <c r="J1044">
        <f t="shared" si="32"/>
        <v>3.5398230088495575E-2</v>
      </c>
      <c r="K1044">
        <f t="shared" si="33"/>
        <v>6.9673619030639457E-3</v>
      </c>
    </row>
    <row r="1045" spans="1:11" x14ac:dyDescent="0.25">
      <c r="A1045" t="s">
        <v>10</v>
      </c>
      <c r="B1045" t="s">
        <v>1079</v>
      </c>
      <c r="C1045" t="s">
        <v>918</v>
      </c>
      <c r="D1045" t="s">
        <v>918</v>
      </c>
      <c r="E1045" t="s">
        <v>919</v>
      </c>
      <c r="F1045" s="2">
        <v>37323</v>
      </c>
      <c r="G1045">
        <v>1873</v>
      </c>
      <c r="H1045">
        <v>32</v>
      </c>
      <c r="I1045">
        <v>5.3775006652243551E-3</v>
      </c>
      <c r="J1045">
        <f t="shared" si="32"/>
        <v>1.7084890549919914E-2</v>
      </c>
      <c r="K1045">
        <f t="shared" si="33"/>
        <v>9.1874010297479634E-5</v>
      </c>
    </row>
    <row r="1046" spans="1:11" x14ac:dyDescent="0.25">
      <c r="A1046" t="s">
        <v>10</v>
      </c>
      <c r="B1046" t="s">
        <v>1080</v>
      </c>
      <c r="C1046" t="s">
        <v>921</v>
      </c>
      <c r="D1046" t="s">
        <v>921</v>
      </c>
      <c r="E1046" t="s">
        <v>916</v>
      </c>
      <c r="F1046" s="2">
        <v>23247</v>
      </c>
      <c r="G1046">
        <v>2521</v>
      </c>
      <c r="H1046">
        <v>2131</v>
      </c>
      <c r="I1046">
        <v>0.46742901568415351</v>
      </c>
      <c r="J1046">
        <f t="shared" si="32"/>
        <v>0.84529948433161439</v>
      </c>
      <c r="K1046">
        <f t="shared" si="33"/>
        <v>0.39511750591944905</v>
      </c>
    </row>
    <row r="1047" spans="1:11" x14ac:dyDescent="0.25">
      <c r="A1047" t="s">
        <v>10</v>
      </c>
      <c r="B1047" t="s">
        <v>1081</v>
      </c>
      <c r="C1047" t="s">
        <v>931</v>
      </c>
      <c r="D1047" t="s">
        <v>931</v>
      </c>
      <c r="E1047" t="s">
        <v>919</v>
      </c>
      <c r="F1047" s="3">
        <v>34224</v>
      </c>
      <c r="G1047">
        <v>348</v>
      </c>
      <c r="H1047">
        <v>17</v>
      </c>
      <c r="I1047">
        <v>9.4819300269127327E-2</v>
      </c>
      <c r="J1047">
        <f t="shared" si="32"/>
        <v>4.8850574712643681E-2</v>
      </c>
      <c r="K1047">
        <f t="shared" si="33"/>
        <v>4.6319773119975994E-3</v>
      </c>
    </row>
    <row r="1048" spans="1:11" x14ac:dyDescent="0.25">
      <c r="A1048" t="s">
        <v>10</v>
      </c>
      <c r="B1048" t="s">
        <v>1082</v>
      </c>
      <c r="C1048" t="s">
        <v>915</v>
      </c>
      <c r="D1048" t="s">
        <v>915</v>
      </c>
      <c r="E1048" t="s">
        <v>916</v>
      </c>
      <c r="F1048" s="2">
        <v>22784</v>
      </c>
      <c r="G1048">
        <v>532</v>
      </c>
      <c r="H1048">
        <v>5</v>
      </c>
      <c r="I1048">
        <v>0.22577598219379225</v>
      </c>
      <c r="J1048">
        <f t="shared" si="32"/>
        <v>9.3984962406015032E-3</v>
      </c>
      <c r="K1048">
        <f t="shared" si="33"/>
        <v>2.1219547198664682E-3</v>
      </c>
    </row>
    <row r="1049" spans="1:11" x14ac:dyDescent="0.25">
      <c r="A1049" t="s">
        <v>10</v>
      </c>
      <c r="B1049" t="s">
        <v>1083</v>
      </c>
      <c r="C1049" t="s">
        <v>934</v>
      </c>
      <c r="D1049" t="s">
        <v>934</v>
      </c>
      <c r="E1049" t="s">
        <v>919</v>
      </c>
      <c r="F1049" s="3">
        <v>32189</v>
      </c>
      <c r="G1049">
        <v>1325</v>
      </c>
      <c r="H1049">
        <v>8</v>
      </c>
      <c r="I1049">
        <v>0.55265766175562248</v>
      </c>
      <c r="J1049">
        <f t="shared" si="32"/>
        <v>6.0377358490566035E-3</v>
      </c>
      <c r="K1049">
        <f t="shared" si="33"/>
        <v>3.3368009766377204E-3</v>
      </c>
    </row>
    <row r="1050" spans="1:11" x14ac:dyDescent="0.25">
      <c r="A1050" t="s">
        <v>10</v>
      </c>
      <c r="B1050" t="s">
        <v>1084</v>
      </c>
      <c r="C1050" t="s">
        <v>931</v>
      </c>
      <c r="D1050" t="s">
        <v>931</v>
      </c>
      <c r="E1050" t="s">
        <v>919</v>
      </c>
      <c r="F1050" s="2">
        <v>34356</v>
      </c>
      <c r="G1050">
        <v>1125</v>
      </c>
      <c r="H1050">
        <v>33</v>
      </c>
      <c r="I1050">
        <v>0.17196527391363325</v>
      </c>
      <c r="J1050">
        <f t="shared" si="32"/>
        <v>2.9333333333333333E-2</v>
      </c>
      <c r="K1050">
        <f t="shared" si="33"/>
        <v>5.0443147014665752E-3</v>
      </c>
    </row>
    <row r="1051" spans="1:11" x14ac:dyDescent="0.25">
      <c r="A1051" t="s">
        <v>10</v>
      </c>
      <c r="B1051" t="s">
        <v>1085</v>
      </c>
      <c r="C1051" t="s">
        <v>915</v>
      </c>
      <c r="D1051" t="s">
        <v>915</v>
      </c>
      <c r="E1051" t="s">
        <v>916</v>
      </c>
      <c r="F1051" s="3">
        <v>22459</v>
      </c>
      <c r="G1051">
        <v>4026</v>
      </c>
      <c r="H1051">
        <v>69</v>
      </c>
      <c r="I1051">
        <v>0.46033648552276329</v>
      </c>
      <c r="J1051">
        <f t="shared" si="32"/>
        <v>1.7138599105812221E-2</v>
      </c>
      <c r="K1051">
        <f t="shared" si="33"/>
        <v>7.8895224791531715E-3</v>
      </c>
    </row>
    <row r="1052" spans="1:11" x14ac:dyDescent="0.25">
      <c r="A1052" t="s">
        <v>10</v>
      </c>
      <c r="B1052" t="s">
        <v>1086</v>
      </c>
      <c r="C1052" t="s">
        <v>921</v>
      </c>
      <c r="D1052" t="s">
        <v>921</v>
      </c>
      <c r="E1052" t="s">
        <v>916</v>
      </c>
      <c r="F1052" s="3">
        <v>23631</v>
      </c>
      <c r="G1052">
        <v>2253</v>
      </c>
      <c r="H1052">
        <v>14</v>
      </c>
      <c r="I1052">
        <v>0.47092960643783777</v>
      </c>
      <c r="J1052">
        <f t="shared" si="32"/>
        <v>6.2139369729249886E-3</v>
      </c>
      <c r="K1052">
        <f t="shared" si="33"/>
        <v>2.9263268930890939E-3</v>
      </c>
    </row>
    <row r="1053" spans="1:11" x14ac:dyDescent="0.25">
      <c r="A1053" t="s">
        <v>10</v>
      </c>
      <c r="B1053" t="s">
        <v>1087</v>
      </c>
      <c r="C1053" t="s">
        <v>931</v>
      </c>
      <c r="D1053" t="s">
        <v>931</v>
      </c>
      <c r="E1053" t="s">
        <v>919</v>
      </c>
      <c r="F1053" s="3">
        <v>34266</v>
      </c>
      <c r="G1053">
        <v>644</v>
      </c>
      <c r="H1053">
        <v>95</v>
      </c>
      <c r="I1053">
        <v>0.16382620510396995</v>
      </c>
      <c r="J1053">
        <f t="shared" si="32"/>
        <v>0.14751552795031056</v>
      </c>
      <c r="K1053">
        <f t="shared" si="33"/>
        <v>2.4166909138007991E-2</v>
      </c>
    </row>
    <row r="1054" spans="1:11" x14ac:dyDescent="0.25">
      <c r="A1054" t="s">
        <v>10</v>
      </c>
      <c r="B1054" t="s">
        <v>1088</v>
      </c>
      <c r="C1054" t="s">
        <v>915</v>
      </c>
      <c r="D1054" t="s">
        <v>915</v>
      </c>
      <c r="E1054" t="s">
        <v>916</v>
      </c>
      <c r="F1054" s="2">
        <v>22571</v>
      </c>
      <c r="G1054">
        <v>722</v>
      </c>
      <c r="H1054">
        <v>27</v>
      </c>
      <c r="I1054">
        <v>0.18499070378927551</v>
      </c>
      <c r="J1054">
        <f t="shared" si="32"/>
        <v>3.7396121883656507E-2</v>
      </c>
      <c r="K1054">
        <f t="shared" si="33"/>
        <v>6.9179349062471448E-3</v>
      </c>
    </row>
    <row r="1055" spans="1:11" x14ac:dyDescent="0.25">
      <c r="A1055" t="s">
        <v>10</v>
      </c>
      <c r="B1055" t="s">
        <v>1089</v>
      </c>
      <c r="C1055" t="s">
        <v>921</v>
      </c>
      <c r="D1055" t="s">
        <v>921</v>
      </c>
      <c r="E1055" t="s">
        <v>916</v>
      </c>
      <c r="F1055" s="3">
        <v>23326</v>
      </c>
      <c r="G1055">
        <v>98</v>
      </c>
      <c r="H1055">
        <v>6</v>
      </c>
      <c r="I1055">
        <v>0.67651525843600768</v>
      </c>
      <c r="J1055">
        <f t="shared" si="32"/>
        <v>6.1224489795918366E-2</v>
      </c>
      <c r="K1055">
        <f t="shared" si="33"/>
        <v>4.1419301536898427E-2</v>
      </c>
    </row>
    <row r="1056" spans="1:11" x14ac:dyDescent="0.25">
      <c r="A1056" t="s">
        <v>10</v>
      </c>
      <c r="B1056" t="s">
        <v>1090</v>
      </c>
      <c r="C1056" t="s">
        <v>931</v>
      </c>
      <c r="D1056" t="s">
        <v>931</v>
      </c>
      <c r="E1056" t="s">
        <v>919</v>
      </c>
      <c r="F1056" s="2">
        <v>34133</v>
      </c>
      <c r="G1056">
        <v>635</v>
      </c>
      <c r="H1056">
        <v>200</v>
      </c>
      <c r="I1056">
        <v>0.12175861803631893</v>
      </c>
      <c r="J1056">
        <f t="shared" si="32"/>
        <v>0.31496062992125984</v>
      </c>
      <c r="K1056">
        <f t="shared" si="33"/>
        <v>3.834917103506108E-2</v>
      </c>
    </row>
    <row r="1057" spans="1:11" x14ac:dyDescent="0.25">
      <c r="A1057" t="s">
        <v>10</v>
      </c>
      <c r="B1057" t="s">
        <v>1091</v>
      </c>
      <c r="C1057" t="s">
        <v>921</v>
      </c>
      <c r="D1057" t="s">
        <v>921</v>
      </c>
      <c r="E1057" t="s">
        <v>916</v>
      </c>
      <c r="F1057" s="3">
        <v>23533</v>
      </c>
      <c r="G1057">
        <v>1220</v>
      </c>
      <c r="H1057">
        <v>31</v>
      </c>
      <c r="I1057">
        <v>0.34527047090138951</v>
      </c>
      <c r="J1057">
        <f t="shared" si="32"/>
        <v>2.540983606557377E-2</v>
      </c>
      <c r="K1057">
        <f t="shared" si="33"/>
        <v>8.7732660638877667E-3</v>
      </c>
    </row>
    <row r="1058" spans="1:11" x14ac:dyDescent="0.25">
      <c r="A1058" t="s">
        <v>10</v>
      </c>
      <c r="B1058" t="s">
        <v>1092</v>
      </c>
      <c r="C1058" t="s">
        <v>931</v>
      </c>
      <c r="D1058" t="s">
        <v>931</v>
      </c>
      <c r="E1058" t="s">
        <v>919</v>
      </c>
      <c r="F1058" s="2">
        <v>34366</v>
      </c>
      <c r="G1058">
        <v>111</v>
      </c>
      <c r="H1058">
        <v>0</v>
      </c>
      <c r="I1058">
        <v>0.1709241285968971</v>
      </c>
      <c r="J1058">
        <f t="shared" si="32"/>
        <v>0</v>
      </c>
      <c r="K1058">
        <f t="shared" si="33"/>
        <v>0</v>
      </c>
    </row>
    <row r="1059" spans="1:11" x14ac:dyDescent="0.25">
      <c r="A1059" t="s">
        <v>10</v>
      </c>
      <c r="B1059" t="s">
        <v>1093</v>
      </c>
      <c r="C1059" t="s">
        <v>921</v>
      </c>
      <c r="D1059" t="s">
        <v>921</v>
      </c>
      <c r="E1059" t="s">
        <v>916</v>
      </c>
      <c r="F1059" s="2">
        <v>23544</v>
      </c>
      <c r="G1059">
        <v>815</v>
      </c>
      <c r="H1059">
        <v>36</v>
      </c>
      <c r="I1059">
        <v>0.10611208703155817</v>
      </c>
      <c r="J1059">
        <f t="shared" si="32"/>
        <v>4.4171779141104296E-2</v>
      </c>
      <c r="K1059">
        <f t="shared" si="33"/>
        <v>4.6871596725596249E-3</v>
      </c>
    </row>
    <row r="1060" spans="1:11" x14ac:dyDescent="0.25">
      <c r="A1060" t="s">
        <v>10</v>
      </c>
      <c r="B1060" t="s">
        <v>1094</v>
      </c>
      <c r="C1060" t="s">
        <v>931</v>
      </c>
      <c r="D1060" t="s">
        <v>931</v>
      </c>
      <c r="E1060" t="s">
        <v>919</v>
      </c>
      <c r="F1060" s="2">
        <v>34233</v>
      </c>
      <c r="G1060">
        <v>566</v>
      </c>
      <c r="H1060">
        <v>203</v>
      </c>
      <c r="I1060">
        <v>0.36555283878257183</v>
      </c>
      <c r="J1060">
        <f t="shared" si="32"/>
        <v>0.35865724381625441</v>
      </c>
      <c r="K1060">
        <f t="shared" si="33"/>
        <v>0.13110817362696481</v>
      </c>
    </row>
    <row r="1061" spans="1:11" x14ac:dyDescent="0.25">
      <c r="A1061" t="s">
        <v>10</v>
      </c>
      <c r="B1061" t="s">
        <v>1095</v>
      </c>
      <c r="C1061" t="s">
        <v>918</v>
      </c>
      <c r="D1061" t="s">
        <v>918</v>
      </c>
      <c r="E1061" t="s">
        <v>919</v>
      </c>
      <c r="F1061" s="2">
        <v>37382</v>
      </c>
      <c r="G1061">
        <v>720</v>
      </c>
      <c r="H1061">
        <v>100</v>
      </c>
      <c r="I1061">
        <v>4.7477593771074744E-3</v>
      </c>
      <c r="J1061">
        <f t="shared" si="32"/>
        <v>0.1388888888888889</v>
      </c>
      <c r="K1061">
        <f t="shared" si="33"/>
        <v>6.5941102459826032E-4</v>
      </c>
    </row>
    <row r="1062" spans="1:11" x14ac:dyDescent="0.25">
      <c r="A1062" t="s">
        <v>10</v>
      </c>
      <c r="B1062" t="s">
        <v>1096</v>
      </c>
      <c r="C1062" t="s">
        <v>921</v>
      </c>
      <c r="D1062" t="s">
        <v>921</v>
      </c>
      <c r="E1062" t="s">
        <v>916</v>
      </c>
      <c r="F1062" s="3">
        <v>23366</v>
      </c>
      <c r="G1062">
        <v>439</v>
      </c>
      <c r="H1062">
        <v>0</v>
      </c>
      <c r="I1062">
        <v>0.2543839685346313</v>
      </c>
      <c r="J1062">
        <f t="shared" si="32"/>
        <v>0</v>
      </c>
      <c r="K1062">
        <f t="shared" si="33"/>
        <v>0</v>
      </c>
    </row>
    <row r="1063" spans="1:11" x14ac:dyDescent="0.25">
      <c r="A1063" t="s">
        <v>10</v>
      </c>
      <c r="B1063" t="s">
        <v>1097</v>
      </c>
      <c r="C1063" t="s">
        <v>918</v>
      </c>
      <c r="D1063" t="s">
        <v>918</v>
      </c>
      <c r="E1063" t="s">
        <v>919</v>
      </c>
      <c r="F1063" s="2">
        <v>37369</v>
      </c>
      <c r="G1063">
        <v>845</v>
      </c>
      <c r="H1063">
        <v>0</v>
      </c>
      <c r="I1063">
        <v>8.387669688699817E-2</v>
      </c>
      <c r="J1063">
        <f t="shared" si="32"/>
        <v>0</v>
      </c>
      <c r="K1063">
        <f t="shared" si="33"/>
        <v>0</v>
      </c>
    </row>
    <row r="1064" spans="1:11" x14ac:dyDescent="0.25">
      <c r="A1064" t="s">
        <v>10</v>
      </c>
      <c r="B1064" t="s">
        <v>1098</v>
      </c>
      <c r="C1064" t="s">
        <v>915</v>
      </c>
      <c r="D1064" t="s">
        <v>915</v>
      </c>
      <c r="E1064" t="s">
        <v>916</v>
      </c>
      <c r="F1064" s="3">
        <v>22761</v>
      </c>
      <c r="G1064">
        <v>1142</v>
      </c>
      <c r="H1064">
        <v>30</v>
      </c>
      <c r="I1064">
        <v>0.21308992346938749</v>
      </c>
      <c r="J1064">
        <f t="shared" si="32"/>
        <v>2.6269702276707531E-2</v>
      </c>
      <c r="K1064">
        <f t="shared" si="33"/>
        <v>5.5978088477072023E-3</v>
      </c>
    </row>
    <row r="1065" spans="1:11" x14ac:dyDescent="0.25">
      <c r="A1065" t="s">
        <v>10</v>
      </c>
      <c r="B1065" t="s">
        <v>1099</v>
      </c>
      <c r="C1065" t="s">
        <v>921</v>
      </c>
      <c r="D1065" t="s">
        <v>921</v>
      </c>
      <c r="E1065" t="s">
        <v>916</v>
      </c>
      <c r="F1065" s="2">
        <v>23627</v>
      </c>
      <c r="G1065">
        <v>1850</v>
      </c>
      <c r="H1065">
        <v>135</v>
      </c>
      <c r="I1065">
        <v>1.4100174503432816E-2</v>
      </c>
      <c r="J1065">
        <f t="shared" si="32"/>
        <v>7.2972972972972977E-2</v>
      </c>
      <c r="K1065">
        <f t="shared" si="33"/>
        <v>1.0289316529532055E-3</v>
      </c>
    </row>
    <row r="1066" spans="1:11" x14ac:dyDescent="0.25">
      <c r="A1066" t="s">
        <v>10</v>
      </c>
      <c r="B1066" t="s">
        <v>1100</v>
      </c>
      <c r="C1066" t="s">
        <v>918</v>
      </c>
      <c r="D1066" t="s">
        <v>918</v>
      </c>
      <c r="E1066" t="s">
        <v>919</v>
      </c>
      <c r="F1066" s="3">
        <v>37351</v>
      </c>
      <c r="G1066">
        <v>1387</v>
      </c>
      <c r="H1066">
        <v>180</v>
      </c>
      <c r="I1066">
        <v>1.6771805721226385E-2</v>
      </c>
      <c r="J1066">
        <f t="shared" si="32"/>
        <v>0.12977649603460706</v>
      </c>
      <c r="K1066">
        <f t="shared" si="33"/>
        <v>2.1765861786739358E-3</v>
      </c>
    </row>
    <row r="1067" spans="1:11" x14ac:dyDescent="0.25">
      <c r="A1067" t="s">
        <v>10</v>
      </c>
      <c r="B1067" t="s">
        <v>1101</v>
      </c>
      <c r="C1067" t="s">
        <v>918</v>
      </c>
      <c r="D1067" t="s">
        <v>918</v>
      </c>
      <c r="E1067" t="s">
        <v>919</v>
      </c>
      <c r="F1067" s="2">
        <v>37361</v>
      </c>
      <c r="G1067">
        <v>1184</v>
      </c>
      <c r="H1067">
        <v>144</v>
      </c>
      <c r="I1067">
        <v>1.0648216425438117E-2</v>
      </c>
      <c r="J1067">
        <f t="shared" si="32"/>
        <v>0.12162162162162163</v>
      </c>
      <c r="K1067">
        <f t="shared" si="33"/>
        <v>1.295053349039771E-3</v>
      </c>
    </row>
    <row r="1068" spans="1:11" x14ac:dyDescent="0.25">
      <c r="A1068" t="s">
        <v>10</v>
      </c>
      <c r="B1068" t="s">
        <v>1102</v>
      </c>
      <c r="C1068" t="s">
        <v>931</v>
      </c>
      <c r="D1068" t="s">
        <v>931</v>
      </c>
      <c r="E1068" t="s">
        <v>919</v>
      </c>
      <c r="F1068" s="3">
        <v>34234</v>
      </c>
      <c r="G1068">
        <v>607</v>
      </c>
      <c r="H1068">
        <v>70</v>
      </c>
      <c r="I1068">
        <v>0.14712247324613559</v>
      </c>
      <c r="J1068">
        <f t="shared" si="32"/>
        <v>0.11532125205930807</v>
      </c>
      <c r="K1068">
        <f t="shared" si="33"/>
        <v>1.6966347820806409E-2</v>
      </c>
    </row>
    <row r="1069" spans="1:11" x14ac:dyDescent="0.25">
      <c r="A1069" t="s">
        <v>10</v>
      </c>
      <c r="B1069" t="s">
        <v>1103</v>
      </c>
      <c r="C1069" t="s">
        <v>937</v>
      </c>
      <c r="D1069" t="s">
        <v>937</v>
      </c>
      <c r="E1069" t="s">
        <v>937</v>
      </c>
      <c r="F1069" s="2">
        <v>71276</v>
      </c>
      <c r="G1069">
        <v>1946</v>
      </c>
      <c r="H1069">
        <v>450</v>
      </c>
      <c r="I1069">
        <v>0.18570733385502003</v>
      </c>
      <c r="J1069">
        <f t="shared" si="32"/>
        <v>0.23124357656731759</v>
      </c>
      <c r="K1069">
        <f t="shared" si="33"/>
        <v>4.2943628075415734E-2</v>
      </c>
    </row>
    <row r="1070" spans="1:11" x14ac:dyDescent="0.25">
      <c r="A1070" t="s">
        <v>10</v>
      </c>
      <c r="B1070" t="s">
        <v>1104</v>
      </c>
      <c r="C1070" t="s">
        <v>937</v>
      </c>
      <c r="D1070" t="s">
        <v>937</v>
      </c>
      <c r="E1070" t="s">
        <v>937</v>
      </c>
      <c r="F1070" s="2">
        <v>71231</v>
      </c>
      <c r="G1070">
        <v>2485</v>
      </c>
      <c r="H1070">
        <v>63</v>
      </c>
      <c r="I1070">
        <v>0.42143444407977393</v>
      </c>
      <c r="J1070">
        <f t="shared" si="32"/>
        <v>2.5352112676056339E-2</v>
      </c>
      <c r="K1070">
        <f t="shared" si="33"/>
        <v>1.0684253511881592E-2</v>
      </c>
    </row>
    <row r="1071" spans="1:11" x14ac:dyDescent="0.25">
      <c r="A1071" t="s">
        <v>10</v>
      </c>
      <c r="B1071" t="s">
        <v>1105</v>
      </c>
      <c r="C1071" t="s">
        <v>915</v>
      </c>
      <c r="D1071" t="s">
        <v>915</v>
      </c>
      <c r="E1071" t="s">
        <v>916</v>
      </c>
      <c r="F1071" s="2">
        <v>22747</v>
      </c>
      <c r="G1071">
        <v>2269</v>
      </c>
      <c r="H1071">
        <v>95</v>
      </c>
      <c r="I1071">
        <v>0.49517009921654975</v>
      </c>
      <c r="J1071">
        <f t="shared" si="32"/>
        <v>4.1868664609960332E-2</v>
      </c>
      <c r="K1071">
        <f t="shared" si="33"/>
        <v>2.0732110808978504E-2</v>
      </c>
    </row>
    <row r="1072" spans="1:11" x14ac:dyDescent="0.25">
      <c r="A1072" t="s">
        <v>10</v>
      </c>
      <c r="B1072" t="s">
        <v>1106</v>
      </c>
      <c r="C1072" t="s">
        <v>918</v>
      </c>
      <c r="D1072" t="s">
        <v>918</v>
      </c>
      <c r="E1072" t="s">
        <v>919</v>
      </c>
      <c r="F1072" s="2">
        <v>37343</v>
      </c>
      <c r="G1072">
        <v>1952</v>
      </c>
      <c r="H1072">
        <v>158</v>
      </c>
      <c r="I1072">
        <v>3.230567258096162E-2</v>
      </c>
      <c r="J1072">
        <f t="shared" si="32"/>
        <v>8.0942622950819679E-2</v>
      </c>
      <c r="K1072">
        <f t="shared" si="33"/>
        <v>2.6149058748934102E-3</v>
      </c>
    </row>
    <row r="1073" spans="1:11" x14ac:dyDescent="0.25">
      <c r="A1073" t="s">
        <v>10</v>
      </c>
      <c r="B1073" t="s">
        <v>1107</v>
      </c>
      <c r="C1073" t="s">
        <v>934</v>
      </c>
      <c r="D1073" t="s">
        <v>934</v>
      </c>
      <c r="E1073" t="s">
        <v>919</v>
      </c>
      <c r="F1073" s="2">
        <v>32157</v>
      </c>
      <c r="G1073">
        <v>719</v>
      </c>
      <c r="H1073">
        <v>40</v>
      </c>
      <c r="I1073">
        <v>0.52229289192326145</v>
      </c>
      <c r="J1073">
        <f t="shared" si="32"/>
        <v>5.5632823365785816E-2</v>
      </c>
      <c r="K1073">
        <f t="shared" si="33"/>
        <v>2.9056628201572267E-2</v>
      </c>
    </row>
    <row r="1074" spans="1:11" x14ac:dyDescent="0.25">
      <c r="A1074" t="s">
        <v>10</v>
      </c>
      <c r="B1074" t="s">
        <v>1108</v>
      </c>
      <c r="C1074" t="s">
        <v>982</v>
      </c>
      <c r="D1074" t="s">
        <v>982</v>
      </c>
      <c r="E1074" t="s">
        <v>919</v>
      </c>
      <c r="F1074" s="2">
        <v>36131</v>
      </c>
      <c r="G1074">
        <v>1004</v>
      </c>
      <c r="H1074">
        <v>0</v>
      </c>
      <c r="I1074">
        <v>0.15450706911209455</v>
      </c>
      <c r="J1074">
        <f t="shared" si="32"/>
        <v>0</v>
      </c>
      <c r="K1074">
        <f t="shared" si="33"/>
        <v>0</v>
      </c>
    </row>
    <row r="1075" spans="1:11" x14ac:dyDescent="0.25">
      <c r="A1075" t="s">
        <v>10</v>
      </c>
      <c r="B1075" t="s">
        <v>1109</v>
      </c>
      <c r="C1075" t="s">
        <v>921</v>
      </c>
      <c r="D1075" t="s">
        <v>921</v>
      </c>
      <c r="E1075" t="s">
        <v>916</v>
      </c>
      <c r="F1075" s="3">
        <v>23411</v>
      </c>
      <c r="G1075">
        <v>310</v>
      </c>
      <c r="H1075">
        <v>158</v>
      </c>
      <c r="I1075">
        <v>0.30966854839225788</v>
      </c>
      <c r="J1075">
        <f t="shared" si="32"/>
        <v>0.50967741935483868</v>
      </c>
      <c r="K1075">
        <f t="shared" si="33"/>
        <v>0.15783106659992496</v>
      </c>
    </row>
    <row r="1076" spans="1:11" x14ac:dyDescent="0.25">
      <c r="A1076" t="s">
        <v>10</v>
      </c>
      <c r="B1076" t="s">
        <v>1110</v>
      </c>
      <c r="C1076" t="s">
        <v>921</v>
      </c>
      <c r="D1076" t="s">
        <v>921</v>
      </c>
      <c r="E1076" t="s">
        <v>916</v>
      </c>
      <c r="F1076" s="3">
        <v>23611</v>
      </c>
      <c r="G1076">
        <v>1131</v>
      </c>
      <c r="H1076">
        <v>0</v>
      </c>
      <c r="I1076">
        <v>0.62842503066890498</v>
      </c>
      <c r="J1076">
        <f t="shared" si="32"/>
        <v>0</v>
      </c>
      <c r="K1076">
        <f t="shared" si="33"/>
        <v>0</v>
      </c>
    </row>
    <row r="1077" spans="1:11" x14ac:dyDescent="0.25">
      <c r="A1077" t="s">
        <v>10</v>
      </c>
      <c r="B1077" t="s">
        <v>1111</v>
      </c>
      <c r="C1077" t="s">
        <v>931</v>
      </c>
      <c r="D1077" t="s">
        <v>931</v>
      </c>
      <c r="E1077" t="s">
        <v>919</v>
      </c>
      <c r="F1077" s="2">
        <v>34264</v>
      </c>
      <c r="G1077">
        <v>1157</v>
      </c>
      <c r="H1077">
        <v>180</v>
      </c>
      <c r="I1077">
        <v>0.13697374949157248</v>
      </c>
      <c r="J1077">
        <f t="shared" si="32"/>
        <v>0.15557476231633535</v>
      </c>
      <c r="K1077">
        <f t="shared" si="33"/>
        <v>2.130965852072865E-2</v>
      </c>
    </row>
    <row r="1078" spans="1:11" x14ac:dyDescent="0.25">
      <c r="A1078" t="s">
        <v>10</v>
      </c>
      <c r="B1078" t="s">
        <v>1112</v>
      </c>
      <c r="C1078" t="s">
        <v>931</v>
      </c>
      <c r="D1078" t="s">
        <v>931</v>
      </c>
      <c r="E1078" t="s">
        <v>919</v>
      </c>
      <c r="F1078" s="3">
        <v>34219</v>
      </c>
      <c r="G1078">
        <v>198</v>
      </c>
      <c r="H1078">
        <v>23</v>
      </c>
      <c r="I1078">
        <v>9.4732598763773157E-2</v>
      </c>
      <c r="J1078">
        <f t="shared" si="32"/>
        <v>0.11616161616161616</v>
      </c>
      <c r="K1078">
        <f t="shared" si="33"/>
        <v>1.1004291775589811E-2</v>
      </c>
    </row>
    <row r="1079" spans="1:11" x14ac:dyDescent="0.25">
      <c r="A1079" t="s">
        <v>10</v>
      </c>
      <c r="B1079" t="s">
        <v>1113</v>
      </c>
      <c r="C1079" t="s">
        <v>921</v>
      </c>
      <c r="D1079" t="s">
        <v>921</v>
      </c>
      <c r="E1079" t="s">
        <v>916</v>
      </c>
      <c r="F1079" s="2">
        <v>23671</v>
      </c>
      <c r="G1079">
        <v>1258</v>
      </c>
      <c r="H1079">
        <v>90</v>
      </c>
      <c r="I1079">
        <v>0.42098503966572998</v>
      </c>
      <c r="J1079">
        <f t="shared" si="32"/>
        <v>7.1542130365659776E-2</v>
      </c>
      <c r="K1079">
        <f t="shared" si="33"/>
        <v>3.0118166589758105E-2</v>
      </c>
    </row>
    <row r="1080" spans="1:11" x14ac:dyDescent="0.25">
      <c r="A1080" t="s">
        <v>10</v>
      </c>
      <c r="B1080" t="s">
        <v>1114</v>
      </c>
      <c r="C1080" t="s">
        <v>915</v>
      </c>
      <c r="D1080" t="s">
        <v>915</v>
      </c>
      <c r="E1080" t="s">
        <v>916</v>
      </c>
      <c r="F1080" s="2">
        <v>22415</v>
      </c>
      <c r="G1080">
        <v>685</v>
      </c>
      <c r="H1080">
        <v>30</v>
      </c>
      <c r="I1080">
        <v>0.27544581618655695</v>
      </c>
      <c r="J1080">
        <f t="shared" si="32"/>
        <v>4.3795620437956206E-2</v>
      </c>
      <c r="K1080">
        <f t="shared" si="33"/>
        <v>1.2063320416929502E-2</v>
      </c>
    </row>
    <row r="1081" spans="1:11" x14ac:dyDescent="0.25">
      <c r="A1081" t="s">
        <v>10</v>
      </c>
      <c r="B1081" t="s">
        <v>1115</v>
      </c>
      <c r="C1081" t="s">
        <v>921</v>
      </c>
      <c r="D1081" t="s">
        <v>921</v>
      </c>
      <c r="E1081" t="s">
        <v>916</v>
      </c>
      <c r="F1081" s="3">
        <v>23522</v>
      </c>
      <c r="G1081">
        <v>98</v>
      </c>
      <c r="H1081">
        <v>0</v>
      </c>
      <c r="I1081">
        <v>0.20991662333003636</v>
      </c>
      <c r="J1081">
        <f t="shared" si="32"/>
        <v>0</v>
      </c>
      <c r="K1081">
        <f t="shared" si="33"/>
        <v>0</v>
      </c>
    </row>
    <row r="1082" spans="1:11" x14ac:dyDescent="0.25">
      <c r="A1082" t="s">
        <v>10</v>
      </c>
      <c r="B1082" t="s">
        <v>1116</v>
      </c>
      <c r="C1082" t="s">
        <v>934</v>
      </c>
      <c r="D1082" t="s">
        <v>934</v>
      </c>
      <c r="E1082" t="s">
        <v>919</v>
      </c>
      <c r="F1082" s="2">
        <v>32135</v>
      </c>
      <c r="G1082">
        <v>198</v>
      </c>
      <c r="H1082">
        <v>0</v>
      </c>
      <c r="I1082">
        <v>0.14074955485437324</v>
      </c>
      <c r="J1082">
        <f t="shared" si="32"/>
        <v>0</v>
      </c>
      <c r="K1082">
        <f t="shared" si="33"/>
        <v>0</v>
      </c>
    </row>
    <row r="1083" spans="1:11" x14ac:dyDescent="0.25">
      <c r="A1083" t="s">
        <v>10</v>
      </c>
      <c r="B1083" t="s">
        <v>1117</v>
      </c>
      <c r="C1083" t="s">
        <v>937</v>
      </c>
      <c r="D1083" t="s">
        <v>937</v>
      </c>
      <c r="E1083" t="s">
        <v>937</v>
      </c>
      <c r="F1083" s="3">
        <v>71221</v>
      </c>
      <c r="G1083">
        <v>2043</v>
      </c>
      <c r="H1083">
        <v>13</v>
      </c>
      <c r="I1083">
        <v>8.028418768439971E-2</v>
      </c>
      <c r="J1083">
        <f t="shared" si="32"/>
        <v>6.3631913852178167E-3</v>
      </c>
      <c r="K1083">
        <f t="shared" si="33"/>
        <v>5.1086365144258257E-4</v>
      </c>
    </row>
    <row r="1084" spans="1:11" x14ac:dyDescent="0.25">
      <c r="A1084" t="s">
        <v>10</v>
      </c>
      <c r="B1084" t="s">
        <v>1118</v>
      </c>
      <c r="C1084" t="s">
        <v>982</v>
      </c>
      <c r="D1084" t="s">
        <v>982</v>
      </c>
      <c r="E1084" t="s">
        <v>919</v>
      </c>
      <c r="F1084" s="2">
        <v>36137</v>
      </c>
      <c r="G1084">
        <v>745</v>
      </c>
      <c r="H1084">
        <v>42</v>
      </c>
      <c r="I1084">
        <v>8.4179045855601764E-2</v>
      </c>
      <c r="J1084">
        <f t="shared" si="32"/>
        <v>5.6375838926174496E-2</v>
      </c>
      <c r="K1084">
        <f t="shared" si="33"/>
        <v>4.7456643301144619E-3</v>
      </c>
    </row>
    <row r="1085" spans="1:11" x14ac:dyDescent="0.25">
      <c r="A1085" t="s">
        <v>10</v>
      </c>
      <c r="B1085" t="s">
        <v>1119</v>
      </c>
      <c r="C1085" t="s">
        <v>931</v>
      </c>
      <c r="D1085" t="s">
        <v>931</v>
      </c>
      <c r="E1085" t="s">
        <v>919</v>
      </c>
      <c r="F1085" s="3">
        <v>34166</v>
      </c>
      <c r="G1085">
        <v>523</v>
      </c>
      <c r="H1085">
        <v>20</v>
      </c>
      <c r="I1085">
        <v>0.33676097110483616</v>
      </c>
      <c r="J1085">
        <f t="shared" si="32"/>
        <v>3.8240917782026769E-2</v>
      </c>
      <c r="K1085">
        <f t="shared" si="33"/>
        <v>1.2878048608215531E-2</v>
      </c>
    </row>
    <row r="1086" spans="1:11" x14ac:dyDescent="0.25">
      <c r="A1086" t="s">
        <v>10</v>
      </c>
      <c r="B1086" t="s">
        <v>1120</v>
      </c>
      <c r="C1086" t="s">
        <v>915</v>
      </c>
      <c r="D1086" t="s">
        <v>915</v>
      </c>
      <c r="E1086" t="s">
        <v>916</v>
      </c>
      <c r="F1086" s="2">
        <v>22431</v>
      </c>
      <c r="G1086">
        <v>2586</v>
      </c>
      <c r="H1086">
        <v>45</v>
      </c>
      <c r="I1086">
        <v>0.54902972509524284</v>
      </c>
      <c r="J1086">
        <f t="shared" si="32"/>
        <v>1.7401392111368909E-2</v>
      </c>
      <c r="K1086">
        <f t="shared" si="33"/>
        <v>9.5538815271793993E-3</v>
      </c>
    </row>
    <row r="1087" spans="1:11" x14ac:dyDescent="0.25">
      <c r="A1087" t="s">
        <v>10</v>
      </c>
      <c r="B1087" t="s">
        <v>1121</v>
      </c>
      <c r="C1087" t="s">
        <v>931</v>
      </c>
      <c r="D1087" t="s">
        <v>931</v>
      </c>
      <c r="E1087" t="s">
        <v>919</v>
      </c>
      <c r="F1087" s="2">
        <v>34316</v>
      </c>
      <c r="G1087">
        <v>516</v>
      </c>
      <c r="H1087">
        <v>13</v>
      </c>
      <c r="I1087">
        <v>0.13978400000000002</v>
      </c>
      <c r="J1087">
        <f t="shared" si="32"/>
        <v>2.5193798449612403E-2</v>
      </c>
      <c r="K1087">
        <f t="shared" si="33"/>
        <v>3.5216899224806207E-3</v>
      </c>
    </row>
    <row r="1088" spans="1:11" x14ac:dyDescent="0.25">
      <c r="A1088" t="s">
        <v>10</v>
      </c>
      <c r="B1088" t="s">
        <v>1122</v>
      </c>
      <c r="C1088" t="s">
        <v>915</v>
      </c>
      <c r="D1088" t="s">
        <v>915</v>
      </c>
      <c r="E1088" t="s">
        <v>916</v>
      </c>
      <c r="F1088" s="3">
        <v>22744</v>
      </c>
      <c r="G1088">
        <v>1092</v>
      </c>
      <c r="H1088">
        <v>0</v>
      </c>
      <c r="I1088">
        <v>0.17788501685499425</v>
      </c>
      <c r="J1088">
        <f t="shared" si="32"/>
        <v>0</v>
      </c>
      <c r="K1088">
        <f t="shared" si="33"/>
        <v>0</v>
      </c>
    </row>
    <row r="1089" spans="1:11" x14ac:dyDescent="0.25">
      <c r="A1089" t="s">
        <v>10</v>
      </c>
      <c r="B1089" t="s">
        <v>1123</v>
      </c>
      <c r="C1089" t="s">
        <v>982</v>
      </c>
      <c r="D1089" t="s">
        <v>982</v>
      </c>
      <c r="E1089" t="s">
        <v>919</v>
      </c>
      <c r="F1089" s="3">
        <v>36177</v>
      </c>
      <c r="G1089">
        <v>3590</v>
      </c>
      <c r="H1089">
        <v>0</v>
      </c>
      <c r="I1089">
        <v>8.7404945525168865E-2</v>
      </c>
      <c r="J1089">
        <f t="shared" si="32"/>
        <v>0</v>
      </c>
      <c r="K1089">
        <f t="shared" si="33"/>
        <v>0</v>
      </c>
    </row>
    <row r="1090" spans="1:11" x14ac:dyDescent="0.25">
      <c r="A1090" t="s">
        <v>10</v>
      </c>
      <c r="B1090" t="s">
        <v>1124</v>
      </c>
      <c r="C1090" t="s">
        <v>934</v>
      </c>
      <c r="D1090" t="s">
        <v>934</v>
      </c>
      <c r="E1090" t="s">
        <v>919</v>
      </c>
      <c r="F1090" s="2">
        <v>32145</v>
      </c>
      <c r="G1090">
        <v>745</v>
      </c>
      <c r="H1090">
        <v>0</v>
      </c>
      <c r="I1090">
        <v>0.36687557625199863</v>
      </c>
      <c r="J1090">
        <f t="shared" si="32"/>
        <v>0</v>
      </c>
      <c r="K1090">
        <f t="shared" si="33"/>
        <v>0</v>
      </c>
    </row>
    <row r="1091" spans="1:11" x14ac:dyDescent="0.25">
      <c r="A1091" t="s">
        <v>10</v>
      </c>
      <c r="B1091" t="s">
        <v>1125</v>
      </c>
      <c r="C1091" t="s">
        <v>915</v>
      </c>
      <c r="D1091" t="s">
        <v>915</v>
      </c>
      <c r="E1091" t="s">
        <v>916</v>
      </c>
      <c r="F1091" s="2">
        <v>22535</v>
      </c>
      <c r="G1091">
        <v>1852</v>
      </c>
      <c r="H1091">
        <v>50</v>
      </c>
      <c r="I1091">
        <v>0.23669603544028484</v>
      </c>
      <c r="J1091">
        <f t="shared" ref="J1091:J1154" si="34">IF(G1091=0,0,H1091/G1091)</f>
        <v>2.6997840172786176E-2</v>
      </c>
      <c r="K1091">
        <f t="shared" ref="K1091:K1154" si="35">J1091*I1091</f>
        <v>6.3902817343489422E-3</v>
      </c>
    </row>
    <row r="1092" spans="1:11" x14ac:dyDescent="0.25">
      <c r="A1092" t="s">
        <v>10</v>
      </c>
      <c r="B1092" t="s">
        <v>1126</v>
      </c>
      <c r="C1092" t="s">
        <v>921</v>
      </c>
      <c r="D1092" t="s">
        <v>921</v>
      </c>
      <c r="E1092" t="s">
        <v>916</v>
      </c>
      <c r="F1092" s="3">
        <v>23279</v>
      </c>
      <c r="G1092">
        <v>369</v>
      </c>
      <c r="H1092">
        <v>320</v>
      </c>
      <c r="I1092">
        <v>9.7464474463594741E-2</v>
      </c>
      <c r="J1092">
        <f t="shared" si="34"/>
        <v>0.86720867208672092</v>
      </c>
      <c r="K1092">
        <f t="shared" si="35"/>
        <v>8.452203747520412E-2</v>
      </c>
    </row>
    <row r="1093" spans="1:11" x14ac:dyDescent="0.25">
      <c r="A1093" t="s">
        <v>10</v>
      </c>
      <c r="B1093" t="s">
        <v>1127</v>
      </c>
      <c r="C1093" t="s">
        <v>921</v>
      </c>
      <c r="D1093" t="s">
        <v>921</v>
      </c>
      <c r="E1093" t="s">
        <v>916</v>
      </c>
      <c r="F1093" s="3">
        <v>23437</v>
      </c>
      <c r="G1093">
        <v>1210</v>
      </c>
      <c r="H1093">
        <v>160</v>
      </c>
      <c r="I1093">
        <v>0.53788330195481504</v>
      </c>
      <c r="J1093">
        <f t="shared" si="34"/>
        <v>0.13223140495867769</v>
      </c>
      <c r="K1093">
        <f t="shared" si="35"/>
        <v>7.1125064721297857E-2</v>
      </c>
    </row>
    <row r="1094" spans="1:11" x14ac:dyDescent="0.25">
      <c r="A1094" t="s">
        <v>10</v>
      </c>
      <c r="B1094" t="s">
        <v>1128</v>
      </c>
      <c r="C1094" t="s">
        <v>931</v>
      </c>
      <c r="D1094" t="s">
        <v>931</v>
      </c>
      <c r="E1094" t="s">
        <v>919</v>
      </c>
      <c r="F1094" s="2">
        <v>34374</v>
      </c>
      <c r="G1094">
        <v>767</v>
      </c>
      <c r="H1094">
        <v>64</v>
      </c>
      <c r="I1094">
        <v>0.41530955989590779</v>
      </c>
      <c r="J1094">
        <f t="shared" si="34"/>
        <v>8.344198174706649E-2</v>
      </c>
      <c r="K1094">
        <f t="shared" si="35"/>
        <v>3.4654252716216555E-2</v>
      </c>
    </row>
    <row r="1095" spans="1:11" x14ac:dyDescent="0.25">
      <c r="A1095" t="s">
        <v>10</v>
      </c>
      <c r="B1095" t="s">
        <v>1129</v>
      </c>
      <c r="C1095" t="s">
        <v>931</v>
      </c>
      <c r="D1095" t="s">
        <v>931</v>
      </c>
      <c r="E1095" t="s">
        <v>919</v>
      </c>
      <c r="F1095" s="3">
        <v>34246</v>
      </c>
      <c r="G1095">
        <v>784</v>
      </c>
      <c r="H1095">
        <v>35</v>
      </c>
      <c r="I1095">
        <v>0.12945057502245449</v>
      </c>
      <c r="J1095">
        <f t="shared" si="34"/>
        <v>4.4642857142857144E-2</v>
      </c>
      <c r="K1095">
        <f t="shared" si="35"/>
        <v>5.7790435277881476E-3</v>
      </c>
    </row>
    <row r="1096" spans="1:11" x14ac:dyDescent="0.25">
      <c r="A1096" t="s">
        <v>10</v>
      </c>
      <c r="B1096" t="s">
        <v>1130</v>
      </c>
      <c r="C1096" t="s">
        <v>931</v>
      </c>
      <c r="D1096" t="s">
        <v>931</v>
      </c>
      <c r="E1096" t="s">
        <v>919</v>
      </c>
      <c r="F1096" s="2">
        <v>34239</v>
      </c>
      <c r="G1096">
        <v>414</v>
      </c>
      <c r="H1096">
        <v>105</v>
      </c>
      <c r="I1096">
        <v>0.16688855822695592</v>
      </c>
      <c r="J1096">
        <f t="shared" si="34"/>
        <v>0.25362318840579712</v>
      </c>
      <c r="K1096">
        <f t="shared" si="35"/>
        <v>4.2326808245967081E-2</v>
      </c>
    </row>
    <row r="1097" spans="1:11" x14ac:dyDescent="0.25">
      <c r="A1097" t="s">
        <v>10</v>
      </c>
      <c r="B1097" t="s">
        <v>1131</v>
      </c>
      <c r="C1097" t="s">
        <v>915</v>
      </c>
      <c r="D1097" t="s">
        <v>915</v>
      </c>
      <c r="E1097" t="s">
        <v>916</v>
      </c>
      <c r="F1097" s="3">
        <v>22595</v>
      </c>
      <c r="G1097">
        <v>2292</v>
      </c>
      <c r="H1097">
        <v>39</v>
      </c>
      <c r="I1097">
        <v>0.23847033060941081</v>
      </c>
      <c r="J1097">
        <f t="shared" si="34"/>
        <v>1.7015706806282723E-2</v>
      </c>
      <c r="K1097">
        <f t="shared" si="35"/>
        <v>4.0577412276470428E-3</v>
      </c>
    </row>
    <row r="1098" spans="1:11" x14ac:dyDescent="0.25">
      <c r="A1098" t="s">
        <v>10</v>
      </c>
      <c r="B1098" t="s">
        <v>1132</v>
      </c>
      <c r="C1098" t="s">
        <v>931</v>
      </c>
      <c r="D1098" t="s">
        <v>931</v>
      </c>
      <c r="E1098" t="s">
        <v>919</v>
      </c>
      <c r="F1098" s="3">
        <v>34274</v>
      </c>
      <c r="G1098">
        <v>287</v>
      </c>
      <c r="H1098">
        <v>9</v>
      </c>
      <c r="I1098">
        <v>0.20552552388992518</v>
      </c>
      <c r="J1098">
        <f t="shared" si="34"/>
        <v>3.1358885017421602E-2</v>
      </c>
      <c r="K1098">
        <f t="shared" si="35"/>
        <v>6.4450512718095005E-3</v>
      </c>
    </row>
    <row r="1099" spans="1:11" x14ac:dyDescent="0.25">
      <c r="A1099" t="s">
        <v>10</v>
      </c>
      <c r="B1099" t="s">
        <v>1133</v>
      </c>
      <c r="C1099" t="s">
        <v>931</v>
      </c>
      <c r="D1099" t="s">
        <v>931</v>
      </c>
      <c r="E1099" t="s">
        <v>919</v>
      </c>
      <c r="F1099" s="2">
        <v>34331</v>
      </c>
      <c r="G1099">
        <v>517</v>
      </c>
      <c r="H1099">
        <v>15</v>
      </c>
      <c r="I1099">
        <v>0.36523606151835508</v>
      </c>
      <c r="J1099">
        <f t="shared" si="34"/>
        <v>2.9013539651837523E-2</v>
      </c>
      <c r="K1099">
        <f t="shared" si="35"/>
        <v>1.0596790953143764E-2</v>
      </c>
    </row>
    <row r="1100" spans="1:11" x14ac:dyDescent="0.25">
      <c r="A1100" t="s">
        <v>10</v>
      </c>
      <c r="B1100" t="s">
        <v>1134</v>
      </c>
      <c r="C1100" t="s">
        <v>937</v>
      </c>
      <c r="D1100" t="s">
        <v>937</v>
      </c>
      <c r="E1100" t="s">
        <v>937</v>
      </c>
      <c r="F1100" s="3">
        <v>71364</v>
      </c>
      <c r="G1100">
        <v>1497</v>
      </c>
      <c r="H1100">
        <v>0</v>
      </c>
      <c r="I1100">
        <v>2.554754015332128E-2</v>
      </c>
      <c r="J1100">
        <f t="shared" si="34"/>
        <v>0</v>
      </c>
      <c r="K1100">
        <f t="shared" si="35"/>
        <v>0</v>
      </c>
    </row>
    <row r="1101" spans="1:11" x14ac:dyDescent="0.25">
      <c r="A1101" t="s">
        <v>10</v>
      </c>
      <c r="B1101" t="s">
        <v>1135</v>
      </c>
      <c r="C1101" t="s">
        <v>931</v>
      </c>
      <c r="D1101" t="s">
        <v>931</v>
      </c>
      <c r="E1101" t="s">
        <v>919</v>
      </c>
      <c r="F1101" s="2">
        <v>34271</v>
      </c>
      <c r="G1101">
        <v>578</v>
      </c>
      <c r="H1101">
        <v>6</v>
      </c>
      <c r="I1101">
        <v>0.41168791585436704</v>
      </c>
      <c r="J1101">
        <f t="shared" si="34"/>
        <v>1.0380622837370242E-2</v>
      </c>
      <c r="K1101">
        <f t="shared" si="35"/>
        <v>4.2735769811872012E-3</v>
      </c>
    </row>
    <row r="1102" spans="1:11" x14ac:dyDescent="0.25">
      <c r="A1102" t="s">
        <v>10</v>
      </c>
      <c r="B1102" t="s">
        <v>1136</v>
      </c>
      <c r="C1102" t="s">
        <v>931</v>
      </c>
      <c r="D1102" t="s">
        <v>931</v>
      </c>
      <c r="E1102" t="s">
        <v>919</v>
      </c>
      <c r="F1102" s="3">
        <v>34236</v>
      </c>
      <c r="G1102">
        <v>445</v>
      </c>
      <c r="H1102">
        <v>15</v>
      </c>
      <c r="I1102">
        <v>0.32139095166921039</v>
      </c>
      <c r="J1102">
        <f t="shared" si="34"/>
        <v>3.3707865168539325E-2</v>
      </c>
      <c r="K1102">
        <f t="shared" si="35"/>
        <v>1.0833402865254282E-2</v>
      </c>
    </row>
    <row r="1103" spans="1:11" x14ac:dyDescent="0.25">
      <c r="A1103" t="s">
        <v>10</v>
      </c>
      <c r="B1103" t="s">
        <v>1137</v>
      </c>
      <c r="C1103" t="s">
        <v>918</v>
      </c>
      <c r="D1103" t="s">
        <v>918</v>
      </c>
      <c r="E1103" t="s">
        <v>919</v>
      </c>
      <c r="F1103" s="2">
        <v>37251</v>
      </c>
      <c r="G1103">
        <v>624</v>
      </c>
      <c r="H1103">
        <v>17</v>
      </c>
      <c r="I1103">
        <v>1.1952920423871971E-2</v>
      </c>
      <c r="J1103">
        <f t="shared" si="34"/>
        <v>2.7243589743589744E-2</v>
      </c>
      <c r="K1103">
        <f t="shared" si="35"/>
        <v>3.2564046026574282E-4</v>
      </c>
    </row>
    <row r="1104" spans="1:11" x14ac:dyDescent="0.25">
      <c r="A1104" t="s">
        <v>10</v>
      </c>
      <c r="B1104" t="s">
        <v>1138</v>
      </c>
      <c r="C1104" t="s">
        <v>918</v>
      </c>
      <c r="D1104" t="s">
        <v>918</v>
      </c>
      <c r="E1104" t="s">
        <v>919</v>
      </c>
      <c r="F1104" s="2">
        <v>37339</v>
      </c>
      <c r="G1104">
        <v>2342</v>
      </c>
      <c r="H1104">
        <v>120</v>
      </c>
      <c r="I1104">
        <v>5.6847301288552865E-3</v>
      </c>
      <c r="J1104">
        <f t="shared" si="34"/>
        <v>5.1238257899231428E-2</v>
      </c>
      <c r="K1104">
        <f t="shared" si="35"/>
        <v>2.912756684298183E-4</v>
      </c>
    </row>
    <row r="1105" spans="1:11" x14ac:dyDescent="0.25">
      <c r="A1105" t="s">
        <v>10</v>
      </c>
      <c r="B1105" t="s">
        <v>1139</v>
      </c>
      <c r="C1105" t="s">
        <v>921</v>
      </c>
      <c r="D1105" t="s">
        <v>921</v>
      </c>
      <c r="E1105" t="s">
        <v>916</v>
      </c>
      <c r="F1105" s="3">
        <v>23316</v>
      </c>
      <c r="G1105">
        <v>161</v>
      </c>
      <c r="H1105">
        <v>158</v>
      </c>
      <c r="I1105">
        <v>0.72661971895017752</v>
      </c>
      <c r="J1105">
        <f t="shared" si="34"/>
        <v>0.98136645962732916</v>
      </c>
      <c r="K1105">
        <f t="shared" si="35"/>
        <v>0.71308022108154068</v>
      </c>
    </row>
    <row r="1106" spans="1:11" x14ac:dyDescent="0.25">
      <c r="A1106" t="s">
        <v>10</v>
      </c>
      <c r="B1106" t="s">
        <v>1140</v>
      </c>
      <c r="C1106" t="s">
        <v>921</v>
      </c>
      <c r="D1106" t="s">
        <v>921</v>
      </c>
      <c r="E1106" t="s">
        <v>916</v>
      </c>
      <c r="F1106" s="2">
        <v>23365</v>
      </c>
      <c r="G1106">
        <v>56</v>
      </c>
      <c r="H1106">
        <v>31</v>
      </c>
      <c r="I1106">
        <v>0.17512430081531483</v>
      </c>
      <c r="J1106">
        <f t="shared" si="34"/>
        <v>0.5535714285714286</v>
      </c>
      <c r="K1106">
        <f t="shared" si="35"/>
        <v>9.6943809379906432E-2</v>
      </c>
    </row>
    <row r="1107" spans="1:11" x14ac:dyDescent="0.25">
      <c r="A1107" t="s">
        <v>10</v>
      </c>
      <c r="B1107" t="s">
        <v>1141</v>
      </c>
      <c r="C1107" t="s">
        <v>915</v>
      </c>
      <c r="D1107" t="s">
        <v>915</v>
      </c>
      <c r="E1107" t="s">
        <v>916</v>
      </c>
      <c r="F1107" s="3">
        <v>22539</v>
      </c>
      <c r="G1107">
        <v>622</v>
      </c>
      <c r="H1107">
        <v>35</v>
      </c>
      <c r="I1107">
        <v>0.13339458651542768</v>
      </c>
      <c r="J1107">
        <f t="shared" si="34"/>
        <v>5.6270096463022508E-2</v>
      </c>
      <c r="K1107">
        <f t="shared" si="35"/>
        <v>7.5061262508681172E-3</v>
      </c>
    </row>
    <row r="1108" spans="1:11" x14ac:dyDescent="0.25">
      <c r="A1108" t="s">
        <v>10</v>
      </c>
      <c r="B1108" t="s">
        <v>1142</v>
      </c>
      <c r="C1108" t="s">
        <v>921</v>
      </c>
      <c r="D1108" t="s">
        <v>921</v>
      </c>
      <c r="E1108" t="s">
        <v>916</v>
      </c>
      <c r="F1108" s="2">
        <v>23647</v>
      </c>
      <c r="G1108">
        <v>585</v>
      </c>
      <c r="H1108">
        <v>0</v>
      </c>
      <c r="I1108">
        <v>6.8012123104419064E-2</v>
      </c>
      <c r="J1108">
        <f t="shared" si="34"/>
        <v>0</v>
      </c>
      <c r="K1108">
        <f t="shared" si="35"/>
        <v>0</v>
      </c>
    </row>
    <row r="1109" spans="1:11" x14ac:dyDescent="0.25">
      <c r="A1109" t="s">
        <v>10</v>
      </c>
      <c r="B1109" t="s">
        <v>1143</v>
      </c>
      <c r="C1109" t="s">
        <v>921</v>
      </c>
      <c r="D1109" t="s">
        <v>921</v>
      </c>
      <c r="E1109" t="s">
        <v>916</v>
      </c>
      <c r="F1109" s="3">
        <v>23443</v>
      </c>
      <c r="G1109">
        <v>1194</v>
      </c>
      <c r="H1109">
        <v>0</v>
      </c>
      <c r="I1109">
        <v>0.17642472712640189</v>
      </c>
      <c r="J1109">
        <f t="shared" si="34"/>
        <v>0</v>
      </c>
      <c r="K1109">
        <f t="shared" si="35"/>
        <v>0</v>
      </c>
    </row>
    <row r="1110" spans="1:11" x14ac:dyDescent="0.25">
      <c r="A1110" t="s">
        <v>10</v>
      </c>
      <c r="B1110" t="s">
        <v>1144</v>
      </c>
      <c r="C1110" t="s">
        <v>915</v>
      </c>
      <c r="D1110" t="s">
        <v>915</v>
      </c>
      <c r="E1110" t="s">
        <v>916</v>
      </c>
      <c r="F1110" s="2">
        <v>22575</v>
      </c>
      <c r="G1110">
        <v>141</v>
      </c>
      <c r="H1110">
        <v>0</v>
      </c>
      <c r="I1110">
        <v>0.25396825396825395</v>
      </c>
      <c r="J1110">
        <f t="shared" si="34"/>
        <v>0</v>
      </c>
      <c r="K1110">
        <f t="shared" si="35"/>
        <v>0</v>
      </c>
    </row>
    <row r="1111" spans="1:11" x14ac:dyDescent="0.25">
      <c r="A1111" t="s">
        <v>10</v>
      </c>
      <c r="B1111" t="s">
        <v>1145</v>
      </c>
      <c r="C1111" t="s">
        <v>915</v>
      </c>
      <c r="D1111" t="s">
        <v>915</v>
      </c>
      <c r="E1111" t="s">
        <v>916</v>
      </c>
      <c r="F1111" s="3">
        <v>22463</v>
      </c>
      <c r="G1111">
        <v>1722</v>
      </c>
      <c r="H1111">
        <v>60</v>
      </c>
      <c r="I1111">
        <v>0.32416284052647659</v>
      </c>
      <c r="J1111">
        <f t="shared" si="34"/>
        <v>3.484320557491289E-2</v>
      </c>
      <c r="K1111">
        <f t="shared" si="35"/>
        <v>1.1294872492211727E-2</v>
      </c>
    </row>
    <row r="1112" spans="1:11" x14ac:dyDescent="0.25">
      <c r="A1112" t="s">
        <v>10</v>
      </c>
      <c r="B1112" t="s">
        <v>1146</v>
      </c>
      <c r="C1112" t="s">
        <v>934</v>
      </c>
      <c r="D1112" t="s">
        <v>934</v>
      </c>
      <c r="E1112" t="s">
        <v>919</v>
      </c>
      <c r="F1112" s="2">
        <v>32151</v>
      </c>
      <c r="G1112">
        <v>685</v>
      </c>
      <c r="H1112">
        <v>0</v>
      </c>
      <c r="I1112">
        <v>0.233299181602864</v>
      </c>
      <c r="J1112">
        <f t="shared" si="34"/>
        <v>0</v>
      </c>
      <c r="K1112">
        <f t="shared" si="35"/>
        <v>0</v>
      </c>
    </row>
    <row r="1113" spans="1:11" x14ac:dyDescent="0.25">
      <c r="A1113" t="s">
        <v>10</v>
      </c>
      <c r="B1113" t="s">
        <v>1147</v>
      </c>
      <c r="C1113" t="s">
        <v>921</v>
      </c>
      <c r="D1113" t="s">
        <v>921</v>
      </c>
      <c r="E1113" t="s">
        <v>916</v>
      </c>
      <c r="F1113" s="3">
        <v>23687</v>
      </c>
      <c r="G1113">
        <v>244</v>
      </c>
      <c r="H1113">
        <v>0</v>
      </c>
      <c r="I1113">
        <v>0.20788641577283185</v>
      </c>
      <c r="J1113">
        <f t="shared" si="34"/>
        <v>0</v>
      </c>
      <c r="K1113">
        <f t="shared" si="35"/>
        <v>0</v>
      </c>
    </row>
    <row r="1114" spans="1:11" x14ac:dyDescent="0.25">
      <c r="A1114" t="s">
        <v>10</v>
      </c>
      <c r="B1114" t="s">
        <v>1148</v>
      </c>
      <c r="C1114" t="s">
        <v>918</v>
      </c>
      <c r="D1114" t="s">
        <v>918</v>
      </c>
      <c r="E1114" t="s">
        <v>919</v>
      </c>
      <c r="F1114" s="2">
        <v>37315</v>
      </c>
      <c r="G1114">
        <v>1196</v>
      </c>
      <c r="H1114">
        <v>9</v>
      </c>
      <c r="I1114">
        <v>0.33856803110364353</v>
      </c>
      <c r="J1114">
        <f t="shared" si="34"/>
        <v>7.525083612040134E-3</v>
      </c>
      <c r="K1114">
        <f t="shared" si="35"/>
        <v>2.5477527424187223E-3</v>
      </c>
    </row>
    <row r="1115" spans="1:11" x14ac:dyDescent="0.25">
      <c r="A1115" t="s">
        <v>10</v>
      </c>
      <c r="B1115" t="s">
        <v>1149</v>
      </c>
      <c r="C1115" t="s">
        <v>915</v>
      </c>
      <c r="D1115" t="s">
        <v>915</v>
      </c>
      <c r="E1115" t="s">
        <v>916</v>
      </c>
      <c r="F1115" s="2">
        <v>22579</v>
      </c>
      <c r="G1115">
        <v>167</v>
      </c>
      <c r="H1115">
        <v>0</v>
      </c>
      <c r="I1115">
        <v>0.16408317580340281</v>
      </c>
      <c r="J1115">
        <f t="shared" si="34"/>
        <v>0</v>
      </c>
      <c r="K1115">
        <f t="shared" si="35"/>
        <v>0</v>
      </c>
    </row>
    <row r="1116" spans="1:11" x14ac:dyDescent="0.25">
      <c r="A1116" t="s">
        <v>10</v>
      </c>
      <c r="B1116" t="s">
        <v>1150</v>
      </c>
      <c r="C1116" t="s">
        <v>931</v>
      </c>
      <c r="D1116" t="s">
        <v>931</v>
      </c>
      <c r="E1116" t="s">
        <v>919</v>
      </c>
      <c r="F1116" s="2">
        <v>34341</v>
      </c>
      <c r="G1116">
        <v>425</v>
      </c>
      <c r="H1116">
        <v>0</v>
      </c>
      <c r="I1116">
        <v>0.5295318615073854</v>
      </c>
      <c r="J1116">
        <f t="shared" si="34"/>
        <v>0</v>
      </c>
      <c r="K1116">
        <f t="shared" si="35"/>
        <v>0</v>
      </c>
    </row>
    <row r="1117" spans="1:11" x14ac:dyDescent="0.25">
      <c r="A1117" t="s">
        <v>10</v>
      </c>
      <c r="B1117" t="s">
        <v>1151</v>
      </c>
      <c r="C1117" t="s">
        <v>934</v>
      </c>
      <c r="D1117" t="s">
        <v>934</v>
      </c>
      <c r="E1117" t="s">
        <v>919</v>
      </c>
      <c r="F1117" s="3">
        <v>32141</v>
      </c>
      <c r="G1117">
        <v>296</v>
      </c>
      <c r="H1117">
        <v>354</v>
      </c>
      <c r="I1117">
        <v>0.17036011080332403</v>
      </c>
      <c r="J1117">
        <f t="shared" si="34"/>
        <v>1.1959459459459461</v>
      </c>
      <c r="K1117">
        <f t="shared" si="35"/>
        <v>0.20374148386613755</v>
      </c>
    </row>
    <row r="1118" spans="1:11" x14ac:dyDescent="0.25">
      <c r="A1118" t="s">
        <v>10</v>
      </c>
      <c r="B1118" t="s">
        <v>1152</v>
      </c>
      <c r="C1118" t="s">
        <v>915</v>
      </c>
      <c r="D1118" t="s">
        <v>915</v>
      </c>
      <c r="E1118" t="s">
        <v>916</v>
      </c>
      <c r="F1118" s="2">
        <v>22555</v>
      </c>
      <c r="G1118">
        <v>889</v>
      </c>
      <c r="H1118">
        <v>118</v>
      </c>
      <c r="I1118">
        <v>0.60324115444994564</v>
      </c>
      <c r="J1118">
        <f t="shared" si="34"/>
        <v>0.1327334083239595</v>
      </c>
      <c r="K1118">
        <f t="shared" si="35"/>
        <v>8.0070254471421354E-2</v>
      </c>
    </row>
    <row r="1119" spans="1:11" x14ac:dyDescent="0.25">
      <c r="A1119" t="s">
        <v>10</v>
      </c>
      <c r="B1119" t="s">
        <v>1153</v>
      </c>
      <c r="C1119" t="s">
        <v>937</v>
      </c>
      <c r="D1119" t="s">
        <v>937</v>
      </c>
      <c r="E1119" t="s">
        <v>937</v>
      </c>
      <c r="F1119" s="3">
        <v>71271</v>
      </c>
      <c r="G1119">
        <v>717</v>
      </c>
      <c r="H1119">
        <v>49</v>
      </c>
      <c r="I1119">
        <v>0.65816375580836395</v>
      </c>
      <c r="J1119">
        <f t="shared" si="34"/>
        <v>6.8340306834030681E-2</v>
      </c>
      <c r="K1119">
        <f t="shared" si="35"/>
        <v>4.4979113018981637E-2</v>
      </c>
    </row>
    <row r="1120" spans="1:11" x14ac:dyDescent="0.25">
      <c r="A1120" t="s">
        <v>10</v>
      </c>
      <c r="B1120" t="s">
        <v>1154</v>
      </c>
      <c r="C1120" t="s">
        <v>915</v>
      </c>
      <c r="D1120" t="s">
        <v>915</v>
      </c>
      <c r="E1120" t="s">
        <v>916</v>
      </c>
      <c r="F1120" s="3">
        <v>22319</v>
      </c>
      <c r="G1120">
        <v>1937</v>
      </c>
      <c r="H1120">
        <v>22</v>
      </c>
      <c r="I1120">
        <v>0.77826988071998005</v>
      </c>
      <c r="J1120">
        <f t="shared" si="34"/>
        <v>1.1357769747031492E-2</v>
      </c>
      <c r="K1120">
        <f t="shared" si="35"/>
        <v>8.8394101062671971E-3</v>
      </c>
    </row>
    <row r="1121" spans="1:11" x14ac:dyDescent="0.25">
      <c r="A1121" t="s">
        <v>10</v>
      </c>
      <c r="B1121" t="s">
        <v>1155</v>
      </c>
      <c r="C1121" t="s">
        <v>915</v>
      </c>
      <c r="D1121" t="s">
        <v>915</v>
      </c>
      <c r="E1121" t="s">
        <v>916</v>
      </c>
      <c r="F1121" s="2">
        <v>22767</v>
      </c>
      <c r="G1121">
        <v>403</v>
      </c>
      <c r="H1121">
        <v>10</v>
      </c>
      <c r="I1121">
        <v>0.28307794057251356</v>
      </c>
      <c r="J1121">
        <f t="shared" si="34"/>
        <v>2.4813895781637719E-2</v>
      </c>
      <c r="K1121">
        <f t="shared" si="35"/>
        <v>7.0242665154469875E-3</v>
      </c>
    </row>
    <row r="1122" spans="1:11" x14ac:dyDescent="0.25">
      <c r="A1122" t="s">
        <v>10</v>
      </c>
      <c r="B1122" t="s">
        <v>1156</v>
      </c>
      <c r="C1122" t="s">
        <v>921</v>
      </c>
      <c r="D1122" t="s">
        <v>921</v>
      </c>
      <c r="E1122" t="s">
        <v>916</v>
      </c>
      <c r="F1122" s="3">
        <v>23429</v>
      </c>
      <c r="G1122">
        <v>1012</v>
      </c>
      <c r="H1122">
        <v>113</v>
      </c>
      <c r="I1122">
        <v>2.2852552184970065E-2</v>
      </c>
      <c r="J1122">
        <f t="shared" si="34"/>
        <v>0.11166007905138339</v>
      </c>
      <c r="K1122">
        <f t="shared" si="35"/>
        <v>2.5517177834996217E-3</v>
      </c>
    </row>
    <row r="1123" spans="1:11" x14ac:dyDescent="0.25">
      <c r="A1123" t="s">
        <v>10</v>
      </c>
      <c r="B1123" t="s">
        <v>1157</v>
      </c>
      <c r="C1123" t="s">
        <v>915</v>
      </c>
      <c r="D1123" t="s">
        <v>915</v>
      </c>
      <c r="E1123" t="s">
        <v>916</v>
      </c>
      <c r="F1123" s="3">
        <v>22559</v>
      </c>
      <c r="G1123">
        <v>565</v>
      </c>
      <c r="H1123">
        <v>0</v>
      </c>
      <c r="I1123">
        <v>0.2284088493080656</v>
      </c>
      <c r="J1123">
        <f t="shared" si="34"/>
        <v>0</v>
      </c>
      <c r="K1123">
        <f t="shared" si="35"/>
        <v>0</v>
      </c>
    </row>
    <row r="1124" spans="1:11" x14ac:dyDescent="0.25">
      <c r="A1124" t="s">
        <v>10</v>
      </c>
      <c r="B1124" t="s">
        <v>1158</v>
      </c>
      <c r="C1124" t="s">
        <v>931</v>
      </c>
      <c r="D1124" t="s">
        <v>931</v>
      </c>
      <c r="E1124" t="s">
        <v>919</v>
      </c>
      <c r="F1124" s="2">
        <v>34237</v>
      </c>
      <c r="G1124">
        <v>182</v>
      </c>
      <c r="H1124">
        <v>0</v>
      </c>
      <c r="I1124">
        <v>0.18047176737208337</v>
      </c>
      <c r="J1124">
        <f t="shared" si="34"/>
        <v>0</v>
      </c>
      <c r="K1124">
        <f t="shared" si="35"/>
        <v>0</v>
      </c>
    </row>
    <row r="1125" spans="1:11" x14ac:dyDescent="0.25">
      <c r="A1125" t="s">
        <v>10</v>
      </c>
      <c r="B1125" t="s">
        <v>1159</v>
      </c>
      <c r="C1125" t="s">
        <v>931</v>
      </c>
      <c r="D1125" t="s">
        <v>931</v>
      </c>
      <c r="E1125" t="s">
        <v>919</v>
      </c>
      <c r="F1125" s="3">
        <v>34122</v>
      </c>
      <c r="G1125">
        <v>283</v>
      </c>
      <c r="H1125">
        <v>0</v>
      </c>
      <c r="I1125">
        <v>0.14118723899239149</v>
      </c>
      <c r="J1125">
        <f t="shared" si="34"/>
        <v>0</v>
      </c>
      <c r="K1125">
        <f t="shared" si="35"/>
        <v>0</v>
      </c>
    </row>
    <row r="1126" spans="1:11" x14ac:dyDescent="0.25">
      <c r="A1126" t="s">
        <v>10</v>
      </c>
      <c r="B1126" t="s">
        <v>1160</v>
      </c>
      <c r="C1126" t="s">
        <v>915</v>
      </c>
      <c r="D1126" t="s">
        <v>915</v>
      </c>
      <c r="E1126" t="s">
        <v>916</v>
      </c>
      <c r="F1126" s="2">
        <v>22627</v>
      </c>
      <c r="G1126">
        <v>1129</v>
      </c>
      <c r="H1126">
        <v>81</v>
      </c>
      <c r="I1126">
        <v>0.23555788819306089</v>
      </c>
      <c r="J1126">
        <f t="shared" si="34"/>
        <v>7.1744906997342775E-2</v>
      </c>
      <c r="K1126">
        <f t="shared" si="35"/>
        <v>1.690007878090162E-2</v>
      </c>
    </row>
    <row r="1127" spans="1:11" x14ac:dyDescent="0.25">
      <c r="A1127" t="s">
        <v>10</v>
      </c>
      <c r="B1127" t="s">
        <v>1161</v>
      </c>
      <c r="C1127" t="s">
        <v>921</v>
      </c>
      <c r="D1127" t="s">
        <v>921</v>
      </c>
      <c r="E1127" t="s">
        <v>916</v>
      </c>
      <c r="F1127" s="2">
        <v>23421</v>
      </c>
      <c r="G1127">
        <v>1262</v>
      </c>
      <c r="H1127">
        <v>118</v>
      </c>
      <c r="I1127">
        <v>0.23265407288756101</v>
      </c>
      <c r="J1127">
        <f t="shared" si="34"/>
        <v>9.3502377179080817E-2</v>
      </c>
      <c r="K1127">
        <f t="shared" si="35"/>
        <v>2.175370887538209E-2</v>
      </c>
    </row>
    <row r="1128" spans="1:11" x14ac:dyDescent="0.25">
      <c r="A1128" t="s">
        <v>10</v>
      </c>
      <c r="B1128" t="s">
        <v>1162</v>
      </c>
      <c r="C1128" t="s">
        <v>931</v>
      </c>
      <c r="D1128" t="s">
        <v>931</v>
      </c>
      <c r="E1128" t="s">
        <v>919</v>
      </c>
      <c r="F1128" s="3">
        <v>34218</v>
      </c>
      <c r="G1128">
        <v>196</v>
      </c>
      <c r="H1128">
        <v>0</v>
      </c>
      <c r="I1128">
        <v>8.347915784044635E-2</v>
      </c>
      <c r="J1128">
        <f t="shared" si="34"/>
        <v>0</v>
      </c>
      <c r="K1128">
        <f t="shared" si="35"/>
        <v>0</v>
      </c>
    </row>
    <row r="1129" spans="1:11" x14ac:dyDescent="0.25">
      <c r="A1129" t="s">
        <v>10</v>
      </c>
      <c r="B1129" t="s">
        <v>1163</v>
      </c>
      <c r="C1129" t="s">
        <v>931</v>
      </c>
      <c r="D1129" t="s">
        <v>931</v>
      </c>
      <c r="E1129" t="s">
        <v>919</v>
      </c>
      <c r="F1129" s="3">
        <v>34214</v>
      </c>
      <c r="G1129">
        <v>121</v>
      </c>
      <c r="H1129">
        <v>0</v>
      </c>
      <c r="I1129">
        <v>0.20841942148760328</v>
      </c>
      <c r="J1129">
        <f t="shared" si="34"/>
        <v>0</v>
      </c>
      <c r="K1129">
        <f t="shared" si="35"/>
        <v>0</v>
      </c>
    </row>
    <row r="1130" spans="1:11" x14ac:dyDescent="0.25">
      <c r="A1130" t="s">
        <v>10</v>
      </c>
      <c r="B1130" t="s">
        <v>1164</v>
      </c>
      <c r="C1130" t="s">
        <v>918</v>
      </c>
      <c r="D1130" t="s">
        <v>918</v>
      </c>
      <c r="E1130" t="s">
        <v>919</v>
      </c>
      <c r="F1130" s="3">
        <v>37371</v>
      </c>
      <c r="G1130">
        <v>470</v>
      </c>
      <c r="H1130">
        <v>0</v>
      </c>
      <c r="I1130">
        <v>0.11302040050398077</v>
      </c>
      <c r="J1130">
        <f t="shared" si="34"/>
        <v>0</v>
      </c>
      <c r="K1130">
        <f t="shared" si="35"/>
        <v>0</v>
      </c>
    </row>
    <row r="1131" spans="1:11" x14ac:dyDescent="0.25">
      <c r="A1131" t="s">
        <v>10</v>
      </c>
      <c r="B1131" t="s">
        <v>1165</v>
      </c>
      <c r="C1131" t="s">
        <v>918</v>
      </c>
      <c r="D1131" t="s">
        <v>918</v>
      </c>
      <c r="E1131" t="s">
        <v>919</v>
      </c>
      <c r="F1131" s="2">
        <v>37331</v>
      </c>
      <c r="G1131">
        <v>319</v>
      </c>
      <c r="H1131">
        <v>0</v>
      </c>
      <c r="I1131">
        <v>0.47501079861195361</v>
      </c>
      <c r="J1131">
        <f t="shared" si="34"/>
        <v>0</v>
      </c>
      <c r="K1131">
        <f t="shared" si="35"/>
        <v>0</v>
      </c>
    </row>
    <row r="1132" spans="1:11" x14ac:dyDescent="0.25">
      <c r="A1132" t="s">
        <v>10</v>
      </c>
      <c r="B1132" t="s">
        <v>1166</v>
      </c>
      <c r="C1132" t="s">
        <v>934</v>
      </c>
      <c r="D1132" t="s">
        <v>934</v>
      </c>
      <c r="E1132" t="s">
        <v>919</v>
      </c>
      <c r="F1132" s="2">
        <v>32133</v>
      </c>
      <c r="G1132">
        <v>586</v>
      </c>
      <c r="H1132">
        <v>970</v>
      </c>
      <c r="I1132">
        <v>0.50452466489554393</v>
      </c>
      <c r="J1132">
        <f t="shared" si="34"/>
        <v>1.6552901023890785</v>
      </c>
      <c r="K1132">
        <f t="shared" si="35"/>
        <v>0.83513468421276038</v>
      </c>
    </row>
    <row r="1133" spans="1:11" x14ac:dyDescent="0.25">
      <c r="A1133" t="s">
        <v>10</v>
      </c>
      <c r="B1133" t="s">
        <v>1167</v>
      </c>
      <c r="C1133" t="s">
        <v>921</v>
      </c>
      <c r="D1133" t="s">
        <v>921</v>
      </c>
      <c r="E1133" t="s">
        <v>916</v>
      </c>
      <c r="F1133" s="3">
        <v>23435</v>
      </c>
      <c r="G1133">
        <v>976</v>
      </c>
      <c r="H1133">
        <v>157</v>
      </c>
      <c r="I1133">
        <v>1.6506447352296449E-2</v>
      </c>
      <c r="J1133">
        <f t="shared" si="34"/>
        <v>0.16086065573770492</v>
      </c>
      <c r="K1133">
        <f t="shared" si="35"/>
        <v>2.6552379449903099E-3</v>
      </c>
    </row>
    <row r="1134" spans="1:11" x14ac:dyDescent="0.25">
      <c r="A1134" t="s">
        <v>10</v>
      </c>
      <c r="B1134" t="s">
        <v>1168</v>
      </c>
      <c r="C1134" t="s">
        <v>921</v>
      </c>
      <c r="D1134" t="s">
        <v>921</v>
      </c>
      <c r="E1134" t="s">
        <v>916</v>
      </c>
      <c r="F1134" s="2">
        <v>23455</v>
      </c>
      <c r="G1134">
        <v>1096</v>
      </c>
      <c r="H1134">
        <v>5</v>
      </c>
      <c r="I1134">
        <v>0.23608397607408993</v>
      </c>
      <c r="J1134">
        <f t="shared" si="34"/>
        <v>4.5620437956204376E-3</v>
      </c>
      <c r="K1134">
        <f t="shared" si="35"/>
        <v>1.0770254382942057E-3</v>
      </c>
    </row>
    <row r="1135" spans="1:11" x14ac:dyDescent="0.25">
      <c r="A1135" t="s">
        <v>10</v>
      </c>
      <c r="B1135" t="s">
        <v>1169</v>
      </c>
      <c r="C1135" t="s">
        <v>931</v>
      </c>
      <c r="D1135" t="s">
        <v>931</v>
      </c>
      <c r="E1135" t="s">
        <v>919</v>
      </c>
      <c r="F1135" s="2">
        <v>34267</v>
      </c>
      <c r="G1135">
        <v>271</v>
      </c>
      <c r="H1135">
        <v>8</v>
      </c>
      <c r="I1135">
        <v>0.13993498317346198</v>
      </c>
      <c r="J1135">
        <f t="shared" si="34"/>
        <v>2.9520295202952029E-2</v>
      </c>
      <c r="K1135">
        <f t="shared" si="35"/>
        <v>4.1309220125007222E-3</v>
      </c>
    </row>
    <row r="1136" spans="1:11" x14ac:dyDescent="0.25">
      <c r="A1136" t="s">
        <v>10</v>
      </c>
      <c r="B1136" t="s">
        <v>1170</v>
      </c>
      <c r="C1136" t="s">
        <v>934</v>
      </c>
      <c r="D1136" t="s">
        <v>934</v>
      </c>
      <c r="E1136" t="s">
        <v>919</v>
      </c>
      <c r="F1136" s="3">
        <v>32161</v>
      </c>
      <c r="G1136">
        <v>299</v>
      </c>
      <c r="H1136">
        <v>0</v>
      </c>
      <c r="I1136">
        <v>5.043043894143906E-2</v>
      </c>
      <c r="J1136">
        <f t="shared" si="34"/>
        <v>0</v>
      </c>
      <c r="K1136">
        <f t="shared" si="35"/>
        <v>0</v>
      </c>
    </row>
    <row r="1137" spans="1:11" x14ac:dyDescent="0.25">
      <c r="A1137" t="s">
        <v>10</v>
      </c>
      <c r="B1137" t="s">
        <v>1171</v>
      </c>
      <c r="C1137" t="s">
        <v>918</v>
      </c>
      <c r="D1137" t="s">
        <v>918</v>
      </c>
      <c r="E1137" t="s">
        <v>919</v>
      </c>
      <c r="F1137" s="3">
        <v>37355</v>
      </c>
      <c r="G1137">
        <v>484</v>
      </c>
      <c r="H1137">
        <v>9</v>
      </c>
      <c r="I1137">
        <v>0.13158841916946951</v>
      </c>
      <c r="J1137">
        <f t="shared" si="34"/>
        <v>1.859504132231405E-2</v>
      </c>
      <c r="K1137">
        <f t="shared" si="35"/>
        <v>2.4468920919942677E-3</v>
      </c>
    </row>
    <row r="1138" spans="1:11" x14ac:dyDescent="0.25">
      <c r="A1138" t="s">
        <v>10</v>
      </c>
      <c r="B1138" t="s">
        <v>1172</v>
      </c>
      <c r="C1138" t="s">
        <v>934</v>
      </c>
      <c r="D1138" t="s">
        <v>934</v>
      </c>
      <c r="E1138" t="s">
        <v>919</v>
      </c>
      <c r="F1138" s="3">
        <v>32139</v>
      </c>
      <c r="G1138">
        <v>1409</v>
      </c>
      <c r="H1138">
        <v>0</v>
      </c>
      <c r="I1138">
        <v>0.14112489694142227</v>
      </c>
      <c r="J1138">
        <f t="shared" si="34"/>
        <v>0</v>
      </c>
      <c r="K1138">
        <f t="shared" si="35"/>
        <v>0</v>
      </c>
    </row>
    <row r="1139" spans="1:11" x14ac:dyDescent="0.25">
      <c r="A1139" t="s">
        <v>10</v>
      </c>
      <c r="B1139" t="s">
        <v>1173</v>
      </c>
      <c r="C1139" t="s">
        <v>915</v>
      </c>
      <c r="D1139" t="s">
        <v>915</v>
      </c>
      <c r="E1139" t="s">
        <v>916</v>
      </c>
      <c r="F1139" s="2">
        <v>22774</v>
      </c>
      <c r="G1139">
        <v>345</v>
      </c>
      <c r="H1139">
        <v>113</v>
      </c>
      <c r="I1139">
        <v>0.12199467465748604</v>
      </c>
      <c r="J1139">
        <f t="shared" si="34"/>
        <v>0.32753623188405795</v>
      </c>
      <c r="K1139">
        <f t="shared" si="35"/>
        <v>3.9957676047234554E-2</v>
      </c>
    </row>
    <row r="1140" spans="1:11" x14ac:dyDescent="0.25">
      <c r="A1140" t="s">
        <v>10</v>
      </c>
      <c r="B1140" t="s">
        <v>1174</v>
      </c>
      <c r="C1140" t="s">
        <v>982</v>
      </c>
      <c r="D1140" t="s">
        <v>982</v>
      </c>
      <c r="E1140" t="s">
        <v>919</v>
      </c>
      <c r="F1140" s="2">
        <v>36181</v>
      </c>
      <c r="G1140">
        <v>731</v>
      </c>
      <c r="H1140">
        <v>0</v>
      </c>
      <c r="I1140">
        <v>0.12324506498151822</v>
      </c>
      <c r="J1140">
        <f t="shared" si="34"/>
        <v>0</v>
      </c>
      <c r="K1140">
        <f t="shared" si="35"/>
        <v>0</v>
      </c>
    </row>
    <row r="1141" spans="1:11" x14ac:dyDescent="0.25">
      <c r="A1141" t="s">
        <v>10</v>
      </c>
      <c r="B1141" t="s">
        <v>1175</v>
      </c>
      <c r="C1141" t="s">
        <v>921</v>
      </c>
      <c r="D1141" t="s">
        <v>921</v>
      </c>
      <c r="E1141" t="s">
        <v>916</v>
      </c>
      <c r="F1141" s="3">
        <v>23371</v>
      </c>
      <c r="G1141">
        <v>79</v>
      </c>
      <c r="H1141">
        <v>45</v>
      </c>
      <c r="I1141">
        <v>0.13194444444444431</v>
      </c>
      <c r="J1141">
        <f t="shared" si="34"/>
        <v>0.569620253164557</v>
      </c>
      <c r="K1141">
        <f t="shared" si="35"/>
        <v>7.5158227848101195E-2</v>
      </c>
    </row>
    <row r="1142" spans="1:11" x14ac:dyDescent="0.25">
      <c r="A1142" t="s">
        <v>10</v>
      </c>
      <c r="B1142" t="s">
        <v>1176</v>
      </c>
      <c r="C1142" t="s">
        <v>915</v>
      </c>
      <c r="D1142" t="s">
        <v>915</v>
      </c>
      <c r="E1142" t="s">
        <v>916</v>
      </c>
      <c r="F1142" s="2">
        <v>22451</v>
      </c>
      <c r="G1142">
        <v>1518</v>
      </c>
      <c r="H1142">
        <v>0</v>
      </c>
      <c r="I1142">
        <v>0.46822636458892841</v>
      </c>
      <c r="J1142">
        <f t="shared" si="34"/>
        <v>0</v>
      </c>
      <c r="K1142">
        <f t="shared" si="35"/>
        <v>0</v>
      </c>
    </row>
    <row r="1143" spans="1:11" x14ac:dyDescent="0.25">
      <c r="A1143" t="s">
        <v>10</v>
      </c>
      <c r="B1143" t="s">
        <v>1177</v>
      </c>
      <c r="C1143" t="s">
        <v>918</v>
      </c>
      <c r="D1143" t="s">
        <v>918</v>
      </c>
      <c r="E1143" t="s">
        <v>919</v>
      </c>
      <c r="F1143" s="3">
        <v>37347</v>
      </c>
      <c r="G1143">
        <v>803</v>
      </c>
      <c r="H1143">
        <v>6</v>
      </c>
      <c r="I1143">
        <v>3.8967601345938352E-2</v>
      </c>
      <c r="J1143">
        <f t="shared" si="34"/>
        <v>7.4719800747198011E-3</v>
      </c>
      <c r="K1143">
        <f t="shared" si="35"/>
        <v>2.9116514081647585E-4</v>
      </c>
    </row>
    <row r="1144" spans="1:11" x14ac:dyDescent="0.25">
      <c r="A1144" t="s">
        <v>10</v>
      </c>
      <c r="B1144" t="s">
        <v>1178</v>
      </c>
      <c r="C1144" t="s">
        <v>982</v>
      </c>
      <c r="D1144" t="s">
        <v>982</v>
      </c>
      <c r="E1144" t="s">
        <v>919</v>
      </c>
      <c r="F1144" s="3">
        <v>36164</v>
      </c>
      <c r="G1144">
        <v>232</v>
      </c>
      <c r="H1144">
        <v>111</v>
      </c>
      <c r="I1144">
        <v>0.32254560408438782</v>
      </c>
      <c r="J1144">
        <f t="shared" si="34"/>
        <v>0.47844827586206895</v>
      </c>
      <c r="K1144">
        <f t="shared" si="35"/>
        <v>0.15432138816106486</v>
      </c>
    </row>
    <row r="1145" spans="1:11" x14ac:dyDescent="0.25">
      <c r="A1145" t="s">
        <v>10</v>
      </c>
      <c r="B1145" t="s">
        <v>1179</v>
      </c>
      <c r="C1145" t="s">
        <v>921</v>
      </c>
      <c r="D1145" t="s">
        <v>921</v>
      </c>
      <c r="E1145" t="s">
        <v>916</v>
      </c>
      <c r="F1145" s="2">
        <v>23235</v>
      </c>
      <c r="G1145">
        <v>104</v>
      </c>
      <c r="H1145">
        <v>23</v>
      </c>
      <c r="I1145">
        <v>0.1720060466079909</v>
      </c>
      <c r="J1145">
        <f t="shared" si="34"/>
        <v>0.22115384615384615</v>
      </c>
      <c r="K1145">
        <f t="shared" si="35"/>
        <v>3.8039798769074908E-2</v>
      </c>
    </row>
    <row r="1146" spans="1:11" x14ac:dyDescent="0.25">
      <c r="A1146" t="s">
        <v>10</v>
      </c>
      <c r="B1146" t="s">
        <v>1180</v>
      </c>
      <c r="C1146" t="s">
        <v>931</v>
      </c>
      <c r="D1146" t="s">
        <v>931</v>
      </c>
      <c r="E1146" t="s">
        <v>919</v>
      </c>
      <c r="F1146" s="3">
        <v>34231</v>
      </c>
      <c r="G1146">
        <v>283</v>
      </c>
      <c r="H1146">
        <v>0</v>
      </c>
      <c r="I1146">
        <v>0.25148166329426136</v>
      </c>
      <c r="J1146">
        <f t="shared" si="34"/>
        <v>0</v>
      </c>
      <c r="K1146">
        <f t="shared" si="35"/>
        <v>0</v>
      </c>
    </row>
    <row r="1147" spans="1:11" x14ac:dyDescent="0.25">
      <c r="A1147" t="s">
        <v>10</v>
      </c>
      <c r="B1147" t="s">
        <v>1181</v>
      </c>
      <c r="C1147" t="s">
        <v>918</v>
      </c>
      <c r="D1147" t="s">
        <v>918</v>
      </c>
      <c r="E1147" t="s">
        <v>919</v>
      </c>
      <c r="F1147" s="2">
        <v>37329</v>
      </c>
      <c r="G1147">
        <v>2214</v>
      </c>
      <c r="H1147">
        <v>180</v>
      </c>
      <c r="I1147">
        <v>6.7954459048840121E-3</v>
      </c>
      <c r="J1147">
        <f t="shared" si="34"/>
        <v>8.1300813008130079E-2</v>
      </c>
      <c r="K1147">
        <f t="shared" si="35"/>
        <v>5.524752768198384E-4</v>
      </c>
    </row>
    <row r="1148" spans="1:11" x14ac:dyDescent="0.25">
      <c r="A1148" t="s">
        <v>10</v>
      </c>
      <c r="B1148" t="s">
        <v>1182</v>
      </c>
      <c r="C1148" t="s">
        <v>931</v>
      </c>
      <c r="D1148" t="s">
        <v>931</v>
      </c>
      <c r="E1148" t="s">
        <v>919</v>
      </c>
      <c r="F1148" s="2">
        <v>34229</v>
      </c>
      <c r="G1148">
        <v>166</v>
      </c>
      <c r="H1148">
        <v>40</v>
      </c>
      <c r="I1148">
        <v>0.15942099858183778</v>
      </c>
      <c r="J1148">
        <f t="shared" si="34"/>
        <v>0.24096385542168675</v>
      </c>
      <c r="K1148">
        <f t="shared" si="35"/>
        <v>3.8414698453454889E-2</v>
      </c>
    </row>
    <row r="1149" spans="1:11" x14ac:dyDescent="0.25">
      <c r="A1149" t="s">
        <v>10</v>
      </c>
      <c r="B1149" t="s">
        <v>1183</v>
      </c>
      <c r="C1149" t="s">
        <v>982</v>
      </c>
      <c r="D1149" t="s">
        <v>982</v>
      </c>
      <c r="E1149" t="s">
        <v>919</v>
      </c>
      <c r="F1149" s="3">
        <v>36184</v>
      </c>
      <c r="G1149">
        <v>1048</v>
      </c>
      <c r="H1149">
        <v>0</v>
      </c>
      <c r="I1149">
        <v>0.12628625220317258</v>
      </c>
      <c r="J1149">
        <f t="shared" si="34"/>
        <v>0</v>
      </c>
      <c r="K1149">
        <f t="shared" si="35"/>
        <v>0</v>
      </c>
    </row>
    <row r="1150" spans="1:11" x14ac:dyDescent="0.25">
      <c r="A1150" t="s">
        <v>10</v>
      </c>
      <c r="B1150" t="s">
        <v>1184</v>
      </c>
      <c r="C1150" t="s">
        <v>931</v>
      </c>
      <c r="D1150" t="s">
        <v>931</v>
      </c>
      <c r="E1150" t="s">
        <v>919</v>
      </c>
      <c r="F1150" s="2">
        <v>34351</v>
      </c>
      <c r="G1150">
        <v>467</v>
      </c>
      <c r="H1150">
        <v>0</v>
      </c>
      <c r="I1150">
        <v>0.12021249999999994</v>
      </c>
      <c r="J1150">
        <f t="shared" si="34"/>
        <v>0</v>
      </c>
      <c r="K1150">
        <f t="shared" si="35"/>
        <v>0</v>
      </c>
    </row>
    <row r="1151" spans="1:11" x14ac:dyDescent="0.25">
      <c r="A1151" t="s">
        <v>10</v>
      </c>
      <c r="B1151" t="s">
        <v>1185</v>
      </c>
      <c r="C1151" t="s">
        <v>931</v>
      </c>
      <c r="D1151" t="s">
        <v>931</v>
      </c>
      <c r="E1151" t="s">
        <v>919</v>
      </c>
      <c r="F1151" s="3">
        <v>34254</v>
      </c>
      <c r="G1151">
        <v>93</v>
      </c>
      <c r="H1151">
        <v>0</v>
      </c>
      <c r="I1151">
        <v>0.13486922726795292</v>
      </c>
      <c r="J1151">
        <f t="shared" si="34"/>
        <v>0</v>
      </c>
      <c r="K1151">
        <f t="shared" si="35"/>
        <v>0</v>
      </c>
    </row>
    <row r="1152" spans="1:11" x14ac:dyDescent="0.25">
      <c r="A1152" t="s">
        <v>10</v>
      </c>
      <c r="B1152" t="s">
        <v>1186</v>
      </c>
      <c r="C1152" t="s">
        <v>915</v>
      </c>
      <c r="D1152" t="s">
        <v>915</v>
      </c>
      <c r="E1152" t="s">
        <v>916</v>
      </c>
      <c r="F1152" s="2">
        <v>22734</v>
      </c>
      <c r="G1152">
        <v>578</v>
      </c>
      <c r="H1152">
        <v>32</v>
      </c>
      <c r="I1152">
        <v>0.31873610441407796</v>
      </c>
      <c r="J1152">
        <f t="shared" si="34"/>
        <v>5.536332179930796E-2</v>
      </c>
      <c r="K1152">
        <f t="shared" si="35"/>
        <v>1.764628951773442E-2</v>
      </c>
    </row>
    <row r="1153" spans="1:11" x14ac:dyDescent="0.25">
      <c r="A1153" t="s">
        <v>10</v>
      </c>
      <c r="B1153" t="s">
        <v>1187</v>
      </c>
      <c r="C1153" t="s">
        <v>921</v>
      </c>
      <c r="D1153" t="s">
        <v>921</v>
      </c>
      <c r="E1153" t="s">
        <v>916</v>
      </c>
      <c r="F1153" s="3">
        <v>23376</v>
      </c>
      <c r="G1153">
        <v>50</v>
      </c>
      <c r="H1153">
        <v>0</v>
      </c>
      <c r="I1153">
        <v>0.25350837483024014</v>
      </c>
      <c r="J1153">
        <f t="shared" si="34"/>
        <v>0</v>
      </c>
      <c r="K1153">
        <f t="shared" si="35"/>
        <v>0</v>
      </c>
    </row>
    <row r="1154" spans="1:11" x14ac:dyDescent="0.25">
      <c r="A1154" t="s">
        <v>10</v>
      </c>
      <c r="B1154" t="s">
        <v>1188</v>
      </c>
      <c r="C1154" t="s">
        <v>918</v>
      </c>
      <c r="D1154" t="s">
        <v>918</v>
      </c>
      <c r="E1154" t="s">
        <v>919</v>
      </c>
      <c r="F1154" s="2">
        <v>37373</v>
      </c>
      <c r="G1154">
        <v>528</v>
      </c>
      <c r="H1154">
        <v>0</v>
      </c>
      <c r="I1154">
        <v>7.7051715574102841E-2</v>
      </c>
      <c r="J1154">
        <f t="shared" si="34"/>
        <v>0</v>
      </c>
      <c r="K1154">
        <f t="shared" si="35"/>
        <v>0</v>
      </c>
    </row>
    <row r="1155" spans="1:11" x14ac:dyDescent="0.25">
      <c r="A1155" t="s">
        <v>10</v>
      </c>
      <c r="B1155" t="s">
        <v>1189</v>
      </c>
      <c r="C1155" t="s">
        <v>931</v>
      </c>
      <c r="D1155" t="s">
        <v>931</v>
      </c>
      <c r="E1155" t="s">
        <v>919</v>
      </c>
      <c r="F1155" s="3">
        <v>34251</v>
      </c>
      <c r="G1155">
        <v>198</v>
      </c>
      <c r="H1155">
        <v>0</v>
      </c>
      <c r="I1155">
        <v>0.19094130039260737</v>
      </c>
      <c r="J1155">
        <f t="shared" ref="J1155:J1218" si="36">IF(G1155=0,0,H1155/G1155)</f>
        <v>0</v>
      </c>
      <c r="K1155">
        <f t="shared" ref="K1155:K1218" si="37">J1155*I1155</f>
        <v>0</v>
      </c>
    </row>
    <row r="1156" spans="1:11" x14ac:dyDescent="0.25">
      <c r="A1156" t="s">
        <v>10</v>
      </c>
      <c r="B1156" t="s">
        <v>1190</v>
      </c>
      <c r="C1156" t="s">
        <v>931</v>
      </c>
      <c r="D1156" t="s">
        <v>931</v>
      </c>
      <c r="E1156" t="s">
        <v>919</v>
      </c>
      <c r="F1156" s="2">
        <v>34215</v>
      </c>
      <c r="G1156">
        <v>314</v>
      </c>
      <c r="H1156">
        <v>27</v>
      </c>
      <c r="I1156">
        <v>0.11766314112078002</v>
      </c>
      <c r="J1156">
        <f t="shared" si="36"/>
        <v>8.598726114649681E-2</v>
      </c>
      <c r="K1156">
        <f t="shared" si="37"/>
        <v>1.0117531242869619E-2</v>
      </c>
    </row>
    <row r="1157" spans="1:11" x14ac:dyDescent="0.25">
      <c r="A1157" t="s">
        <v>10</v>
      </c>
      <c r="B1157" t="s">
        <v>1191</v>
      </c>
      <c r="C1157" t="s">
        <v>921</v>
      </c>
      <c r="D1157" t="s">
        <v>921</v>
      </c>
      <c r="E1157" t="s">
        <v>916</v>
      </c>
      <c r="F1157" s="3">
        <v>23639</v>
      </c>
      <c r="G1157">
        <v>2439</v>
      </c>
      <c r="H1157">
        <v>46</v>
      </c>
      <c r="I1157">
        <v>0.30587737339459642</v>
      </c>
      <c r="J1157">
        <f t="shared" si="36"/>
        <v>1.886018860188602E-2</v>
      </c>
      <c r="K1157">
        <f t="shared" si="37"/>
        <v>5.7689049512716015E-3</v>
      </c>
    </row>
    <row r="1158" spans="1:11" x14ac:dyDescent="0.25">
      <c r="A1158" t="s">
        <v>10</v>
      </c>
      <c r="B1158" t="s">
        <v>1192</v>
      </c>
      <c r="C1158" t="s">
        <v>915</v>
      </c>
      <c r="D1158" t="s">
        <v>915</v>
      </c>
      <c r="E1158" t="s">
        <v>916</v>
      </c>
      <c r="F1158" s="2">
        <v>22737</v>
      </c>
      <c r="G1158">
        <v>298</v>
      </c>
      <c r="H1158">
        <v>0</v>
      </c>
      <c r="I1158">
        <v>0.50415027225339126</v>
      </c>
      <c r="J1158">
        <f t="shared" si="36"/>
        <v>0</v>
      </c>
      <c r="K1158">
        <f t="shared" si="37"/>
        <v>0</v>
      </c>
    </row>
    <row r="1159" spans="1:11" x14ac:dyDescent="0.25">
      <c r="A1159" t="s">
        <v>10</v>
      </c>
      <c r="B1159" t="s">
        <v>1193</v>
      </c>
      <c r="C1159" t="s">
        <v>915</v>
      </c>
      <c r="D1159" t="s">
        <v>915</v>
      </c>
      <c r="E1159" t="s">
        <v>916</v>
      </c>
      <c r="F1159" s="3">
        <v>22717</v>
      </c>
      <c r="G1159">
        <v>189</v>
      </c>
      <c r="H1159">
        <v>9</v>
      </c>
      <c r="I1159">
        <v>0.21031084663482513</v>
      </c>
      <c r="J1159">
        <f t="shared" si="36"/>
        <v>4.7619047619047616E-2</v>
      </c>
      <c r="K1159">
        <f t="shared" si="37"/>
        <v>1.0014802220705958E-2</v>
      </c>
    </row>
    <row r="1160" spans="1:11" x14ac:dyDescent="0.25">
      <c r="A1160" t="s">
        <v>10</v>
      </c>
      <c r="B1160" t="s">
        <v>1194</v>
      </c>
      <c r="C1160" t="s">
        <v>982</v>
      </c>
      <c r="D1160" t="s">
        <v>982</v>
      </c>
      <c r="E1160" t="s">
        <v>919</v>
      </c>
      <c r="F1160" s="3">
        <v>36161</v>
      </c>
      <c r="G1160">
        <v>254</v>
      </c>
      <c r="H1160">
        <v>0</v>
      </c>
      <c r="I1160">
        <v>5.9381380438096487E-2</v>
      </c>
      <c r="J1160">
        <f t="shared" si="36"/>
        <v>0</v>
      </c>
      <c r="K1160">
        <f t="shared" si="37"/>
        <v>0</v>
      </c>
    </row>
    <row r="1161" spans="1:11" x14ac:dyDescent="0.25">
      <c r="A1161" t="s">
        <v>10</v>
      </c>
      <c r="B1161" t="s">
        <v>1195</v>
      </c>
      <c r="C1161" t="s">
        <v>915</v>
      </c>
      <c r="D1161" t="s">
        <v>915</v>
      </c>
      <c r="E1161" t="s">
        <v>916</v>
      </c>
      <c r="F1161" s="2">
        <v>22391</v>
      </c>
      <c r="G1161">
        <v>1052</v>
      </c>
      <c r="H1161">
        <v>45</v>
      </c>
      <c r="I1161">
        <v>0.64508921446583045</v>
      </c>
      <c r="J1161">
        <f t="shared" si="36"/>
        <v>4.2775665399239542E-2</v>
      </c>
      <c r="K1161">
        <f t="shared" si="37"/>
        <v>2.7594120390648638E-2</v>
      </c>
    </row>
    <row r="1162" spans="1:11" x14ac:dyDescent="0.25">
      <c r="A1162" t="s">
        <v>10</v>
      </c>
      <c r="B1162" t="s">
        <v>1196</v>
      </c>
      <c r="C1162" t="s">
        <v>915</v>
      </c>
      <c r="D1162" t="s">
        <v>915</v>
      </c>
      <c r="E1162" t="s">
        <v>916</v>
      </c>
      <c r="F1162" s="3">
        <v>22643</v>
      </c>
      <c r="G1162">
        <v>1023</v>
      </c>
      <c r="H1162">
        <v>45</v>
      </c>
      <c r="I1162">
        <v>0.44678307061819433</v>
      </c>
      <c r="J1162">
        <f t="shared" si="36"/>
        <v>4.398826979472141E-2</v>
      </c>
      <c r="K1162">
        <f t="shared" si="37"/>
        <v>1.9653214250067202E-2</v>
      </c>
    </row>
    <row r="1163" spans="1:11" x14ac:dyDescent="0.25">
      <c r="A1163" t="s">
        <v>10</v>
      </c>
      <c r="B1163" t="s">
        <v>1197</v>
      </c>
      <c r="C1163" t="s">
        <v>918</v>
      </c>
      <c r="D1163" t="s">
        <v>918</v>
      </c>
      <c r="E1163" t="s">
        <v>919</v>
      </c>
      <c r="F1163" s="2">
        <v>37395</v>
      </c>
      <c r="G1163">
        <v>787</v>
      </c>
      <c r="H1163">
        <v>12</v>
      </c>
      <c r="I1163">
        <v>1.1027645741789494E-2</v>
      </c>
      <c r="J1163">
        <f t="shared" si="36"/>
        <v>1.5247776365946633E-2</v>
      </c>
      <c r="K1163">
        <f t="shared" si="37"/>
        <v>1.6814707611368987E-4</v>
      </c>
    </row>
    <row r="1164" spans="1:11" x14ac:dyDescent="0.25">
      <c r="A1164" t="s">
        <v>10</v>
      </c>
      <c r="B1164" t="s">
        <v>1198</v>
      </c>
      <c r="C1164" t="s">
        <v>931</v>
      </c>
      <c r="D1164" t="s">
        <v>931</v>
      </c>
      <c r="E1164" t="s">
        <v>919</v>
      </c>
      <c r="F1164" s="3">
        <v>34273</v>
      </c>
      <c r="G1164">
        <v>75</v>
      </c>
      <c r="H1164">
        <v>0</v>
      </c>
      <c r="I1164">
        <v>0.18028741471911747</v>
      </c>
      <c r="J1164">
        <f t="shared" si="36"/>
        <v>0</v>
      </c>
      <c r="K1164">
        <f t="shared" si="37"/>
        <v>0</v>
      </c>
    </row>
    <row r="1165" spans="1:11" x14ac:dyDescent="0.25">
      <c r="A1165" t="s">
        <v>10</v>
      </c>
      <c r="B1165" t="s">
        <v>1199</v>
      </c>
      <c r="C1165" t="s">
        <v>1200</v>
      </c>
      <c r="D1165" t="s">
        <v>1200</v>
      </c>
      <c r="E1165" t="s">
        <v>1201</v>
      </c>
      <c r="F1165" s="2">
        <v>54114</v>
      </c>
      <c r="G1165">
        <v>27</v>
      </c>
      <c r="H1165">
        <v>0</v>
      </c>
      <c r="I1165">
        <v>0.84625004159297879</v>
      </c>
      <c r="J1165">
        <f t="shared" si="36"/>
        <v>0</v>
      </c>
      <c r="K1165">
        <f t="shared" si="37"/>
        <v>0</v>
      </c>
    </row>
    <row r="1166" spans="1:11" x14ac:dyDescent="0.25">
      <c r="A1166" t="s">
        <v>10</v>
      </c>
      <c r="B1166" t="s">
        <v>1202</v>
      </c>
      <c r="C1166" t="s">
        <v>915</v>
      </c>
      <c r="D1166" t="s">
        <v>915</v>
      </c>
      <c r="E1166" t="s">
        <v>916</v>
      </c>
      <c r="F1166" s="3">
        <v>22777</v>
      </c>
      <c r="G1166">
        <v>308</v>
      </c>
      <c r="H1166">
        <v>2</v>
      </c>
      <c r="I1166">
        <v>0.58774670573851617</v>
      </c>
      <c r="J1166">
        <f t="shared" si="36"/>
        <v>6.4935064935064939E-3</v>
      </c>
      <c r="K1166">
        <f t="shared" si="37"/>
        <v>3.8165370502501053E-3</v>
      </c>
    </row>
    <row r="1167" spans="1:11" x14ac:dyDescent="0.25">
      <c r="A1167" t="s">
        <v>10</v>
      </c>
      <c r="B1167" t="s">
        <v>1203</v>
      </c>
      <c r="C1167" t="s">
        <v>921</v>
      </c>
      <c r="D1167" t="s">
        <v>921</v>
      </c>
      <c r="E1167" t="s">
        <v>916</v>
      </c>
      <c r="F1167" s="3">
        <v>23453</v>
      </c>
      <c r="G1167">
        <v>168</v>
      </c>
      <c r="H1167">
        <v>10</v>
      </c>
      <c r="I1167">
        <v>0.15698934911242612</v>
      </c>
      <c r="J1167">
        <f t="shared" si="36"/>
        <v>5.9523809523809521E-2</v>
      </c>
      <c r="K1167">
        <f t="shared" si="37"/>
        <v>9.3446041138348871E-3</v>
      </c>
    </row>
    <row r="1168" spans="1:11" x14ac:dyDescent="0.25">
      <c r="A1168" t="s">
        <v>10</v>
      </c>
      <c r="B1168" t="s">
        <v>1204</v>
      </c>
      <c r="C1168" t="s">
        <v>982</v>
      </c>
      <c r="D1168" t="s">
        <v>982</v>
      </c>
      <c r="E1168" t="s">
        <v>919</v>
      </c>
      <c r="F1168" s="3">
        <v>36144</v>
      </c>
      <c r="G1168">
        <v>109</v>
      </c>
      <c r="H1168">
        <v>0</v>
      </c>
      <c r="I1168">
        <v>0.53045906508264473</v>
      </c>
      <c r="J1168">
        <f t="shared" si="36"/>
        <v>0</v>
      </c>
      <c r="K1168">
        <f t="shared" si="37"/>
        <v>0</v>
      </c>
    </row>
    <row r="1169" spans="1:11" x14ac:dyDescent="0.25">
      <c r="A1169" t="s">
        <v>10</v>
      </c>
      <c r="B1169" t="s">
        <v>1205</v>
      </c>
      <c r="C1169" t="s">
        <v>931</v>
      </c>
      <c r="D1169" t="s">
        <v>931</v>
      </c>
      <c r="E1169" t="s">
        <v>919</v>
      </c>
      <c r="F1169" s="2">
        <v>34257</v>
      </c>
      <c r="G1169">
        <v>96</v>
      </c>
      <c r="H1169">
        <v>0</v>
      </c>
      <c r="I1169">
        <v>0.12469766191883891</v>
      </c>
      <c r="J1169">
        <f t="shared" si="36"/>
        <v>0</v>
      </c>
      <c r="K1169">
        <f t="shared" si="37"/>
        <v>0</v>
      </c>
    </row>
    <row r="1170" spans="1:11" x14ac:dyDescent="0.25">
      <c r="A1170" t="s">
        <v>10</v>
      </c>
      <c r="B1170" t="s">
        <v>1206</v>
      </c>
      <c r="C1170" t="s">
        <v>931</v>
      </c>
      <c r="D1170" t="s">
        <v>931</v>
      </c>
      <c r="E1170" t="s">
        <v>919</v>
      </c>
      <c r="F1170" s="3">
        <v>34261</v>
      </c>
      <c r="G1170">
        <v>421</v>
      </c>
      <c r="H1170">
        <v>0</v>
      </c>
      <c r="I1170">
        <v>0.14179126143126719</v>
      </c>
      <c r="J1170">
        <f t="shared" si="36"/>
        <v>0</v>
      </c>
      <c r="K1170">
        <f t="shared" si="37"/>
        <v>0</v>
      </c>
    </row>
    <row r="1171" spans="1:11" x14ac:dyDescent="0.25">
      <c r="A1171" t="s">
        <v>10</v>
      </c>
      <c r="B1171" t="s">
        <v>1207</v>
      </c>
      <c r="C1171" t="s">
        <v>915</v>
      </c>
      <c r="D1171" t="s">
        <v>915</v>
      </c>
      <c r="E1171" t="s">
        <v>916</v>
      </c>
      <c r="F1171" s="2">
        <v>22527</v>
      </c>
      <c r="G1171">
        <v>635</v>
      </c>
      <c r="H1171">
        <v>4</v>
      </c>
      <c r="I1171">
        <v>0.18912249864791753</v>
      </c>
      <c r="J1171">
        <f t="shared" si="36"/>
        <v>6.2992125984251968E-3</v>
      </c>
      <c r="K1171">
        <f t="shared" si="37"/>
        <v>1.1913228261286144E-3</v>
      </c>
    </row>
    <row r="1172" spans="1:11" x14ac:dyDescent="0.25">
      <c r="A1172" t="s">
        <v>10</v>
      </c>
      <c r="B1172" t="s">
        <v>1208</v>
      </c>
      <c r="C1172" t="s">
        <v>915</v>
      </c>
      <c r="D1172" t="s">
        <v>915</v>
      </c>
      <c r="E1172" t="s">
        <v>916</v>
      </c>
      <c r="F1172" s="3">
        <v>22794</v>
      </c>
      <c r="G1172">
        <v>302</v>
      </c>
      <c r="H1172">
        <v>0</v>
      </c>
      <c r="I1172">
        <v>0.43843821307711639</v>
      </c>
      <c r="J1172">
        <f t="shared" si="36"/>
        <v>0</v>
      </c>
      <c r="K1172">
        <f t="shared" si="37"/>
        <v>0</v>
      </c>
    </row>
    <row r="1173" spans="1:11" x14ac:dyDescent="0.25">
      <c r="A1173" t="s">
        <v>10</v>
      </c>
      <c r="B1173" t="s">
        <v>1209</v>
      </c>
      <c r="C1173" t="s">
        <v>921</v>
      </c>
      <c r="D1173" t="s">
        <v>921</v>
      </c>
      <c r="E1173" t="s">
        <v>916</v>
      </c>
      <c r="F1173" s="3">
        <v>23346</v>
      </c>
      <c r="G1173">
        <v>107</v>
      </c>
      <c r="H1173">
        <v>45</v>
      </c>
      <c r="I1173">
        <v>0.48141798720949303</v>
      </c>
      <c r="J1173">
        <f t="shared" si="36"/>
        <v>0.42056074766355139</v>
      </c>
      <c r="K1173">
        <f t="shared" si="37"/>
        <v>0.20246550863950641</v>
      </c>
    </row>
    <row r="1174" spans="1:11" x14ac:dyDescent="0.25">
      <c r="A1174" t="s">
        <v>10</v>
      </c>
      <c r="B1174" t="s">
        <v>1210</v>
      </c>
      <c r="C1174" t="s">
        <v>921</v>
      </c>
      <c r="D1174" t="s">
        <v>921</v>
      </c>
      <c r="E1174" t="s">
        <v>916</v>
      </c>
      <c r="F1174" s="2">
        <v>23361</v>
      </c>
      <c r="G1174">
        <v>619</v>
      </c>
      <c r="H1174">
        <v>54</v>
      </c>
      <c r="I1174">
        <v>0.26760959104739934</v>
      </c>
      <c r="J1174">
        <f t="shared" si="36"/>
        <v>8.723747980613894E-2</v>
      </c>
      <c r="K1174">
        <f t="shared" si="37"/>
        <v>2.3345586294926599E-2</v>
      </c>
    </row>
    <row r="1175" spans="1:11" x14ac:dyDescent="0.25">
      <c r="A1175" t="s">
        <v>10</v>
      </c>
      <c r="B1175" t="s">
        <v>1211</v>
      </c>
      <c r="C1175" t="s">
        <v>915</v>
      </c>
      <c r="D1175" t="s">
        <v>915</v>
      </c>
      <c r="E1175" t="s">
        <v>916</v>
      </c>
      <c r="F1175" s="3">
        <v>22727</v>
      </c>
      <c r="G1175">
        <v>530</v>
      </c>
      <c r="H1175">
        <v>23</v>
      </c>
      <c r="I1175">
        <v>0.38525665143778554</v>
      </c>
      <c r="J1175">
        <f t="shared" si="36"/>
        <v>4.3396226415094337E-2</v>
      </c>
      <c r="K1175">
        <f t="shared" si="37"/>
        <v>1.6718684873715219E-2</v>
      </c>
    </row>
    <row r="1176" spans="1:11" x14ac:dyDescent="0.25">
      <c r="A1176" t="s">
        <v>10</v>
      </c>
      <c r="B1176" t="s">
        <v>1212</v>
      </c>
      <c r="C1176" t="s">
        <v>921</v>
      </c>
      <c r="D1176" t="s">
        <v>921</v>
      </c>
      <c r="E1176" t="s">
        <v>916</v>
      </c>
      <c r="F1176" s="2">
        <v>23659</v>
      </c>
      <c r="G1176">
        <v>1459</v>
      </c>
      <c r="H1176">
        <v>90</v>
      </c>
      <c r="I1176">
        <v>1.3669366587028664E-2</v>
      </c>
      <c r="J1176">
        <f t="shared" si="36"/>
        <v>6.1686086360520906E-2</v>
      </c>
      <c r="K1176">
        <f t="shared" si="37"/>
        <v>8.4320972778106906E-4</v>
      </c>
    </row>
    <row r="1177" spans="1:11" x14ac:dyDescent="0.25">
      <c r="A1177" t="s">
        <v>10</v>
      </c>
      <c r="B1177" t="s">
        <v>1213</v>
      </c>
      <c r="C1177" t="s">
        <v>921</v>
      </c>
      <c r="D1177" t="s">
        <v>921</v>
      </c>
      <c r="E1177" t="s">
        <v>916</v>
      </c>
      <c r="F1177" s="3">
        <v>23555</v>
      </c>
      <c r="G1177">
        <v>227</v>
      </c>
      <c r="H1177">
        <v>63</v>
      </c>
      <c r="I1177">
        <v>0.31336801942421078</v>
      </c>
      <c r="J1177">
        <f t="shared" si="36"/>
        <v>0.27753303964757708</v>
      </c>
      <c r="K1177">
        <f t="shared" si="37"/>
        <v>8.69699789591422E-2</v>
      </c>
    </row>
    <row r="1178" spans="1:11" x14ac:dyDescent="0.25">
      <c r="A1178" t="s">
        <v>10</v>
      </c>
      <c r="B1178" t="s">
        <v>1214</v>
      </c>
      <c r="C1178" t="s">
        <v>931</v>
      </c>
      <c r="D1178" t="s">
        <v>931</v>
      </c>
      <c r="E1178" t="s">
        <v>919</v>
      </c>
      <c r="F1178" s="2">
        <v>34286</v>
      </c>
      <c r="G1178">
        <v>458</v>
      </c>
      <c r="H1178">
        <v>0</v>
      </c>
      <c r="I1178">
        <v>0.28470166839475919</v>
      </c>
      <c r="J1178">
        <f t="shared" si="36"/>
        <v>0</v>
      </c>
      <c r="K1178">
        <f t="shared" si="37"/>
        <v>0</v>
      </c>
    </row>
    <row r="1179" spans="1:11" x14ac:dyDescent="0.25">
      <c r="A1179" t="s">
        <v>10</v>
      </c>
      <c r="B1179" t="s">
        <v>1215</v>
      </c>
      <c r="C1179" t="s">
        <v>931</v>
      </c>
      <c r="D1179" t="s">
        <v>931</v>
      </c>
      <c r="E1179" t="s">
        <v>919</v>
      </c>
      <c r="F1179" s="3">
        <v>34226</v>
      </c>
      <c r="G1179">
        <v>132</v>
      </c>
      <c r="H1179">
        <v>12</v>
      </c>
      <c r="I1179">
        <v>0.14253320375769352</v>
      </c>
      <c r="J1179">
        <f t="shared" si="36"/>
        <v>9.0909090909090912E-2</v>
      </c>
      <c r="K1179">
        <f t="shared" si="37"/>
        <v>1.2957563977972137E-2</v>
      </c>
    </row>
    <row r="1180" spans="1:11" x14ac:dyDescent="0.25">
      <c r="A1180" t="s">
        <v>10</v>
      </c>
      <c r="B1180" t="s">
        <v>1216</v>
      </c>
      <c r="C1180" t="s">
        <v>918</v>
      </c>
      <c r="D1180" t="s">
        <v>918</v>
      </c>
      <c r="E1180" t="s">
        <v>919</v>
      </c>
      <c r="F1180" s="2">
        <v>37357</v>
      </c>
      <c r="G1180">
        <v>464</v>
      </c>
      <c r="H1180">
        <v>9</v>
      </c>
      <c r="I1180">
        <v>4.1343569563931926E-3</v>
      </c>
      <c r="J1180">
        <f t="shared" si="36"/>
        <v>1.9396551724137932E-2</v>
      </c>
      <c r="K1180">
        <f t="shared" si="37"/>
        <v>8.0192268550730028E-5</v>
      </c>
    </row>
    <row r="1181" spans="1:11" x14ac:dyDescent="0.25">
      <c r="A1181" t="s">
        <v>10</v>
      </c>
      <c r="B1181" t="s">
        <v>1217</v>
      </c>
      <c r="C1181" t="s">
        <v>915</v>
      </c>
      <c r="D1181" t="s">
        <v>915</v>
      </c>
      <c r="E1181" t="s">
        <v>916</v>
      </c>
      <c r="F1181" s="2">
        <v>22683</v>
      </c>
      <c r="G1181">
        <v>169</v>
      </c>
      <c r="H1181">
        <v>0</v>
      </c>
      <c r="I1181">
        <v>0.19606659624767364</v>
      </c>
      <c r="J1181">
        <f t="shared" si="36"/>
        <v>0</v>
      </c>
      <c r="K1181">
        <f t="shared" si="37"/>
        <v>0</v>
      </c>
    </row>
    <row r="1182" spans="1:11" x14ac:dyDescent="0.25">
      <c r="A1182" t="s">
        <v>10</v>
      </c>
      <c r="B1182" t="s">
        <v>1218</v>
      </c>
      <c r="C1182" t="s">
        <v>931</v>
      </c>
      <c r="D1182" t="s">
        <v>931</v>
      </c>
      <c r="E1182" t="s">
        <v>919</v>
      </c>
      <c r="F1182" s="3">
        <v>34361</v>
      </c>
      <c r="G1182">
        <v>122</v>
      </c>
      <c r="H1182">
        <v>0</v>
      </c>
      <c r="I1182">
        <v>0.1476113769508568</v>
      </c>
      <c r="J1182">
        <f t="shared" si="36"/>
        <v>0</v>
      </c>
      <c r="K1182">
        <f t="shared" si="37"/>
        <v>0</v>
      </c>
    </row>
    <row r="1183" spans="1:11" x14ac:dyDescent="0.25">
      <c r="A1183" t="s">
        <v>10</v>
      </c>
      <c r="B1183" t="s">
        <v>1219</v>
      </c>
      <c r="C1183" t="s">
        <v>915</v>
      </c>
      <c r="D1183" t="s">
        <v>915</v>
      </c>
      <c r="E1183" t="s">
        <v>916</v>
      </c>
      <c r="F1183" s="3">
        <v>22563</v>
      </c>
      <c r="G1183">
        <v>372</v>
      </c>
      <c r="H1183">
        <v>0</v>
      </c>
      <c r="I1183">
        <v>0.29351740696278505</v>
      </c>
      <c r="J1183">
        <f t="shared" si="36"/>
        <v>0</v>
      </c>
      <c r="K1183">
        <f t="shared" si="37"/>
        <v>0</v>
      </c>
    </row>
    <row r="1184" spans="1:11" x14ac:dyDescent="0.25">
      <c r="A1184" t="s">
        <v>10</v>
      </c>
      <c r="B1184" t="s">
        <v>1220</v>
      </c>
      <c r="C1184" t="s">
        <v>915</v>
      </c>
      <c r="D1184" t="s">
        <v>915</v>
      </c>
      <c r="E1184" t="s">
        <v>916</v>
      </c>
      <c r="F1184" s="3">
        <v>22587</v>
      </c>
      <c r="G1184">
        <v>508</v>
      </c>
      <c r="H1184">
        <v>0</v>
      </c>
      <c r="I1184">
        <v>0.70615697358352514</v>
      </c>
      <c r="J1184">
        <f t="shared" si="36"/>
        <v>0</v>
      </c>
      <c r="K1184">
        <f t="shared" si="37"/>
        <v>0</v>
      </c>
    </row>
    <row r="1185" spans="1:11" x14ac:dyDescent="0.25">
      <c r="A1185" t="s">
        <v>10</v>
      </c>
      <c r="B1185" t="s">
        <v>1221</v>
      </c>
      <c r="C1185" t="s">
        <v>918</v>
      </c>
      <c r="D1185" t="s">
        <v>918</v>
      </c>
      <c r="E1185" t="s">
        <v>919</v>
      </c>
      <c r="F1185" s="2">
        <v>37358</v>
      </c>
      <c r="G1185">
        <v>556</v>
      </c>
      <c r="H1185">
        <v>0</v>
      </c>
      <c r="I1185">
        <v>0</v>
      </c>
      <c r="J1185">
        <f t="shared" si="36"/>
        <v>0</v>
      </c>
      <c r="K1185">
        <f t="shared" si="37"/>
        <v>0</v>
      </c>
    </row>
    <row r="1186" spans="1:11" x14ac:dyDescent="0.25">
      <c r="A1186" t="s">
        <v>10</v>
      </c>
      <c r="B1186" t="s">
        <v>1222</v>
      </c>
      <c r="C1186" t="s">
        <v>982</v>
      </c>
      <c r="D1186" t="s">
        <v>982</v>
      </c>
      <c r="E1186" t="s">
        <v>919</v>
      </c>
      <c r="F1186" s="3">
        <v>36147</v>
      </c>
      <c r="G1186">
        <v>636</v>
      </c>
      <c r="H1186">
        <v>0</v>
      </c>
      <c r="I1186">
        <v>4.1686272059044072E-2</v>
      </c>
      <c r="J1186">
        <f t="shared" si="36"/>
        <v>0</v>
      </c>
      <c r="K1186">
        <f t="shared" si="37"/>
        <v>0</v>
      </c>
    </row>
    <row r="1187" spans="1:11" x14ac:dyDescent="0.25">
      <c r="A1187" t="s">
        <v>10</v>
      </c>
      <c r="B1187" t="s">
        <v>1223</v>
      </c>
      <c r="C1187" t="s">
        <v>982</v>
      </c>
      <c r="D1187" t="s">
        <v>982</v>
      </c>
      <c r="E1187" t="s">
        <v>919</v>
      </c>
      <c r="F1187" s="2">
        <v>36157</v>
      </c>
      <c r="G1187">
        <v>54</v>
      </c>
      <c r="H1187">
        <v>0</v>
      </c>
      <c r="I1187">
        <v>0.11689597225312864</v>
      </c>
      <c r="J1187">
        <f t="shared" si="36"/>
        <v>0</v>
      </c>
      <c r="K1187">
        <f t="shared" si="37"/>
        <v>0</v>
      </c>
    </row>
    <row r="1188" spans="1:11" x14ac:dyDescent="0.25">
      <c r="A1188" t="s">
        <v>10</v>
      </c>
      <c r="B1188" t="s">
        <v>1224</v>
      </c>
      <c r="C1188" t="s">
        <v>921</v>
      </c>
      <c r="D1188" t="s">
        <v>921</v>
      </c>
      <c r="E1188" t="s">
        <v>916</v>
      </c>
      <c r="F1188" s="2">
        <v>23667</v>
      </c>
      <c r="G1188">
        <v>2678</v>
      </c>
      <c r="H1188">
        <v>162</v>
      </c>
      <c r="I1188">
        <v>0.58730777573885062</v>
      </c>
      <c r="J1188">
        <f t="shared" si="36"/>
        <v>6.0492905153099324E-2</v>
      </c>
      <c r="K1188">
        <f t="shared" si="37"/>
        <v>3.5527953573448019E-2</v>
      </c>
    </row>
    <row r="1189" spans="1:11" x14ac:dyDescent="0.25">
      <c r="A1189" t="s">
        <v>10</v>
      </c>
      <c r="B1189" t="s">
        <v>1225</v>
      </c>
      <c r="C1189" t="s">
        <v>931</v>
      </c>
      <c r="D1189" t="s">
        <v>931</v>
      </c>
      <c r="E1189" t="s">
        <v>919</v>
      </c>
      <c r="F1189" s="2">
        <v>34256</v>
      </c>
      <c r="G1189">
        <v>308</v>
      </c>
      <c r="H1189">
        <v>36</v>
      </c>
      <c r="I1189">
        <v>0.10467863894139884</v>
      </c>
      <c r="J1189">
        <f t="shared" si="36"/>
        <v>0.11688311688311688</v>
      </c>
      <c r="K1189">
        <f t="shared" si="37"/>
        <v>1.2235165590553111E-2</v>
      </c>
    </row>
    <row r="1190" spans="1:11" x14ac:dyDescent="0.25">
      <c r="A1190" t="s">
        <v>10</v>
      </c>
      <c r="B1190" t="s">
        <v>1226</v>
      </c>
      <c r="C1190" t="s">
        <v>915</v>
      </c>
      <c r="D1190" t="s">
        <v>915</v>
      </c>
      <c r="E1190" t="s">
        <v>916</v>
      </c>
      <c r="F1190" s="3">
        <v>22567</v>
      </c>
      <c r="G1190">
        <v>496</v>
      </c>
      <c r="H1190">
        <v>34</v>
      </c>
      <c r="I1190">
        <v>6.8909938504264967E-2</v>
      </c>
      <c r="J1190">
        <f t="shared" si="36"/>
        <v>6.8548387096774188E-2</v>
      </c>
      <c r="K1190">
        <f t="shared" si="37"/>
        <v>4.7236651394052592E-3</v>
      </c>
    </row>
    <row r="1191" spans="1:11" x14ac:dyDescent="0.25">
      <c r="A1191" t="s">
        <v>10</v>
      </c>
      <c r="B1191" t="s">
        <v>1227</v>
      </c>
      <c r="C1191" t="s">
        <v>918</v>
      </c>
      <c r="D1191" t="s">
        <v>918</v>
      </c>
      <c r="E1191" t="s">
        <v>919</v>
      </c>
      <c r="F1191" s="2">
        <v>37325</v>
      </c>
      <c r="G1191">
        <v>3224</v>
      </c>
      <c r="H1191">
        <v>135</v>
      </c>
      <c r="I1191">
        <v>6.4740980168903617E-3</v>
      </c>
      <c r="J1191">
        <f t="shared" si="36"/>
        <v>4.1873449131513647E-2</v>
      </c>
      <c r="K1191">
        <f t="shared" si="37"/>
        <v>2.7109281398269192E-4</v>
      </c>
    </row>
    <row r="1192" spans="1:11" x14ac:dyDescent="0.25">
      <c r="A1192" t="s">
        <v>10</v>
      </c>
      <c r="B1192" t="s">
        <v>1228</v>
      </c>
      <c r="C1192" t="s">
        <v>982</v>
      </c>
      <c r="D1192" t="s">
        <v>982</v>
      </c>
      <c r="E1192" t="s">
        <v>919</v>
      </c>
      <c r="F1192" s="2">
        <v>36121</v>
      </c>
      <c r="G1192">
        <v>801</v>
      </c>
      <c r="H1192">
        <v>0</v>
      </c>
      <c r="I1192">
        <v>9.5111268939393923E-2</v>
      </c>
      <c r="J1192">
        <f t="shared" si="36"/>
        <v>0</v>
      </c>
      <c r="K1192">
        <f t="shared" si="37"/>
        <v>0</v>
      </c>
    </row>
    <row r="1193" spans="1:11" x14ac:dyDescent="0.25">
      <c r="A1193" t="s">
        <v>10</v>
      </c>
      <c r="B1193" t="s">
        <v>1229</v>
      </c>
      <c r="C1193" t="s">
        <v>982</v>
      </c>
      <c r="D1193" t="s">
        <v>982</v>
      </c>
      <c r="E1193" t="s">
        <v>919</v>
      </c>
      <c r="F1193" s="3">
        <v>36191</v>
      </c>
      <c r="G1193">
        <v>543</v>
      </c>
      <c r="H1193">
        <v>0</v>
      </c>
      <c r="I1193">
        <v>0.11525005461955029</v>
      </c>
      <c r="J1193">
        <f t="shared" si="36"/>
        <v>0</v>
      </c>
      <c r="K1193">
        <f t="shared" si="37"/>
        <v>0</v>
      </c>
    </row>
    <row r="1194" spans="1:11" x14ac:dyDescent="0.25">
      <c r="A1194" t="s">
        <v>10</v>
      </c>
      <c r="B1194" t="s">
        <v>1230</v>
      </c>
      <c r="C1194" t="s">
        <v>915</v>
      </c>
      <c r="D1194" t="s">
        <v>915</v>
      </c>
      <c r="E1194" t="s">
        <v>916</v>
      </c>
      <c r="F1194" s="2">
        <v>22471</v>
      </c>
      <c r="G1194">
        <v>1338</v>
      </c>
      <c r="H1194">
        <v>9</v>
      </c>
      <c r="I1194">
        <v>0.38633704699883464</v>
      </c>
      <c r="J1194">
        <f t="shared" si="36"/>
        <v>6.7264573991031393E-3</v>
      </c>
      <c r="K1194">
        <f t="shared" si="37"/>
        <v>2.5986796883329688E-3</v>
      </c>
    </row>
    <row r="1195" spans="1:11" x14ac:dyDescent="0.25">
      <c r="A1195" t="s">
        <v>10</v>
      </c>
      <c r="B1195" t="s">
        <v>1231</v>
      </c>
      <c r="C1195" t="s">
        <v>982</v>
      </c>
      <c r="D1195" t="s">
        <v>982</v>
      </c>
      <c r="E1195" t="s">
        <v>919</v>
      </c>
      <c r="F1195" s="3">
        <v>36187</v>
      </c>
      <c r="G1195">
        <v>6119</v>
      </c>
      <c r="H1195">
        <v>0</v>
      </c>
      <c r="I1195">
        <v>0.13151097235012688</v>
      </c>
      <c r="J1195">
        <f t="shared" si="36"/>
        <v>0</v>
      </c>
      <c r="K1195">
        <f t="shared" si="37"/>
        <v>0</v>
      </c>
    </row>
    <row r="1196" spans="1:11" x14ac:dyDescent="0.25">
      <c r="A1196" t="s">
        <v>10</v>
      </c>
      <c r="B1196" t="s">
        <v>1232</v>
      </c>
      <c r="C1196" t="s">
        <v>982</v>
      </c>
      <c r="D1196" t="s">
        <v>982</v>
      </c>
      <c r="E1196" t="s">
        <v>919</v>
      </c>
      <c r="F1196" s="2">
        <v>36124</v>
      </c>
      <c r="G1196">
        <v>601</v>
      </c>
      <c r="H1196">
        <v>30</v>
      </c>
      <c r="I1196">
        <v>5.1211375421161942E-2</v>
      </c>
      <c r="J1196">
        <f t="shared" si="36"/>
        <v>4.9916805324459232E-2</v>
      </c>
      <c r="K1196">
        <f t="shared" si="37"/>
        <v>2.5563082572959369E-3</v>
      </c>
    </row>
    <row r="1197" spans="1:11" x14ac:dyDescent="0.25">
      <c r="A1197" t="s">
        <v>10</v>
      </c>
      <c r="B1197" t="s">
        <v>1233</v>
      </c>
      <c r="C1197" t="s">
        <v>915</v>
      </c>
      <c r="D1197" t="s">
        <v>915</v>
      </c>
      <c r="E1197" t="s">
        <v>916</v>
      </c>
      <c r="F1197" s="3">
        <v>22591</v>
      </c>
      <c r="G1197">
        <v>426</v>
      </c>
      <c r="H1197">
        <v>9</v>
      </c>
      <c r="I1197">
        <v>0.31701893488466126</v>
      </c>
      <c r="J1197">
        <f t="shared" si="36"/>
        <v>2.1126760563380281E-2</v>
      </c>
      <c r="K1197">
        <f t="shared" si="37"/>
        <v>6.697583131366083E-3</v>
      </c>
    </row>
    <row r="1198" spans="1:11" x14ac:dyDescent="0.25">
      <c r="A1198" t="s">
        <v>10</v>
      </c>
      <c r="B1198" t="s">
        <v>1234</v>
      </c>
      <c r="C1198" t="s">
        <v>915</v>
      </c>
      <c r="D1198" t="s">
        <v>915</v>
      </c>
      <c r="E1198" t="s">
        <v>916</v>
      </c>
      <c r="F1198" s="2">
        <v>22722</v>
      </c>
      <c r="G1198">
        <v>47</v>
      </c>
      <c r="H1198">
        <v>0</v>
      </c>
      <c r="I1198">
        <v>0.20764970757207168</v>
      </c>
      <c r="J1198">
        <f t="shared" si="36"/>
        <v>0</v>
      </c>
      <c r="K1198">
        <f t="shared" si="37"/>
        <v>0</v>
      </c>
    </row>
    <row r="1199" spans="1:11" x14ac:dyDescent="0.25">
      <c r="A1199" t="s">
        <v>10</v>
      </c>
      <c r="B1199" t="s">
        <v>1235</v>
      </c>
      <c r="C1199" t="s">
        <v>921</v>
      </c>
      <c r="D1199" t="s">
        <v>921</v>
      </c>
      <c r="E1199" t="s">
        <v>916</v>
      </c>
      <c r="F1199" s="2">
        <v>23619</v>
      </c>
      <c r="G1199">
        <v>1414</v>
      </c>
      <c r="H1199">
        <v>141</v>
      </c>
      <c r="I1199">
        <v>0.10730243583382892</v>
      </c>
      <c r="J1199">
        <f t="shared" si="36"/>
        <v>9.9717114568599718E-2</v>
      </c>
      <c r="K1199">
        <f t="shared" si="37"/>
        <v>1.0699889287531739E-2</v>
      </c>
    </row>
    <row r="1200" spans="1:11" x14ac:dyDescent="0.25">
      <c r="A1200" t="s">
        <v>10</v>
      </c>
      <c r="B1200" t="s">
        <v>1236</v>
      </c>
      <c r="C1200" t="s">
        <v>931</v>
      </c>
      <c r="D1200" t="s">
        <v>931</v>
      </c>
      <c r="E1200" t="s">
        <v>919</v>
      </c>
      <c r="F1200" s="3">
        <v>34279</v>
      </c>
      <c r="G1200">
        <v>85</v>
      </c>
      <c r="H1200">
        <v>270</v>
      </c>
      <c r="I1200">
        <v>0.19362067154511386</v>
      </c>
      <c r="J1200">
        <f t="shared" si="36"/>
        <v>3.1764705882352939</v>
      </c>
      <c r="K1200">
        <f t="shared" si="37"/>
        <v>0.61503036843742043</v>
      </c>
    </row>
    <row r="1201" spans="1:11" x14ac:dyDescent="0.25">
      <c r="A1201" t="s">
        <v>10</v>
      </c>
      <c r="B1201" t="s">
        <v>1237</v>
      </c>
      <c r="C1201" t="s">
        <v>915</v>
      </c>
      <c r="D1201" t="s">
        <v>915</v>
      </c>
      <c r="E1201" t="s">
        <v>916</v>
      </c>
      <c r="F1201" s="2">
        <v>22543</v>
      </c>
      <c r="G1201">
        <v>1009</v>
      </c>
      <c r="H1201">
        <v>0</v>
      </c>
      <c r="I1201">
        <v>0.19700173057275683</v>
      </c>
      <c r="J1201">
        <f t="shared" si="36"/>
        <v>0</v>
      </c>
      <c r="K1201">
        <f t="shared" si="37"/>
        <v>0</v>
      </c>
    </row>
    <row r="1202" spans="1:11" x14ac:dyDescent="0.25">
      <c r="A1202" t="s">
        <v>10</v>
      </c>
      <c r="B1202" t="s">
        <v>1238</v>
      </c>
      <c r="C1202" t="s">
        <v>918</v>
      </c>
      <c r="D1202" t="s">
        <v>918</v>
      </c>
      <c r="E1202" t="s">
        <v>919</v>
      </c>
      <c r="F1202" s="3">
        <v>37344</v>
      </c>
      <c r="G1202">
        <v>458</v>
      </c>
      <c r="H1202">
        <v>0</v>
      </c>
      <c r="I1202">
        <v>1.0858347749259423E-2</v>
      </c>
      <c r="J1202">
        <f t="shared" si="36"/>
        <v>0</v>
      </c>
      <c r="K1202">
        <f t="shared" si="37"/>
        <v>0</v>
      </c>
    </row>
    <row r="1203" spans="1:11" x14ac:dyDescent="0.25">
      <c r="A1203" t="s">
        <v>10</v>
      </c>
      <c r="B1203" t="s">
        <v>1239</v>
      </c>
      <c r="C1203" t="s">
        <v>982</v>
      </c>
      <c r="D1203" t="s">
        <v>982</v>
      </c>
      <c r="E1203" t="s">
        <v>919</v>
      </c>
      <c r="F1203" s="2">
        <v>36151</v>
      </c>
      <c r="G1203">
        <v>538</v>
      </c>
      <c r="H1203">
        <v>0</v>
      </c>
      <c r="I1203">
        <v>3.6798041963344685E-2</v>
      </c>
      <c r="J1203">
        <f t="shared" si="36"/>
        <v>0</v>
      </c>
      <c r="K1203">
        <f t="shared" si="37"/>
        <v>0</v>
      </c>
    </row>
    <row r="1204" spans="1:11" x14ac:dyDescent="0.25">
      <c r="A1204" t="s">
        <v>10</v>
      </c>
      <c r="B1204" t="s">
        <v>1240</v>
      </c>
      <c r="C1204" t="s">
        <v>982</v>
      </c>
      <c r="D1204" t="s">
        <v>982</v>
      </c>
      <c r="E1204" t="s">
        <v>919</v>
      </c>
      <c r="F1204" s="2">
        <v>36141</v>
      </c>
      <c r="G1204">
        <v>105</v>
      </c>
      <c r="H1204">
        <v>10</v>
      </c>
      <c r="I1204">
        <v>4.6091493383742743E-2</v>
      </c>
      <c r="J1204">
        <f t="shared" si="36"/>
        <v>9.5238095238095233E-2</v>
      </c>
      <c r="K1204">
        <f t="shared" si="37"/>
        <v>4.3896660365469273E-3</v>
      </c>
    </row>
    <row r="1205" spans="1:11" x14ac:dyDescent="0.25">
      <c r="A1205" t="s">
        <v>10</v>
      </c>
      <c r="B1205" t="s">
        <v>1241</v>
      </c>
      <c r="C1205" t="s">
        <v>982</v>
      </c>
      <c r="D1205" t="s">
        <v>982</v>
      </c>
      <c r="E1205" t="s">
        <v>919</v>
      </c>
      <c r="F1205" s="3">
        <v>36114</v>
      </c>
      <c r="G1205">
        <v>138</v>
      </c>
      <c r="H1205">
        <v>0</v>
      </c>
      <c r="I1205">
        <v>0.1254975079780557</v>
      </c>
      <c r="J1205">
        <f t="shared" si="36"/>
        <v>0</v>
      </c>
      <c r="K1205">
        <f t="shared" si="37"/>
        <v>0</v>
      </c>
    </row>
    <row r="1206" spans="1:11" x14ac:dyDescent="0.25">
      <c r="A1206" t="s">
        <v>10</v>
      </c>
      <c r="B1206" t="s">
        <v>1242</v>
      </c>
      <c r="C1206" t="s">
        <v>921</v>
      </c>
      <c r="D1206" t="s">
        <v>921</v>
      </c>
      <c r="E1206" t="s">
        <v>916</v>
      </c>
      <c r="F1206" s="3">
        <v>23441</v>
      </c>
      <c r="G1206">
        <v>563</v>
      </c>
      <c r="H1206">
        <v>0</v>
      </c>
      <c r="I1206">
        <v>0.5615045013850416</v>
      </c>
      <c r="J1206">
        <f t="shared" si="36"/>
        <v>0</v>
      </c>
      <c r="K1206">
        <f t="shared" si="37"/>
        <v>0</v>
      </c>
    </row>
    <row r="1207" spans="1:11" x14ac:dyDescent="0.25">
      <c r="A1207" t="s">
        <v>10</v>
      </c>
      <c r="B1207" t="s">
        <v>1243</v>
      </c>
      <c r="C1207" t="s">
        <v>931</v>
      </c>
      <c r="D1207" t="s">
        <v>931</v>
      </c>
      <c r="E1207" t="s">
        <v>919</v>
      </c>
      <c r="F1207" s="3">
        <v>34244</v>
      </c>
      <c r="G1207">
        <v>88</v>
      </c>
      <c r="H1207">
        <v>0</v>
      </c>
      <c r="I1207">
        <v>8.7990210360701537E-2</v>
      </c>
      <c r="J1207">
        <f t="shared" si="36"/>
        <v>0</v>
      </c>
      <c r="K1207">
        <f t="shared" si="37"/>
        <v>0</v>
      </c>
    </row>
    <row r="1208" spans="1:11" x14ac:dyDescent="0.25">
      <c r="A1208" t="s">
        <v>10</v>
      </c>
      <c r="B1208" t="s">
        <v>1244</v>
      </c>
      <c r="C1208" t="s">
        <v>931</v>
      </c>
      <c r="D1208" t="s">
        <v>931</v>
      </c>
      <c r="E1208" t="s">
        <v>919</v>
      </c>
      <c r="F1208" s="3">
        <v>34381</v>
      </c>
      <c r="G1208">
        <v>794</v>
      </c>
      <c r="H1208">
        <v>0</v>
      </c>
      <c r="I1208">
        <v>0.16799130864197531</v>
      </c>
      <c r="J1208">
        <f t="shared" si="36"/>
        <v>0</v>
      </c>
      <c r="K1208">
        <f t="shared" si="37"/>
        <v>0</v>
      </c>
    </row>
    <row r="1209" spans="1:11" x14ac:dyDescent="0.25">
      <c r="A1209" t="s">
        <v>10</v>
      </c>
      <c r="B1209" t="s">
        <v>1245</v>
      </c>
      <c r="C1209" t="s">
        <v>934</v>
      </c>
      <c r="D1209" t="s">
        <v>934</v>
      </c>
      <c r="E1209" t="s">
        <v>919</v>
      </c>
      <c r="F1209" s="3">
        <v>32195</v>
      </c>
      <c r="G1209">
        <v>36</v>
      </c>
      <c r="H1209">
        <v>135</v>
      </c>
      <c r="I1209">
        <v>0.22476586888657657</v>
      </c>
      <c r="J1209">
        <f t="shared" si="36"/>
        <v>3.75</v>
      </c>
      <c r="K1209">
        <f t="shared" si="37"/>
        <v>0.84287200832466214</v>
      </c>
    </row>
    <row r="1210" spans="1:11" x14ac:dyDescent="0.25">
      <c r="A1210" t="s">
        <v>10</v>
      </c>
      <c r="B1210" t="s">
        <v>1246</v>
      </c>
      <c r="C1210" t="s">
        <v>915</v>
      </c>
      <c r="D1210" t="s">
        <v>915</v>
      </c>
      <c r="E1210" t="s">
        <v>916</v>
      </c>
      <c r="F1210" s="3">
        <v>22714</v>
      </c>
      <c r="G1210">
        <v>94</v>
      </c>
      <c r="H1210">
        <v>0</v>
      </c>
      <c r="I1210">
        <v>0.13748150887573973</v>
      </c>
      <c r="J1210">
        <f t="shared" si="36"/>
        <v>0</v>
      </c>
      <c r="K1210">
        <f t="shared" si="37"/>
        <v>0</v>
      </c>
    </row>
    <row r="1211" spans="1:11" x14ac:dyDescent="0.25">
      <c r="A1211" t="s">
        <v>10</v>
      </c>
      <c r="B1211" t="s">
        <v>1247</v>
      </c>
      <c r="C1211" t="s">
        <v>915</v>
      </c>
      <c r="D1211" t="s">
        <v>915</v>
      </c>
      <c r="E1211" t="s">
        <v>916</v>
      </c>
      <c r="F1211" s="3">
        <v>22787</v>
      </c>
      <c r="G1211">
        <v>72</v>
      </c>
      <c r="H1211">
        <v>18</v>
      </c>
      <c r="I1211">
        <v>0.64871458059673492</v>
      </c>
      <c r="J1211">
        <f t="shared" si="36"/>
        <v>0.25</v>
      </c>
      <c r="K1211">
        <f t="shared" si="37"/>
        <v>0.16217864514918373</v>
      </c>
    </row>
    <row r="1212" spans="1:11" x14ac:dyDescent="0.25">
      <c r="A1212" t="s">
        <v>10</v>
      </c>
      <c r="B1212" t="s">
        <v>1248</v>
      </c>
      <c r="C1212" t="s">
        <v>915</v>
      </c>
      <c r="D1212" t="s">
        <v>915</v>
      </c>
      <c r="E1212" t="s">
        <v>916</v>
      </c>
      <c r="F1212" s="2">
        <v>22519</v>
      </c>
      <c r="G1212">
        <v>73</v>
      </c>
      <c r="H1212">
        <v>0</v>
      </c>
      <c r="I1212">
        <v>0.21854912764003676</v>
      </c>
      <c r="J1212">
        <f t="shared" si="36"/>
        <v>0</v>
      </c>
      <c r="K1212">
        <f t="shared" si="37"/>
        <v>0</v>
      </c>
    </row>
    <row r="1213" spans="1:11" x14ac:dyDescent="0.25">
      <c r="A1213" t="s">
        <v>10</v>
      </c>
      <c r="B1213" t="s">
        <v>1249</v>
      </c>
      <c r="C1213" t="s">
        <v>915</v>
      </c>
      <c r="D1213" t="s">
        <v>915</v>
      </c>
      <c r="E1213" t="s">
        <v>916</v>
      </c>
      <c r="F1213" s="3">
        <v>22791</v>
      </c>
      <c r="G1213">
        <v>264</v>
      </c>
      <c r="H1213">
        <v>0</v>
      </c>
      <c r="I1213">
        <v>0.58686250000000006</v>
      </c>
      <c r="J1213">
        <f t="shared" si="36"/>
        <v>0</v>
      </c>
      <c r="K1213">
        <f t="shared" si="37"/>
        <v>0</v>
      </c>
    </row>
    <row r="1214" spans="1:11" x14ac:dyDescent="0.25">
      <c r="A1214" t="s">
        <v>10</v>
      </c>
      <c r="B1214" t="s">
        <v>1250</v>
      </c>
      <c r="C1214" t="s">
        <v>918</v>
      </c>
      <c r="D1214" t="s">
        <v>918</v>
      </c>
      <c r="E1214" t="s">
        <v>919</v>
      </c>
      <c r="F1214" s="3">
        <v>37367</v>
      </c>
      <c r="G1214">
        <v>394</v>
      </c>
      <c r="H1214">
        <v>0</v>
      </c>
      <c r="I1214">
        <v>5.0968825184949496E-2</v>
      </c>
      <c r="J1214">
        <f t="shared" si="36"/>
        <v>0</v>
      </c>
      <c r="K1214">
        <f t="shared" si="37"/>
        <v>0</v>
      </c>
    </row>
    <row r="1215" spans="1:11" x14ac:dyDescent="0.25">
      <c r="A1215" t="s">
        <v>10</v>
      </c>
      <c r="B1215" t="s">
        <v>1251</v>
      </c>
      <c r="C1215" t="s">
        <v>918</v>
      </c>
      <c r="D1215" t="s">
        <v>918</v>
      </c>
      <c r="E1215" t="s">
        <v>919</v>
      </c>
      <c r="F1215" s="2">
        <v>37327</v>
      </c>
      <c r="G1215">
        <v>1220</v>
      </c>
      <c r="H1215">
        <v>19</v>
      </c>
      <c r="I1215">
        <v>0.14515834245952419</v>
      </c>
      <c r="J1215">
        <f t="shared" si="36"/>
        <v>1.5573770491803279E-2</v>
      </c>
      <c r="K1215">
        <f t="shared" si="37"/>
        <v>2.2606627104352129E-3</v>
      </c>
    </row>
    <row r="1216" spans="1:11" x14ac:dyDescent="0.25">
      <c r="A1216" t="s">
        <v>10</v>
      </c>
      <c r="B1216" t="s">
        <v>1252</v>
      </c>
      <c r="C1216" t="s">
        <v>918</v>
      </c>
      <c r="D1216" t="s">
        <v>918</v>
      </c>
      <c r="E1216" t="s">
        <v>919</v>
      </c>
      <c r="F1216" s="3">
        <v>37345</v>
      </c>
      <c r="G1216">
        <v>970</v>
      </c>
      <c r="H1216">
        <v>96</v>
      </c>
      <c r="I1216">
        <v>5.7388333937167246E-3</v>
      </c>
      <c r="J1216">
        <f t="shared" si="36"/>
        <v>9.8969072164948449E-2</v>
      </c>
      <c r="K1216">
        <f t="shared" si="37"/>
        <v>5.6796701628536656E-4</v>
      </c>
    </row>
    <row r="1217" spans="1:11" x14ac:dyDescent="0.25">
      <c r="A1217" t="s">
        <v>10</v>
      </c>
      <c r="B1217" t="s">
        <v>1253</v>
      </c>
      <c r="C1217" t="s">
        <v>918</v>
      </c>
      <c r="D1217" t="s">
        <v>918</v>
      </c>
      <c r="E1217" t="s">
        <v>919</v>
      </c>
      <c r="F1217" s="2">
        <v>37335</v>
      </c>
      <c r="G1217">
        <v>421</v>
      </c>
      <c r="H1217">
        <v>0</v>
      </c>
      <c r="I1217">
        <v>0.1345817492485416</v>
      </c>
      <c r="J1217">
        <f t="shared" si="36"/>
        <v>0</v>
      </c>
      <c r="K1217">
        <f t="shared" si="37"/>
        <v>0</v>
      </c>
    </row>
    <row r="1218" spans="1:11" x14ac:dyDescent="0.25">
      <c r="A1218" t="s">
        <v>14</v>
      </c>
      <c r="B1218" t="s">
        <v>1254</v>
      </c>
      <c r="C1218" t="s">
        <v>1255</v>
      </c>
      <c r="D1218" t="s">
        <v>1255</v>
      </c>
      <c r="E1218" t="s">
        <v>919</v>
      </c>
      <c r="F1218" s="2">
        <v>31111</v>
      </c>
      <c r="G1218">
        <v>11995</v>
      </c>
      <c r="H1218">
        <v>135</v>
      </c>
      <c r="I1218">
        <v>0.2634269870438668</v>
      </c>
      <c r="J1218">
        <f t="shared" si="36"/>
        <v>1.1254689453939141E-2</v>
      </c>
      <c r="K1218">
        <f t="shared" si="37"/>
        <v>2.9647889329655706E-3</v>
      </c>
    </row>
    <row r="1219" spans="1:11" x14ac:dyDescent="0.25">
      <c r="A1219" t="s">
        <v>14</v>
      </c>
      <c r="B1219" t="s">
        <v>1256</v>
      </c>
      <c r="C1219" t="s">
        <v>918</v>
      </c>
      <c r="D1219" t="s">
        <v>918</v>
      </c>
      <c r="E1219" t="s">
        <v>919</v>
      </c>
      <c r="F1219" s="2">
        <v>37291</v>
      </c>
      <c r="G1219">
        <v>10806</v>
      </c>
      <c r="H1219">
        <v>1985</v>
      </c>
      <c r="I1219">
        <v>0.26021689927080782</v>
      </c>
      <c r="J1219">
        <f t="shared" ref="J1219:J1282" si="38">IF(G1219=0,0,H1219/G1219)</f>
        <v>0.18369424393855266</v>
      </c>
      <c r="K1219">
        <f t="shared" ref="K1219:K1282" si="39">J1219*I1219</f>
        <v>4.7800346571585557E-2</v>
      </c>
    </row>
    <row r="1220" spans="1:11" x14ac:dyDescent="0.25">
      <c r="A1220" t="s">
        <v>14</v>
      </c>
      <c r="B1220" t="s">
        <v>1257</v>
      </c>
      <c r="C1220" t="s">
        <v>991</v>
      </c>
      <c r="D1220" t="s">
        <v>991</v>
      </c>
      <c r="E1220" t="s">
        <v>991</v>
      </c>
      <c r="F1220" s="3">
        <v>35211</v>
      </c>
      <c r="G1220">
        <v>8388</v>
      </c>
      <c r="H1220">
        <v>77</v>
      </c>
      <c r="I1220">
        <v>0.25368873086436833</v>
      </c>
      <c r="J1220">
        <f t="shared" si="38"/>
        <v>9.1797806390081071E-3</v>
      </c>
      <c r="K1220">
        <f t="shared" si="39"/>
        <v>2.3288068999232667E-3</v>
      </c>
    </row>
    <row r="1221" spans="1:11" x14ac:dyDescent="0.25">
      <c r="A1221" t="s">
        <v>14</v>
      </c>
      <c r="B1221" t="s">
        <v>1258</v>
      </c>
      <c r="C1221" t="s">
        <v>1259</v>
      </c>
      <c r="D1221" t="s">
        <v>1259</v>
      </c>
      <c r="E1221" t="s">
        <v>1260</v>
      </c>
      <c r="F1221" s="2">
        <v>51125</v>
      </c>
      <c r="G1221">
        <v>8896</v>
      </c>
      <c r="H1221">
        <v>399</v>
      </c>
      <c r="I1221">
        <v>0.25506024019045243</v>
      </c>
      <c r="J1221">
        <f t="shared" si="38"/>
        <v>4.485161870503597E-2</v>
      </c>
      <c r="K1221">
        <f t="shared" si="39"/>
        <v>1.1439864639837063E-2</v>
      </c>
    </row>
    <row r="1222" spans="1:11" x14ac:dyDescent="0.25">
      <c r="A1222" t="s">
        <v>14</v>
      </c>
      <c r="B1222" t="s">
        <v>1261</v>
      </c>
      <c r="C1222" t="s">
        <v>991</v>
      </c>
      <c r="D1222" t="s">
        <v>991</v>
      </c>
      <c r="E1222" t="s">
        <v>991</v>
      </c>
      <c r="F1222" s="3">
        <v>35416</v>
      </c>
      <c r="G1222">
        <v>7454</v>
      </c>
      <c r="H1222">
        <v>202</v>
      </c>
      <c r="I1222">
        <v>0.25116709757585942</v>
      </c>
      <c r="J1222">
        <f t="shared" si="38"/>
        <v>2.7099543869063589E-2</v>
      </c>
      <c r="K1222">
        <f t="shared" si="39"/>
        <v>6.8065137792223777E-3</v>
      </c>
    </row>
    <row r="1223" spans="1:11" x14ac:dyDescent="0.25">
      <c r="A1223" t="s">
        <v>14</v>
      </c>
      <c r="B1223" t="s">
        <v>1262</v>
      </c>
      <c r="C1223" t="s">
        <v>991</v>
      </c>
      <c r="D1223" t="s">
        <v>991</v>
      </c>
      <c r="E1223" t="s">
        <v>991</v>
      </c>
      <c r="F1223" s="3">
        <v>35269</v>
      </c>
      <c r="G1223">
        <v>6377</v>
      </c>
      <c r="H1223">
        <v>0</v>
      </c>
      <c r="I1223">
        <v>0.2482593898117009</v>
      </c>
      <c r="J1223">
        <f t="shared" si="38"/>
        <v>0</v>
      </c>
      <c r="K1223">
        <f t="shared" si="39"/>
        <v>0</v>
      </c>
    </row>
    <row r="1224" spans="1:11" x14ac:dyDescent="0.25">
      <c r="A1224" t="s">
        <v>14</v>
      </c>
      <c r="B1224" t="s">
        <v>1263</v>
      </c>
      <c r="C1224" t="s">
        <v>1259</v>
      </c>
      <c r="D1224" t="s">
        <v>1259</v>
      </c>
      <c r="E1224" t="s">
        <v>1260</v>
      </c>
      <c r="F1224" s="3">
        <v>51281</v>
      </c>
      <c r="G1224">
        <v>8385</v>
      </c>
      <c r="H1224">
        <v>180</v>
      </c>
      <c r="I1224">
        <v>0.2536806313998442</v>
      </c>
      <c r="J1224">
        <f t="shared" si="38"/>
        <v>2.1466905187835419E-2</v>
      </c>
      <c r="K1224">
        <f t="shared" si="39"/>
        <v>5.4457380622506798E-3</v>
      </c>
    </row>
    <row r="1225" spans="1:11" x14ac:dyDescent="0.25">
      <c r="A1225" t="s">
        <v>14</v>
      </c>
      <c r="B1225" t="s">
        <v>1264</v>
      </c>
      <c r="C1225" t="s">
        <v>991</v>
      </c>
      <c r="D1225" t="s">
        <v>991</v>
      </c>
      <c r="E1225" t="s">
        <v>991</v>
      </c>
      <c r="F1225" s="2">
        <v>35511</v>
      </c>
      <c r="G1225">
        <v>3449</v>
      </c>
      <c r="H1225">
        <v>0</v>
      </c>
      <c r="I1225">
        <v>0.24035431243616126</v>
      </c>
      <c r="J1225">
        <f t="shared" si="38"/>
        <v>0</v>
      </c>
      <c r="K1225">
        <f t="shared" si="39"/>
        <v>0</v>
      </c>
    </row>
    <row r="1226" spans="1:11" x14ac:dyDescent="0.25">
      <c r="A1226" t="s">
        <v>14</v>
      </c>
      <c r="B1226" t="s">
        <v>1265</v>
      </c>
      <c r="C1226" t="s">
        <v>1266</v>
      </c>
      <c r="D1226" t="s">
        <v>1266</v>
      </c>
      <c r="E1226" t="s">
        <v>1201</v>
      </c>
      <c r="F1226" s="2">
        <v>53127</v>
      </c>
      <c r="G1226">
        <v>1661</v>
      </c>
      <c r="H1226">
        <v>40</v>
      </c>
      <c r="I1226">
        <v>0.23552703157978663</v>
      </c>
      <c r="J1226">
        <f t="shared" si="38"/>
        <v>2.4081878386514148E-2</v>
      </c>
      <c r="K1226">
        <f t="shared" si="39"/>
        <v>5.6719333312410993E-3</v>
      </c>
    </row>
    <row r="1227" spans="1:11" x14ac:dyDescent="0.25">
      <c r="A1227" t="s">
        <v>14</v>
      </c>
      <c r="B1227" t="s">
        <v>1267</v>
      </c>
      <c r="C1227" t="s">
        <v>921</v>
      </c>
      <c r="D1227" t="s">
        <v>921</v>
      </c>
      <c r="E1227" t="s">
        <v>916</v>
      </c>
      <c r="F1227" s="3">
        <v>23623</v>
      </c>
      <c r="G1227">
        <v>8142</v>
      </c>
      <c r="H1227">
        <v>315</v>
      </c>
      <c r="I1227">
        <v>0.25302457477339063</v>
      </c>
      <c r="J1227">
        <f t="shared" si="38"/>
        <v>3.8688282977155493E-2</v>
      </c>
      <c r="K1227">
        <f t="shared" si="39"/>
        <v>9.7890863490073757E-3</v>
      </c>
    </row>
    <row r="1228" spans="1:11" x14ac:dyDescent="0.25">
      <c r="A1228" t="s">
        <v>14</v>
      </c>
      <c r="B1228" t="s">
        <v>1268</v>
      </c>
      <c r="C1228" t="s">
        <v>1269</v>
      </c>
      <c r="D1228" t="s">
        <v>1269</v>
      </c>
      <c r="E1228" t="s">
        <v>1270</v>
      </c>
      <c r="F1228" s="2">
        <v>62243</v>
      </c>
      <c r="G1228">
        <v>5741</v>
      </c>
      <c r="H1228">
        <v>0</v>
      </c>
      <c r="I1228">
        <v>0.24654230333258778</v>
      </c>
      <c r="J1228">
        <f t="shared" si="38"/>
        <v>0</v>
      </c>
      <c r="K1228">
        <f t="shared" si="39"/>
        <v>0</v>
      </c>
    </row>
    <row r="1229" spans="1:11" x14ac:dyDescent="0.25">
      <c r="A1229" t="s">
        <v>14</v>
      </c>
      <c r="B1229" t="s">
        <v>1271</v>
      </c>
      <c r="C1229" t="s">
        <v>991</v>
      </c>
      <c r="D1229" t="s">
        <v>991</v>
      </c>
      <c r="E1229" t="s">
        <v>991</v>
      </c>
      <c r="F1229" s="2">
        <v>35515</v>
      </c>
      <c r="G1229">
        <v>1803</v>
      </c>
      <c r="H1229">
        <v>0</v>
      </c>
      <c r="I1229">
        <v>0.23591040623392825</v>
      </c>
      <c r="J1229">
        <f t="shared" si="38"/>
        <v>0</v>
      </c>
      <c r="K1229">
        <f t="shared" si="39"/>
        <v>0</v>
      </c>
    </row>
    <row r="1230" spans="1:11" x14ac:dyDescent="0.25">
      <c r="A1230" t="s">
        <v>14</v>
      </c>
      <c r="B1230" t="s">
        <v>1272</v>
      </c>
      <c r="C1230" t="s">
        <v>991</v>
      </c>
      <c r="D1230" t="s">
        <v>991</v>
      </c>
      <c r="E1230" t="s">
        <v>991</v>
      </c>
      <c r="F1230" s="2">
        <v>35231</v>
      </c>
      <c r="G1230">
        <v>3226</v>
      </c>
      <c r="H1230">
        <v>53</v>
      </c>
      <c r="I1230">
        <v>0.23975225223986846</v>
      </c>
      <c r="J1230">
        <f t="shared" si="38"/>
        <v>1.6429014259144451E-2</v>
      </c>
      <c r="K1230">
        <f t="shared" si="39"/>
        <v>3.9388931707107959E-3</v>
      </c>
    </row>
    <row r="1231" spans="1:11" x14ac:dyDescent="0.25">
      <c r="A1231" t="s">
        <v>14</v>
      </c>
      <c r="B1231" t="s">
        <v>1273</v>
      </c>
      <c r="C1231" t="s">
        <v>921</v>
      </c>
      <c r="D1231" t="s">
        <v>921</v>
      </c>
      <c r="E1231" t="s">
        <v>916</v>
      </c>
      <c r="F1231" s="3">
        <v>23227</v>
      </c>
      <c r="G1231">
        <v>5736</v>
      </c>
      <c r="H1231">
        <v>690</v>
      </c>
      <c r="I1231">
        <v>0.24652880422504758</v>
      </c>
      <c r="J1231">
        <f t="shared" si="38"/>
        <v>0.1202928870292887</v>
      </c>
      <c r="K1231">
        <f t="shared" si="39"/>
        <v>2.965566159610928E-2</v>
      </c>
    </row>
    <row r="1232" spans="1:11" x14ac:dyDescent="0.25">
      <c r="A1232" t="s">
        <v>14</v>
      </c>
      <c r="B1232" t="s">
        <v>1274</v>
      </c>
      <c r="C1232" t="s">
        <v>1275</v>
      </c>
      <c r="D1232" t="s">
        <v>1275</v>
      </c>
      <c r="E1232" t="s">
        <v>916</v>
      </c>
      <c r="F1232" s="2">
        <v>21133</v>
      </c>
      <c r="G1232">
        <v>12221</v>
      </c>
      <c r="H1232">
        <v>889</v>
      </c>
      <c r="I1232">
        <v>0.26403714670468376</v>
      </c>
      <c r="J1232">
        <f t="shared" si="38"/>
        <v>7.2743638000163646E-2</v>
      </c>
      <c r="K1232">
        <f t="shared" si="39"/>
        <v>1.9207022618481617E-2</v>
      </c>
    </row>
    <row r="1233" spans="1:11" x14ac:dyDescent="0.25">
      <c r="A1233" t="s">
        <v>14</v>
      </c>
      <c r="B1233" t="s">
        <v>1276</v>
      </c>
      <c r="C1233" t="s">
        <v>991</v>
      </c>
      <c r="D1233" t="s">
        <v>991</v>
      </c>
      <c r="E1233" t="s">
        <v>991</v>
      </c>
      <c r="F1233" s="3">
        <v>35233</v>
      </c>
      <c r="G1233">
        <v>2393</v>
      </c>
      <c r="H1233">
        <v>0</v>
      </c>
      <c r="I1233">
        <v>0.23750330092367156</v>
      </c>
      <c r="J1233">
        <f t="shared" si="38"/>
        <v>0</v>
      </c>
      <c r="K1233">
        <f t="shared" si="39"/>
        <v>0</v>
      </c>
    </row>
    <row r="1234" spans="1:11" x14ac:dyDescent="0.25">
      <c r="A1234" t="s">
        <v>14</v>
      </c>
      <c r="B1234" t="s">
        <v>1277</v>
      </c>
      <c r="C1234" t="s">
        <v>991</v>
      </c>
      <c r="D1234" t="s">
        <v>991</v>
      </c>
      <c r="E1234" t="s">
        <v>991</v>
      </c>
      <c r="F1234" s="2">
        <v>35219</v>
      </c>
      <c r="G1234">
        <v>2207</v>
      </c>
      <c r="H1234">
        <v>18</v>
      </c>
      <c r="I1234">
        <v>0.23700113412317619</v>
      </c>
      <c r="J1234">
        <f t="shared" si="38"/>
        <v>8.155867693701857E-3</v>
      </c>
      <c r="K1234">
        <f t="shared" si="39"/>
        <v>1.9329498931659136E-3</v>
      </c>
    </row>
    <row r="1235" spans="1:11" x14ac:dyDescent="0.25">
      <c r="A1235" t="s">
        <v>14</v>
      </c>
      <c r="B1235" t="s">
        <v>1278</v>
      </c>
      <c r="C1235" t="s">
        <v>1278</v>
      </c>
      <c r="D1235" t="s">
        <v>1278</v>
      </c>
      <c r="E1235" t="s">
        <v>937</v>
      </c>
      <c r="F1235" s="3">
        <v>73111</v>
      </c>
      <c r="G1235">
        <v>3137</v>
      </c>
      <c r="H1235">
        <v>0</v>
      </c>
      <c r="I1235">
        <v>0.23951196812565292</v>
      </c>
      <c r="J1235">
        <f t="shared" si="38"/>
        <v>0</v>
      </c>
      <c r="K1235">
        <f t="shared" si="39"/>
        <v>0</v>
      </c>
    </row>
    <row r="1236" spans="1:11" x14ac:dyDescent="0.25">
      <c r="A1236" t="s">
        <v>14</v>
      </c>
      <c r="B1236" t="s">
        <v>1279</v>
      </c>
      <c r="C1236" t="s">
        <v>1280</v>
      </c>
      <c r="D1236" t="s">
        <v>1280</v>
      </c>
      <c r="E1236" t="s">
        <v>937</v>
      </c>
      <c r="F1236" s="3">
        <v>74141</v>
      </c>
      <c r="G1236">
        <v>1085</v>
      </c>
      <c r="H1236">
        <v>0</v>
      </c>
      <c r="I1236">
        <v>0.23397193439115588</v>
      </c>
      <c r="J1236">
        <f t="shared" si="38"/>
        <v>0</v>
      </c>
      <c r="K1236">
        <f t="shared" si="39"/>
        <v>0</v>
      </c>
    </row>
    <row r="1237" spans="1:11" x14ac:dyDescent="0.25">
      <c r="A1237" t="s">
        <v>14</v>
      </c>
      <c r="B1237" t="s">
        <v>1281</v>
      </c>
      <c r="C1237" t="s">
        <v>1282</v>
      </c>
      <c r="D1237" t="s">
        <v>1282</v>
      </c>
      <c r="E1237" t="s">
        <v>916</v>
      </c>
      <c r="F1237" s="2">
        <v>24414</v>
      </c>
      <c r="G1237">
        <v>1602</v>
      </c>
      <c r="H1237">
        <v>900</v>
      </c>
      <c r="I1237">
        <v>0.23536774211081229</v>
      </c>
      <c r="J1237">
        <f t="shared" si="38"/>
        <v>0.5617977528089888</v>
      </c>
      <c r="K1237">
        <f t="shared" si="39"/>
        <v>0.13222906860157996</v>
      </c>
    </row>
    <row r="1238" spans="1:11" x14ac:dyDescent="0.25">
      <c r="A1238" t="s">
        <v>14</v>
      </c>
      <c r="B1238" t="s">
        <v>1283</v>
      </c>
      <c r="C1238" t="s">
        <v>1266</v>
      </c>
      <c r="D1238" t="s">
        <v>1266</v>
      </c>
      <c r="E1238" t="s">
        <v>1201</v>
      </c>
      <c r="F1238" s="2">
        <v>53183</v>
      </c>
      <c r="G1238">
        <v>3241</v>
      </c>
      <c r="H1238">
        <v>585</v>
      </c>
      <c r="I1238">
        <v>0.23979274956248905</v>
      </c>
      <c r="J1238">
        <f t="shared" si="38"/>
        <v>0.18049984572662758</v>
      </c>
      <c r="K1238">
        <f t="shared" si="39"/>
        <v>4.3282554302393118E-2</v>
      </c>
    </row>
    <row r="1239" spans="1:11" x14ac:dyDescent="0.25">
      <c r="A1239" t="s">
        <v>14</v>
      </c>
      <c r="B1239" t="s">
        <v>1284</v>
      </c>
      <c r="C1239" t="s">
        <v>1255</v>
      </c>
      <c r="D1239" t="s">
        <v>1255</v>
      </c>
      <c r="E1239" t="s">
        <v>919</v>
      </c>
      <c r="F1239" s="3">
        <v>31186</v>
      </c>
      <c r="G1239">
        <v>12806</v>
      </c>
      <c r="H1239">
        <v>113</v>
      </c>
      <c r="I1239">
        <v>0.26561654228688686</v>
      </c>
      <c r="J1239">
        <f t="shared" si="38"/>
        <v>8.8239887552709669E-3</v>
      </c>
      <c r="K1239">
        <f t="shared" si="39"/>
        <v>2.3437973823534448E-3</v>
      </c>
    </row>
    <row r="1240" spans="1:11" x14ac:dyDescent="0.25">
      <c r="A1240" t="s">
        <v>14</v>
      </c>
      <c r="B1240" t="s">
        <v>1285</v>
      </c>
      <c r="C1240" t="s">
        <v>931</v>
      </c>
      <c r="D1240" t="s">
        <v>931</v>
      </c>
      <c r="E1240" t="s">
        <v>919</v>
      </c>
      <c r="F1240" s="2">
        <v>34336</v>
      </c>
      <c r="G1240">
        <v>1332</v>
      </c>
      <c r="H1240">
        <v>0</v>
      </c>
      <c r="I1240">
        <v>0.23463879030364165</v>
      </c>
      <c r="J1240">
        <f t="shared" si="38"/>
        <v>0</v>
      </c>
      <c r="K1240">
        <f t="shared" si="39"/>
        <v>0</v>
      </c>
    </row>
    <row r="1241" spans="1:11" x14ac:dyDescent="0.25">
      <c r="A1241" t="s">
        <v>14</v>
      </c>
      <c r="B1241" t="s">
        <v>1286</v>
      </c>
      <c r="C1241" t="s">
        <v>1280</v>
      </c>
      <c r="D1241" t="s">
        <v>1280</v>
      </c>
      <c r="E1241" t="s">
        <v>937</v>
      </c>
      <c r="F1241" s="3">
        <v>74111</v>
      </c>
      <c r="G1241">
        <v>7001</v>
      </c>
      <c r="H1241">
        <v>789</v>
      </c>
      <c r="I1241">
        <v>0.24994407843271754</v>
      </c>
      <c r="J1241">
        <f t="shared" si="38"/>
        <v>0.11269818597343237</v>
      </c>
      <c r="K1241">
        <f t="shared" si="39"/>
        <v>2.8168244234168568E-2</v>
      </c>
    </row>
    <row r="1242" spans="1:11" x14ac:dyDescent="0.25">
      <c r="A1242" t="s">
        <v>14</v>
      </c>
      <c r="B1242" t="s">
        <v>1287</v>
      </c>
      <c r="C1242" t="s">
        <v>1288</v>
      </c>
      <c r="D1242" t="s">
        <v>1288</v>
      </c>
      <c r="E1242" t="s">
        <v>1270</v>
      </c>
      <c r="F1242" s="3">
        <v>61496</v>
      </c>
      <c r="G1242">
        <v>2078</v>
      </c>
      <c r="H1242">
        <v>0</v>
      </c>
      <c r="I1242">
        <v>0.2366528571486391</v>
      </c>
      <c r="J1242">
        <f t="shared" si="38"/>
        <v>0</v>
      </c>
      <c r="K1242">
        <f t="shared" si="39"/>
        <v>0</v>
      </c>
    </row>
    <row r="1243" spans="1:11" x14ac:dyDescent="0.25">
      <c r="A1243" t="s">
        <v>14</v>
      </c>
      <c r="B1243" t="s">
        <v>1289</v>
      </c>
      <c r="C1243" t="s">
        <v>937</v>
      </c>
      <c r="D1243" t="s">
        <v>937</v>
      </c>
      <c r="E1243" t="s">
        <v>937</v>
      </c>
      <c r="F1243" s="2">
        <v>71122</v>
      </c>
      <c r="G1243">
        <v>6688</v>
      </c>
      <c r="H1243">
        <v>0</v>
      </c>
      <c r="I1243">
        <v>0.24909903430070118</v>
      </c>
      <c r="J1243">
        <f t="shared" si="38"/>
        <v>0</v>
      </c>
      <c r="K1243">
        <f t="shared" si="39"/>
        <v>0</v>
      </c>
    </row>
    <row r="1244" spans="1:11" x14ac:dyDescent="0.25">
      <c r="A1244" t="s">
        <v>14</v>
      </c>
      <c r="B1244" t="s">
        <v>1290</v>
      </c>
      <c r="C1244" t="s">
        <v>1291</v>
      </c>
      <c r="D1244" t="s">
        <v>1291</v>
      </c>
      <c r="E1244" t="s">
        <v>1260</v>
      </c>
      <c r="F1244" s="3">
        <v>55111</v>
      </c>
      <c r="G1244">
        <v>5817</v>
      </c>
      <c r="H1244">
        <v>850</v>
      </c>
      <c r="I1244">
        <v>0.24674748976719879</v>
      </c>
      <c r="J1244">
        <f t="shared" si="38"/>
        <v>0.14612343132198727</v>
      </c>
      <c r="K1244">
        <f t="shared" si="39"/>
        <v>3.605558987487003E-2</v>
      </c>
    </row>
    <row r="1245" spans="1:11" x14ac:dyDescent="0.25">
      <c r="A1245" t="s">
        <v>14</v>
      </c>
      <c r="B1245" t="s">
        <v>1292</v>
      </c>
      <c r="C1245" t="s">
        <v>934</v>
      </c>
      <c r="D1245" t="s">
        <v>934</v>
      </c>
      <c r="E1245" t="s">
        <v>919</v>
      </c>
      <c r="F1245" s="3">
        <v>32123</v>
      </c>
      <c r="G1245">
        <v>3174</v>
      </c>
      <c r="H1245">
        <v>0</v>
      </c>
      <c r="I1245">
        <v>0.23961186152145039</v>
      </c>
      <c r="J1245">
        <f t="shared" si="38"/>
        <v>0</v>
      </c>
      <c r="K1245">
        <f t="shared" si="39"/>
        <v>0</v>
      </c>
    </row>
    <row r="1246" spans="1:11" x14ac:dyDescent="0.25">
      <c r="A1246" t="s">
        <v>14</v>
      </c>
      <c r="B1246" t="s">
        <v>1293</v>
      </c>
      <c r="C1246" t="s">
        <v>1259</v>
      </c>
      <c r="D1246" t="s">
        <v>1259</v>
      </c>
      <c r="E1246" t="s">
        <v>1260</v>
      </c>
      <c r="F1246" s="3">
        <v>51184</v>
      </c>
      <c r="G1246">
        <v>1617</v>
      </c>
      <c r="H1246">
        <v>450</v>
      </c>
      <c r="I1246">
        <v>0.23540823943343289</v>
      </c>
      <c r="J1246">
        <f t="shared" si="38"/>
        <v>0.2782931354359926</v>
      </c>
      <c r="K1246">
        <f t="shared" si="39"/>
        <v>6.5512497059396907E-2</v>
      </c>
    </row>
    <row r="1247" spans="1:11" x14ac:dyDescent="0.25">
      <c r="A1247" t="s">
        <v>14</v>
      </c>
      <c r="B1247" t="s">
        <v>1294</v>
      </c>
      <c r="C1247" t="s">
        <v>1295</v>
      </c>
      <c r="D1247" t="s">
        <v>1295</v>
      </c>
      <c r="E1247" t="s">
        <v>916</v>
      </c>
      <c r="F1247" s="3">
        <v>26117</v>
      </c>
      <c r="G1247">
        <v>1118</v>
      </c>
      <c r="H1247">
        <v>450</v>
      </c>
      <c r="I1247">
        <v>0.2340610285009212</v>
      </c>
      <c r="J1247">
        <f t="shared" si="38"/>
        <v>0.40250447227191416</v>
      </c>
      <c r="K1247">
        <f t="shared" si="39"/>
        <v>9.421061075618474E-2</v>
      </c>
    </row>
    <row r="1248" spans="1:11" x14ac:dyDescent="0.25">
      <c r="A1248" t="s">
        <v>14</v>
      </c>
      <c r="B1248" t="s">
        <v>1296</v>
      </c>
      <c r="C1248" t="s">
        <v>1297</v>
      </c>
      <c r="D1248" t="s">
        <v>1297</v>
      </c>
      <c r="E1248" t="s">
        <v>919</v>
      </c>
      <c r="F1248" s="3">
        <v>33211</v>
      </c>
      <c r="G1248">
        <v>568</v>
      </c>
      <c r="H1248">
        <v>900</v>
      </c>
      <c r="I1248">
        <v>0.23257612667149946</v>
      </c>
      <c r="J1248">
        <f t="shared" si="38"/>
        <v>1.5845070422535212</v>
      </c>
      <c r="K1248">
        <f t="shared" si="39"/>
        <v>0.3685185105710379</v>
      </c>
    </row>
    <row r="1249" spans="1:11" x14ac:dyDescent="0.25">
      <c r="A1249" t="s">
        <v>14</v>
      </c>
      <c r="B1249" t="s">
        <v>1298</v>
      </c>
      <c r="C1249" t="s">
        <v>937</v>
      </c>
      <c r="D1249" t="s">
        <v>937</v>
      </c>
      <c r="E1249" t="s">
        <v>937</v>
      </c>
      <c r="F1249" s="3">
        <v>71117</v>
      </c>
      <c r="G1249">
        <v>2048</v>
      </c>
      <c r="H1249">
        <v>0</v>
      </c>
      <c r="I1249">
        <v>0.23657186250339793</v>
      </c>
      <c r="J1249">
        <f t="shared" si="38"/>
        <v>0</v>
      </c>
      <c r="K1249">
        <f t="shared" si="39"/>
        <v>0</v>
      </c>
    </row>
    <row r="1250" spans="1:11" x14ac:dyDescent="0.25">
      <c r="A1250" t="s">
        <v>14</v>
      </c>
      <c r="B1250" t="s">
        <v>1299</v>
      </c>
      <c r="C1250" t="s">
        <v>1259</v>
      </c>
      <c r="D1250" t="s">
        <v>1259</v>
      </c>
      <c r="E1250" t="s">
        <v>1260</v>
      </c>
      <c r="F1250" s="2">
        <v>51177</v>
      </c>
      <c r="G1250">
        <v>1360</v>
      </c>
      <c r="H1250">
        <v>22</v>
      </c>
      <c r="I1250">
        <v>0.23471438530586675</v>
      </c>
      <c r="J1250">
        <f t="shared" si="38"/>
        <v>1.6176470588235296E-2</v>
      </c>
      <c r="K1250">
        <f t="shared" si="39"/>
        <v>3.7968503505360802E-3</v>
      </c>
    </row>
    <row r="1251" spans="1:11" x14ac:dyDescent="0.25">
      <c r="A1251" t="s">
        <v>14</v>
      </c>
      <c r="B1251" t="s">
        <v>1300</v>
      </c>
      <c r="C1251" t="s">
        <v>1269</v>
      </c>
      <c r="D1251" t="s">
        <v>1269</v>
      </c>
      <c r="E1251" t="s">
        <v>1270</v>
      </c>
      <c r="F1251" s="3">
        <v>62245</v>
      </c>
      <c r="G1251">
        <v>4696</v>
      </c>
      <c r="H1251">
        <v>0</v>
      </c>
      <c r="I1251">
        <v>0.2437209898566865</v>
      </c>
      <c r="J1251">
        <f t="shared" si="38"/>
        <v>0</v>
      </c>
      <c r="K1251">
        <f t="shared" si="39"/>
        <v>0</v>
      </c>
    </row>
    <row r="1252" spans="1:11" x14ac:dyDescent="0.25">
      <c r="A1252" t="s">
        <v>14</v>
      </c>
      <c r="B1252" t="s">
        <v>1301</v>
      </c>
      <c r="C1252" t="s">
        <v>1297</v>
      </c>
      <c r="D1252" t="s">
        <v>1297</v>
      </c>
      <c r="E1252" t="s">
        <v>919</v>
      </c>
      <c r="F1252" s="2">
        <v>33115</v>
      </c>
      <c r="G1252">
        <v>4084</v>
      </c>
      <c r="H1252">
        <v>0</v>
      </c>
      <c r="I1252">
        <v>0.24206869909376633</v>
      </c>
      <c r="J1252">
        <f t="shared" si="38"/>
        <v>0</v>
      </c>
      <c r="K1252">
        <f t="shared" si="39"/>
        <v>0</v>
      </c>
    </row>
    <row r="1253" spans="1:11" x14ac:dyDescent="0.25">
      <c r="A1253" t="s">
        <v>14</v>
      </c>
      <c r="B1253" t="s">
        <v>1302</v>
      </c>
      <c r="C1253" t="s">
        <v>1266</v>
      </c>
      <c r="D1253" t="s">
        <v>1266</v>
      </c>
      <c r="E1253" t="s">
        <v>1201</v>
      </c>
      <c r="F1253" s="2">
        <v>53257</v>
      </c>
      <c r="G1253">
        <v>852</v>
      </c>
      <c r="H1253">
        <v>113</v>
      </c>
      <c r="I1253">
        <v>0.23334287597978268</v>
      </c>
      <c r="J1253">
        <f t="shared" si="38"/>
        <v>0.13262910798122066</v>
      </c>
      <c r="K1253">
        <f t="shared" si="39"/>
        <v>3.0948057494971176E-2</v>
      </c>
    </row>
    <row r="1254" spans="1:11" x14ac:dyDescent="0.25">
      <c r="A1254" t="s">
        <v>14</v>
      </c>
      <c r="B1254" t="s">
        <v>1303</v>
      </c>
      <c r="C1254" t="s">
        <v>1259</v>
      </c>
      <c r="D1254" t="s">
        <v>1259</v>
      </c>
      <c r="E1254" t="s">
        <v>1260</v>
      </c>
      <c r="F1254" s="3">
        <v>51133</v>
      </c>
      <c r="G1254">
        <v>4328</v>
      </c>
      <c r="H1254">
        <v>0</v>
      </c>
      <c r="I1254">
        <v>0.24272745554172798</v>
      </c>
      <c r="J1254">
        <f t="shared" si="38"/>
        <v>0</v>
      </c>
      <c r="K1254">
        <f t="shared" si="39"/>
        <v>0</v>
      </c>
    </row>
    <row r="1255" spans="1:11" x14ac:dyDescent="0.25">
      <c r="A1255" t="s">
        <v>14</v>
      </c>
      <c r="B1255" t="s">
        <v>1304</v>
      </c>
      <c r="C1255" t="s">
        <v>991</v>
      </c>
      <c r="D1255" t="s">
        <v>991</v>
      </c>
      <c r="E1255" t="s">
        <v>991</v>
      </c>
      <c r="F1255" s="2">
        <v>35259</v>
      </c>
      <c r="G1255">
        <v>535</v>
      </c>
      <c r="H1255">
        <v>23</v>
      </c>
      <c r="I1255">
        <v>0.23248703256173417</v>
      </c>
      <c r="J1255">
        <f t="shared" si="38"/>
        <v>4.2990654205607479E-2</v>
      </c>
      <c r="K1255">
        <f t="shared" si="39"/>
        <v>9.9947696241493196E-3</v>
      </c>
    </row>
    <row r="1256" spans="1:11" x14ac:dyDescent="0.25">
      <c r="A1256" t="s">
        <v>14</v>
      </c>
      <c r="B1256" t="s">
        <v>1305</v>
      </c>
      <c r="C1256" t="s">
        <v>1259</v>
      </c>
      <c r="D1256" t="s">
        <v>1259</v>
      </c>
      <c r="E1256" t="s">
        <v>1260</v>
      </c>
      <c r="F1256" s="3">
        <v>51354</v>
      </c>
      <c r="G1256">
        <v>1153</v>
      </c>
      <c r="H1256">
        <v>0</v>
      </c>
      <c r="I1256">
        <v>0.23415552225370256</v>
      </c>
      <c r="J1256">
        <f t="shared" si="38"/>
        <v>0</v>
      </c>
      <c r="K1256">
        <f t="shared" si="39"/>
        <v>0</v>
      </c>
    </row>
    <row r="1257" spans="1:11" x14ac:dyDescent="0.25">
      <c r="A1257" t="s">
        <v>14</v>
      </c>
      <c r="B1257" t="s">
        <v>1306</v>
      </c>
      <c r="C1257" t="s">
        <v>1307</v>
      </c>
      <c r="D1257" t="s">
        <v>1307</v>
      </c>
      <c r="E1257" t="s">
        <v>916</v>
      </c>
      <c r="F1257" s="3">
        <v>25415</v>
      </c>
      <c r="G1257">
        <v>4543</v>
      </c>
      <c r="H1257">
        <v>32</v>
      </c>
      <c r="I1257">
        <v>0.24330791716595646</v>
      </c>
      <c r="J1257">
        <f t="shared" si="38"/>
        <v>7.0438036539731451E-3</v>
      </c>
      <c r="K1257">
        <f t="shared" si="39"/>
        <v>1.7138131959741594E-3</v>
      </c>
    </row>
    <row r="1258" spans="1:11" x14ac:dyDescent="0.25">
      <c r="A1258" t="s">
        <v>14</v>
      </c>
      <c r="B1258" t="s">
        <v>1308</v>
      </c>
      <c r="C1258" t="s">
        <v>937</v>
      </c>
      <c r="D1258" t="s">
        <v>937</v>
      </c>
      <c r="E1258" t="s">
        <v>937</v>
      </c>
      <c r="F1258" s="3">
        <v>71374</v>
      </c>
      <c r="G1258">
        <v>5855</v>
      </c>
      <c r="H1258">
        <v>0</v>
      </c>
      <c r="I1258">
        <v>0.24685008298450428</v>
      </c>
      <c r="J1258">
        <f t="shared" si="38"/>
        <v>0</v>
      </c>
      <c r="K1258">
        <f t="shared" si="39"/>
        <v>0</v>
      </c>
    </row>
    <row r="1259" spans="1:11" x14ac:dyDescent="0.25">
      <c r="A1259" t="s">
        <v>14</v>
      </c>
      <c r="B1259" t="s">
        <v>1309</v>
      </c>
      <c r="C1259" t="s">
        <v>937</v>
      </c>
      <c r="D1259" t="s">
        <v>937</v>
      </c>
      <c r="E1259" t="s">
        <v>937</v>
      </c>
      <c r="F1259" s="3">
        <v>71211</v>
      </c>
      <c r="G1259">
        <v>3835</v>
      </c>
      <c r="H1259">
        <v>0</v>
      </c>
      <c r="I1259">
        <v>0.2413964435382645</v>
      </c>
      <c r="J1259">
        <f t="shared" si="38"/>
        <v>0</v>
      </c>
      <c r="K1259">
        <f t="shared" si="39"/>
        <v>0</v>
      </c>
    </row>
    <row r="1260" spans="1:11" x14ac:dyDescent="0.25">
      <c r="A1260" t="s">
        <v>14</v>
      </c>
      <c r="B1260" t="s">
        <v>1310</v>
      </c>
      <c r="C1260" t="s">
        <v>1288</v>
      </c>
      <c r="D1260" t="s">
        <v>1288</v>
      </c>
      <c r="E1260" t="s">
        <v>1270</v>
      </c>
      <c r="F1260" s="2">
        <v>61469</v>
      </c>
      <c r="G1260">
        <v>646</v>
      </c>
      <c r="H1260">
        <v>0</v>
      </c>
      <c r="I1260">
        <v>0.23278671274912655</v>
      </c>
      <c r="J1260">
        <f t="shared" si="38"/>
        <v>0</v>
      </c>
      <c r="K1260">
        <f t="shared" si="39"/>
        <v>0</v>
      </c>
    </row>
    <row r="1261" spans="1:11" x14ac:dyDescent="0.25">
      <c r="A1261" t="s">
        <v>14</v>
      </c>
      <c r="B1261" t="s">
        <v>1311</v>
      </c>
      <c r="C1261" t="s">
        <v>1266</v>
      </c>
      <c r="D1261" t="s">
        <v>1266</v>
      </c>
      <c r="E1261" t="s">
        <v>1201</v>
      </c>
      <c r="F1261" s="3">
        <v>53115</v>
      </c>
      <c r="G1261">
        <v>929</v>
      </c>
      <c r="H1261">
        <v>0</v>
      </c>
      <c r="I1261">
        <v>0.23355076223590171</v>
      </c>
      <c r="J1261">
        <f t="shared" si="38"/>
        <v>0</v>
      </c>
      <c r="K1261">
        <f t="shared" si="39"/>
        <v>0</v>
      </c>
    </row>
    <row r="1262" spans="1:11" x14ac:dyDescent="0.25">
      <c r="A1262" t="s">
        <v>14</v>
      </c>
      <c r="B1262" t="s">
        <v>1312</v>
      </c>
      <c r="C1262" t="s">
        <v>991</v>
      </c>
      <c r="D1262" t="s">
        <v>991</v>
      </c>
      <c r="E1262" t="s">
        <v>991</v>
      </c>
      <c r="F1262" s="3">
        <v>35411</v>
      </c>
      <c r="G1262">
        <v>1964</v>
      </c>
      <c r="H1262">
        <v>0</v>
      </c>
      <c r="I1262">
        <v>0.23634507749672259</v>
      </c>
      <c r="J1262">
        <f t="shared" si="38"/>
        <v>0</v>
      </c>
      <c r="K1262">
        <f t="shared" si="39"/>
        <v>0</v>
      </c>
    </row>
    <row r="1263" spans="1:11" x14ac:dyDescent="0.25">
      <c r="A1263" t="s">
        <v>14</v>
      </c>
      <c r="B1263" t="s">
        <v>1313</v>
      </c>
      <c r="C1263" t="s">
        <v>1288</v>
      </c>
      <c r="D1263" t="s">
        <v>1288</v>
      </c>
      <c r="E1263" t="s">
        <v>1270</v>
      </c>
      <c r="F1263" s="3">
        <v>61412</v>
      </c>
      <c r="G1263">
        <v>694</v>
      </c>
      <c r="H1263">
        <v>40</v>
      </c>
      <c r="I1263">
        <v>0.23291630418151243</v>
      </c>
      <c r="J1263">
        <f t="shared" si="38"/>
        <v>5.7636887608069162E-2</v>
      </c>
      <c r="K1263">
        <f t="shared" si="39"/>
        <v>1.3424570846196682E-2</v>
      </c>
    </row>
    <row r="1264" spans="1:11" x14ac:dyDescent="0.25">
      <c r="A1264" t="s">
        <v>14</v>
      </c>
      <c r="B1264" t="s">
        <v>1314</v>
      </c>
      <c r="C1264" t="s">
        <v>1315</v>
      </c>
      <c r="D1264" t="s">
        <v>1315</v>
      </c>
      <c r="E1264" t="s">
        <v>1315</v>
      </c>
      <c r="F1264" s="3">
        <v>10999</v>
      </c>
      <c r="G1264">
        <v>272</v>
      </c>
      <c r="H1264">
        <v>45</v>
      </c>
      <c r="I1264">
        <v>0.23177697950511977</v>
      </c>
      <c r="J1264">
        <f t="shared" si="38"/>
        <v>0.16544117647058823</v>
      </c>
      <c r="K1264">
        <f t="shared" si="39"/>
        <v>3.8345456168126429E-2</v>
      </c>
    </row>
    <row r="1265" spans="1:11" x14ac:dyDescent="0.25">
      <c r="A1265" t="s">
        <v>14</v>
      </c>
      <c r="B1265" t="s">
        <v>1316</v>
      </c>
      <c r="C1265" t="s">
        <v>934</v>
      </c>
      <c r="D1265" t="s">
        <v>934</v>
      </c>
      <c r="E1265" t="s">
        <v>919</v>
      </c>
      <c r="F1265" s="3">
        <v>32167</v>
      </c>
      <c r="G1265">
        <v>814</v>
      </c>
      <c r="H1265">
        <v>45</v>
      </c>
      <c r="I1265">
        <v>0.23324028276247719</v>
      </c>
      <c r="J1265">
        <f t="shared" si="38"/>
        <v>5.5282555282555282E-2</v>
      </c>
      <c r="K1265">
        <f t="shared" si="39"/>
        <v>1.2894118825935471E-2</v>
      </c>
    </row>
    <row r="1266" spans="1:11" x14ac:dyDescent="0.25">
      <c r="A1266" t="s">
        <v>14</v>
      </c>
      <c r="B1266" t="s">
        <v>1317</v>
      </c>
      <c r="C1266" t="s">
        <v>1297</v>
      </c>
      <c r="D1266" t="s">
        <v>1297</v>
      </c>
      <c r="E1266" t="s">
        <v>919</v>
      </c>
      <c r="F1266" s="2">
        <v>33121</v>
      </c>
      <c r="G1266">
        <v>1748</v>
      </c>
      <c r="H1266">
        <v>0</v>
      </c>
      <c r="I1266">
        <v>0.23576191605098606</v>
      </c>
      <c r="J1266">
        <f t="shared" si="38"/>
        <v>0</v>
      </c>
      <c r="K1266">
        <f t="shared" si="39"/>
        <v>0</v>
      </c>
    </row>
    <row r="1267" spans="1:11" x14ac:dyDescent="0.25">
      <c r="A1267" t="s">
        <v>14</v>
      </c>
      <c r="B1267" t="s">
        <v>1318</v>
      </c>
      <c r="C1267" t="s">
        <v>937</v>
      </c>
      <c r="D1267" t="s">
        <v>937</v>
      </c>
      <c r="E1267" t="s">
        <v>937</v>
      </c>
      <c r="F1267" s="3">
        <v>71177</v>
      </c>
      <c r="G1267">
        <v>2962</v>
      </c>
      <c r="H1267">
        <v>0</v>
      </c>
      <c r="I1267">
        <v>0.23903949936174601</v>
      </c>
      <c r="J1267">
        <f t="shared" si="38"/>
        <v>0</v>
      </c>
      <c r="K1267">
        <f t="shared" si="39"/>
        <v>0</v>
      </c>
    </row>
    <row r="1268" spans="1:11" x14ac:dyDescent="0.25">
      <c r="A1268" t="s">
        <v>14</v>
      </c>
      <c r="B1268" t="s">
        <v>1319</v>
      </c>
      <c r="C1268" t="s">
        <v>934</v>
      </c>
      <c r="D1268" t="s">
        <v>934</v>
      </c>
      <c r="E1268" t="s">
        <v>919</v>
      </c>
      <c r="F1268" s="3">
        <v>32115</v>
      </c>
      <c r="G1268">
        <v>1420</v>
      </c>
      <c r="H1268">
        <v>135</v>
      </c>
      <c r="I1268">
        <v>0.23487637459634911</v>
      </c>
      <c r="J1268">
        <f t="shared" si="38"/>
        <v>9.5070422535211266E-2</v>
      </c>
      <c r="K1268">
        <f t="shared" si="39"/>
        <v>2.232979617641347E-2</v>
      </c>
    </row>
    <row r="1269" spans="1:11" x14ac:dyDescent="0.25">
      <c r="A1269" t="s">
        <v>14</v>
      </c>
      <c r="B1269" t="s">
        <v>1320</v>
      </c>
      <c r="C1269" t="s">
        <v>921</v>
      </c>
      <c r="D1269" t="s">
        <v>921</v>
      </c>
      <c r="E1269" t="s">
        <v>916</v>
      </c>
      <c r="F1269" s="3">
        <v>23433</v>
      </c>
      <c r="G1269">
        <v>2839</v>
      </c>
      <c r="H1269">
        <v>641</v>
      </c>
      <c r="I1269">
        <v>0.23870742131625716</v>
      </c>
      <c r="J1269">
        <f t="shared" si="38"/>
        <v>0.22578372666431842</v>
      </c>
      <c r="K1269">
        <f t="shared" si="39"/>
        <v>5.3896251167214103E-2</v>
      </c>
    </row>
    <row r="1270" spans="1:11" x14ac:dyDescent="0.25">
      <c r="A1270" t="s">
        <v>14</v>
      </c>
      <c r="B1270" t="s">
        <v>1321</v>
      </c>
      <c r="C1270" t="s">
        <v>991</v>
      </c>
      <c r="D1270" t="s">
        <v>991</v>
      </c>
      <c r="E1270" t="s">
        <v>991</v>
      </c>
      <c r="F1270" s="2">
        <v>35445</v>
      </c>
      <c r="G1270">
        <v>774</v>
      </c>
      <c r="H1270">
        <v>117</v>
      </c>
      <c r="I1270">
        <v>0.23313228990215559</v>
      </c>
      <c r="J1270">
        <f t="shared" si="38"/>
        <v>0.15116279069767441</v>
      </c>
      <c r="K1270">
        <f t="shared" si="39"/>
        <v>3.52409275433491E-2</v>
      </c>
    </row>
    <row r="1271" spans="1:11" x14ac:dyDescent="0.25">
      <c r="A1271" t="s">
        <v>14</v>
      </c>
      <c r="B1271" t="s">
        <v>1322</v>
      </c>
      <c r="C1271" t="s">
        <v>1323</v>
      </c>
      <c r="D1271" t="s">
        <v>1323</v>
      </c>
      <c r="E1271" t="s">
        <v>1260</v>
      </c>
      <c r="F1271" s="2">
        <v>52244</v>
      </c>
      <c r="G1271">
        <v>3702</v>
      </c>
      <c r="H1271">
        <v>0</v>
      </c>
      <c r="I1271">
        <v>0.24103736727769526</v>
      </c>
      <c r="J1271">
        <f t="shared" si="38"/>
        <v>0</v>
      </c>
      <c r="K1271">
        <f t="shared" si="39"/>
        <v>0</v>
      </c>
    </row>
    <row r="1272" spans="1:11" x14ac:dyDescent="0.25">
      <c r="A1272" t="s">
        <v>14</v>
      </c>
      <c r="B1272" t="s">
        <v>1324</v>
      </c>
      <c r="C1272" t="s">
        <v>921</v>
      </c>
      <c r="D1272" t="s">
        <v>921</v>
      </c>
      <c r="E1272" t="s">
        <v>916</v>
      </c>
      <c r="F1272" s="3">
        <v>23461</v>
      </c>
      <c r="G1272">
        <v>202</v>
      </c>
      <c r="H1272">
        <v>0</v>
      </c>
      <c r="I1272">
        <v>0.23158799199955701</v>
      </c>
      <c r="J1272">
        <f t="shared" si="38"/>
        <v>0</v>
      </c>
      <c r="K1272">
        <f t="shared" si="39"/>
        <v>0</v>
      </c>
    </row>
    <row r="1273" spans="1:11" x14ac:dyDescent="0.25">
      <c r="A1273" t="s">
        <v>14</v>
      </c>
      <c r="B1273" t="s">
        <v>1325</v>
      </c>
      <c r="C1273" t="s">
        <v>915</v>
      </c>
      <c r="D1273" t="s">
        <v>915</v>
      </c>
      <c r="E1273" t="s">
        <v>916</v>
      </c>
      <c r="F1273" s="2">
        <v>22343</v>
      </c>
      <c r="G1273">
        <v>3678</v>
      </c>
      <c r="H1273">
        <v>90</v>
      </c>
      <c r="I1273">
        <v>0.24097257156150231</v>
      </c>
      <c r="J1273">
        <f t="shared" si="38"/>
        <v>2.4469820554649267E-2</v>
      </c>
      <c r="K1273">
        <f t="shared" si="39"/>
        <v>5.8965555847023407E-3</v>
      </c>
    </row>
    <row r="1274" spans="1:11" x14ac:dyDescent="0.25">
      <c r="A1274" t="s">
        <v>14</v>
      </c>
      <c r="B1274" t="s">
        <v>1326</v>
      </c>
      <c r="C1274" t="s">
        <v>991</v>
      </c>
      <c r="D1274" t="s">
        <v>991</v>
      </c>
      <c r="E1274" t="s">
        <v>991</v>
      </c>
      <c r="F1274" s="3">
        <v>35158</v>
      </c>
      <c r="G1274">
        <v>1165</v>
      </c>
      <c r="H1274">
        <v>0</v>
      </c>
      <c r="I1274">
        <v>0.23418792011179904</v>
      </c>
      <c r="J1274">
        <f t="shared" si="38"/>
        <v>0</v>
      </c>
      <c r="K1274">
        <f t="shared" si="39"/>
        <v>0</v>
      </c>
    </row>
    <row r="1275" spans="1:11" x14ac:dyDescent="0.25">
      <c r="A1275" t="s">
        <v>14</v>
      </c>
      <c r="B1275" t="s">
        <v>1327</v>
      </c>
      <c r="C1275" t="s">
        <v>991</v>
      </c>
      <c r="D1275" t="s">
        <v>991</v>
      </c>
      <c r="E1275" t="s">
        <v>991</v>
      </c>
      <c r="F1275" s="2">
        <v>35223</v>
      </c>
      <c r="G1275">
        <v>500</v>
      </c>
      <c r="H1275">
        <v>0</v>
      </c>
      <c r="I1275">
        <v>0.23239253880895278</v>
      </c>
      <c r="J1275">
        <f t="shared" si="38"/>
        <v>0</v>
      </c>
      <c r="K1275">
        <f t="shared" si="39"/>
        <v>0</v>
      </c>
    </row>
    <row r="1276" spans="1:11" x14ac:dyDescent="0.25">
      <c r="A1276" t="s">
        <v>14</v>
      </c>
      <c r="B1276" t="s">
        <v>1328</v>
      </c>
      <c r="C1276" t="s">
        <v>991</v>
      </c>
      <c r="D1276" t="s">
        <v>991</v>
      </c>
      <c r="E1276" t="s">
        <v>991</v>
      </c>
      <c r="F1276" s="3">
        <v>35518</v>
      </c>
      <c r="G1276">
        <v>828</v>
      </c>
      <c r="H1276">
        <v>293</v>
      </c>
      <c r="I1276">
        <v>0.23327808026358973</v>
      </c>
      <c r="J1276">
        <f t="shared" si="38"/>
        <v>0.35386473429951693</v>
      </c>
      <c r="K1276">
        <f t="shared" si="39"/>
        <v>8.2548885890376567E-2</v>
      </c>
    </row>
    <row r="1277" spans="1:11" x14ac:dyDescent="0.25">
      <c r="A1277" t="s">
        <v>14</v>
      </c>
      <c r="B1277" t="s">
        <v>1329</v>
      </c>
      <c r="C1277" t="s">
        <v>1295</v>
      </c>
      <c r="D1277" t="s">
        <v>1295</v>
      </c>
      <c r="E1277" t="s">
        <v>916</v>
      </c>
      <c r="F1277" s="3">
        <v>26284</v>
      </c>
      <c r="G1277">
        <v>1727</v>
      </c>
      <c r="H1277">
        <v>270</v>
      </c>
      <c r="I1277">
        <v>0.23570521979931724</v>
      </c>
      <c r="J1277">
        <f t="shared" si="38"/>
        <v>0.1563404748118124</v>
      </c>
      <c r="K1277">
        <f t="shared" si="39"/>
        <v>3.6850265979047864E-2</v>
      </c>
    </row>
    <row r="1278" spans="1:11" x14ac:dyDescent="0.25">
      <c r="A1278" t="s">
        <v>14</v>
      </c>
      <c r="B1278" t="s">
        <v>1330</v>
      </c>
      <c r="C1278" t="s">
        <v>1288</v>
      </c>
      <c r="D1278" t="s">
        <v>1288</v>
      </c>
      <c r="E1278" t="s">
        <v>1270</v>
      </c>
      <c r="F1278" s="2">
        <v>61415</v>
      </c>
      <c r="G1278">
        <v>530</v>
      </c>
      <c r="H1278">
        <v>0</v>
      </c>
      <c r="I1278">
        <v>0.23247353345419397</v>
      </c>
      <c r="J1278">
        <f t="shared" si="38"/>
        <v>0</v>
      </c>
      <c r="K1278">
        <f t="shared" si="39"/>
        <v>0</v>
      </c>
    </row>
    <row r="1279" spans="1:11" x14ac:dyDescent="0.25">
      <c r="A1279" t="s">
        <v>14</v>
      </c>
      <c r="B1279" t="s">
        <v>1331</v>
      </c>
      <c r="C1279" t="s">
        <v>1332</v>
      </c>
      <c r="D1279" t="s">
        <v>1332</v>
      </c>
      <c r="E1279" t="s">
        <v>1270</v>
      </c>
      <c r="F1279" s="2">
        <v>63319</v>
      </c>
      <c r="G1279">
        <v>1215</v>
      </c>
      <c r="H1279">
        <v>0</v>
      </c>
      <c r="I1279">
        <v>0.23432291118720103</v>
      </c>
      <c r="J1279">
        <f t="shared" si="38"/>
        <v>0</v>
      </c>
      <c r="K1279">
        <f t="shared" si="39"/>
        <v>0</v>
      </c>
    </row>
    <row r="1280" spans="1:11" x14ac:dyDescent="0.25">
      <c r="A1280" t="s">
        <v>14</v>
      </c>
      <c r="B1280" t="s">
        <v>1333</v>
      </c>
      <c r="C1280" t="s">
        <v>934</v>
      </c>
      <c r="D1280" t="s">
        <v>934</v>
      </c>
      <c r="E1280" t="s">
        <v>919</v>
      </c>
      <c r="F1280" s="2">
        <v>32177</v>
      </c>
      <c r="G1280">
        <v>1714</v>
      </c>
      <c r="H1280">
        <v>45</v>
      </c>
      <c r="I1280">
        <v>0.23567012211971272</v>
      </c>
      <c r="J1280">
        <f t="shared" si="38"/>
        <v>2.6254375729288213E-2</v>
      </c>
      <c r="K1280">
        <f t="shared" si="39"/>
        <v>6.187371934298175E-3</v>
      </c>
    </row>
    <row r="1281" spans="1:11" x14ac:dyDescent="0.25">
      <c r="A1281" t="s">
        <v>14</v>
      </c>
      <c r="B1281" t="s">
        <v>1334</v>
      </c>
      <c r="C1281" t="s">
        <v>1291</v>
      </c>
      <c r="D1281" t="s">
        <v>1291</v>
      </c>
      <c r="E1281" t="s">
        <v>1260</v>
      </c>
      <c r="F1281" s="3">
        <v>55161</v>
      </c>
      <c r="G1281">
        <v>564</v>
      </c>
      <c r="H1281">
        <v>0</v>
      </c>
      <c r="I1281">
        <v>0.23256532738546731</v>
      </c>
      <c r="J1281">
        <f t="shared" si="38"/>
        <v>0</v>
      </c>
      <c r="K1281">
        <f t="shared" si="39"/>
        <v>0</v>
      </c>
    </row>
    <row r="1282" spans="1:11" x14ac:dyDescent="0.25">
      <c r="A1282" t="s">
        <v>14</v>
      </c>
      <c r="B1282" t="s">
        <v>1335</v>
      </c>
      <c r="C1282" t="s">
        <v>931</v>
      </c>
      <c r="D1282" t="s">
        <v>931</v>
      </c>
      <c r="E1282" t="s">
        <v>919</v>
      </c>
      <c r="F1282" s="2">
        <v>34259</v>
      </c>
      <c r="G1282">
        <v>819</v>
      </c>
      <c r="H1282">
        <v>0</v>
      </c>
      <c r="I1282">
        <v>0.23325378187001738</v>
      </c>
      <c r="J1282">
        <f t="shared" si="38"/>
        <v>0</v>
      </c>
      <c r="K1282">
        <f t="shared" si="39"/>
        <v>0</v>
      </c>
    </row>
    <row r="1283" spans="1:11" x14ac:dyDescent="0.25">
      <c r="A1283" t="s">
        <v>14</v>
      </c>
      <c r="B1283" t="s">
        <v>1336</v>
      </c>
      <c r="C1283" t="s">
        <v>1323</v>
      </c>
      <c r="D1283" t="s">
        <v>1323</v>
      </c>
      <c r="E1283" t="s">
        <v>1260</v>
      </c>
      <c r="F1283" s="3">
        <v>52281</v>
      </c>
      <c r="G1283">
        <v>1943</v>
      </c>
      <c r="H1283">
        <v>0</v>
      </c>
      <c r="I1283">
        <v>0.23628838124505377</v>
      </c>
      <c r="J1283">
        <f t="shared" ref="J1283:J1346" si="40">IF(G1283=0,0,H1283/G1283)</f>
        <v>0</v>
      </c>
      <c r="K1283">
        <f t="shared" ref="K1283:K1346" si="41">J1283*I1283</f>
        <v>0</v>
      </c>
    </row>
    <row r="1284" spans="1:11" x14ac:dyDescent="0.25">
      <c r="A1284" t="s">
        <v>14</v>
      </c>
      <c r="B1284" t="s">
        <v>1337</v>
      </c>
      <c r="C1284" t="s">
        <v>1200</v>
      </c>
      <c r="D1284" t="s">
        <v>1200</v>
      </c>
      <c r="E1284" t="s">
        <v>1201</v>
      </c>
      <c r="F1284" s="2">
        <v>54159</v>
      </c>
      <c r="G1284">
        <v>126</v>
      </c>
      <c r="H1284">
        <v>0</v>
      </c>
      <c r="I1284">
        <v>0.231382805564946</v>
      </c>
      <c r="J1284">
        <f t="shared" si="40"/>
        <v>0</v>
      </c>
      <c r="K1284">
        <f t="shared" si="41"/>
        <v>0</v>
      </c>
    </row>
    <row r="1285" spans="1:11" x14ac:dyDescent="0.25">
      <c r="A1285" t="s">
        <v>14</v>
      </c>
      <c r="B1285" t="s">
        <v>1338</v>
      </c>
      <c r="C1285" t="s">
        <v>1332</v>
      </c>
      <c r="D1285" t="s">
        <v>1332</v>
      </c>
      <c r="E1285" t="s">
        <v>1270</v>
      </c>
      <c r="F1285" s="2">
        <v>63214</v>
      </c>
      <c r="G1285">
        <v>628</v>
      </c>
      <c r="H1285">
        <v>222</v>
      </c>
      <c r="I1285">
        <v>0.23273811596198182</v>
      </c>
      <c r="J1285">
        <f t="shared" si="40"/>
        <v>0.35350318471337577</v>
      </c>
      <c r="K1285">
        <f t="shared" si="41"/>
        <v>8.2273665196751528E-2</v>
      </c>
    </row>
    <row r="1286" spans="1:11" x14ac:dyDescent="0.25">
      <c r="A1286" t="s">
        <v>14</v>
      </c>
      <c r="B1286" t="s">
        <v>1339</v>
      </c>
      <c r="C1286" t="s">
        <v>1288</v>
      </c>
      <c r="D1286" t="s">
        <v>1288</v>
      </c>
      <c r="E1286" t="s">
        <v>1270</v>
      </c>
      <c r="F1286" s="3">
        <v>61426</v>
      </c>
      <c r="G1286">
        <v>1559</v>
      </c>
      <c r="H1286">
        <v>0</v>
      </c>
      <c r="I1286">
        <v>0.2352516497859666</v>
      </c>
      <c r="J1286">
        <f t="shared" si="40"/>
        <v>0</v>
      </c>
      <c r="K1286">
        <f t="shared" si="41"/>
        <v>0</v>
      </c>
    </row>
    <row r="1287" spans="1:11" x14ac:dyDescent="0.25">
      <c r="A1287" t="s">
        <v>14</v>
      </c>
      <c r="B1287" t="s">
        <v>1340</v>
      </c>
      <c r="C1287" t="s">
        <v>1288</v>
      </c>
      <c r="D1287" t="s">
        <v>1288</v>
      </c>
      <c r="E1287" t="s">
        <v>1270</v>
      </c>
      <c r="F1287" s="2">
        <v>61437</v>
      </c>
      <c r="G1287">
        <v>899</v>
      </c>
      <c r="H1287">
        <v>0</v>
      </c>
      <c r="I1287">
        <v>0.23346976759066054</v>
      </c>
      <c r="J1287">
        <f t="shared" si="40"/>
        <v>0</v>
      </c>
      <c r="K1287">
        <f t="shared" si="41"/>
        <v>0</v>
      </c>
    </row>
    <row r="1288" spans="1:11" x14ac:dyDescent="0.25">
      <c r="A1288" t="s">
        <v>14</v>
      </c>
      <c r="B1288" t="s">
        <v>1341</v>
      </c>
      <c r="C1288" t="s">
        <v>934</v>
      </c>
      <c r="D1288" t="s">
        <v>934</v>
      </c>
      <c r="E1288" t="s">
        <v>919</v>
      </c>
      <c r="F1288" s="3">
        <v>32143</v>
      </c>
      <c r="G1288">
        <v>778</v>
      </c>
      <c r="H1288">
        <v>58</v>
      </c>
      <c r="I1288">
        <v>0.23314308918818777</v>
      </c>
      <c r="J1288">
        <f t="shared" si="40"/>
        <v>7.4550128534704371E-2</v>
      </c>
      <c r="K1288">
        <f t="shared" si="41"/>
        <v>1.7380847265957441E-2</v>
      </c>
    </row>
    <row r="1289" spans="1:11" x14ac:dyDescent="0.25">
      <c r="A1289" t="s">
        <v>14</v>
      </c>
      <c r="B1289" t="s">
        <v>1342</v>
      </c>
      <c r="C1289" t="s">
        <v>1282</v>
      </c>
      <c r="D1289" t="s">
        <v>1282</v>
      </c>
      <c r="E1289" t="s">
        <v>916</v>
      </c>
      <c r="F1289" s="2">
        <v>24369</v>
      </c>
      <c r="G1289">
        <v>1727</v>
      </c>
      <c r="H1289">
        <v>330</v>
      </c>
      <c r="I1289">
        <v>0.23570521979931724</v>
      </c>
      <c r="J1289">
        <f t="shared" si="40"/>
        <v>0.19108280254777071</v>
      </c>
      <c r="K1289">
        <f t="shared" si="41"/>
        <v>4.5039213974391833E-2</v>
      </c>
    </row>
    <row r="1290" spans="1:11" x14ac:dyDescent="0.25">
      <c r="A1290" t="s">
        <v>14</v>
      </c>
      <c r="B1290" t="s">
        <v>1343</v>
      </c>
      <c r="C1290" t="s">
        <v>991</v>
      </c>
      <c r="D1290" t="s">
        <v>991</v>
      </c>
      <c r="E1290" t="s">
        <v>991</v>
      </c>
      <c r="F1290" s="2">
        <v>35125</v>
      </c>
      <c r="G1290">
        <v>2607</v>
      </c>
      <c r="H1290">
        <v>0</v>
      </c>
      <c r="I1290">
        <v>0.23808106272639201</v>
      </c>
      <c r="J1290">
        <f t="shared" si="40"/>
        <v>0</v>
      </c>
      <c r="K1290">
        <f t="shared" si="41"/>
        <v>0</v>
      </c>
    </row>
    <row r="1291" spans="1:11" x14ac:dyDescent="0.25">
      <c r="A1291" t="s">
        <v>14</v>
      </c>
      <c r="B1291" t="s">
        <v>1344</v>
      </c>
      <c r="C1291" t="s">
        <v>934</v>
      </c>
      <c r="D1291" t="s">
        <v>934</v>
      </c>
      <c r="E1291" t="s">
        <v>919</v>
      </c>
      <c r="F1291" s="3">
        <v>32149</v>
      </c>
      <c r="G1291">
        <v>620</v>
      </c>
      <c r="H1291">
        <v>23</v>
      </c>
      <c r="I1291">
        <v>0.23271651738991753</v>
      </c>
      <c r="J1291">
        <f t="shared" si="40"/>
        <v>3.7096774193548385E-2</v>
      </c>
      <c r="K1291">
        <f t="shared" si="41"/>
        <v>8.6330320967227467E-3</v>
      </c>
    </row>
    <row r="1292" spans="1:11" x14ac:dyDescent="0.25">
      <c r="A1292" t="s">
        <v>14</v>
      </c>
      <c r="B1292" t="s">
        <v>1345</v>
      </c>
      <c r="C1292" t="s">
        <v>1288</v>
      </c>
      <c r="D1292" t="s">
        <v>1288</v>
      </c>
      <c r="E1292" t="s">
        <v>1270</v>
      </c>
      <c r="F1292" s="3">
        <v>61414</v>
      </c>
      <c r="G1292">
        <v>1344</v>
      </c>
      <c r="H1292">
        <v>0</v>
      </c>
      <c r="I1292">
        <v>0.23467118816173813</v>
      </c>
      <c r="J1292">
        <f t="shared" si="40"/>
        <v>0</v>
      </c>
      <c r="K1292">
        <f t="shared" si="41"/>
        <v>0</v>
      </c>
    </row>
    <row r="1293" spans="1:11" x14ac:dyDescent="0.25">
      <c r="A1293" t="s">
        <v>14</v>
      </c>
      <c r="B1293" t="s">
        <v>1346</v>
      </c>
      <c r="C1293" t="s">
        <v>991</v>
      </c>
      <c r="D1293" t="s">
        <v>991</v>
      </c>
      <c r="E1293" t="s">
        <v>991</v>
      </c>
      <c r="F1293" s="3">
        <v>35247</v>
      </c>
      <c r="G1293">
        <v>180</v>
      </c>
      <c r="H1293">
        <v>13</v>
      </c>
      <c r="I1293">
        <v>0.23152859592638014</v>
      </c>
      <c r="J1293">
        <f t="shared" si="40"/>
        <v>7.2222222222222215E-2</v>
      </c>
      <c r="K1293">
        <f t="shared" si="41"/>
        <v>1.672150970579412E-2</v>
      </c>
    </row>
    <row r="1294" spans="1:11" x14ac:dyDescent="0.25">
      <c r="A1294" t="s">
        <v>14</v>
      </c>
      <c r="B1294" t="s">
        <v>1347</v>
      </c>
      <c r="C1294" t="s">
        <v>1282</v>
      </c>
      <c r="D1294" t="s">
        <v>1282</v>
      </c>
      <c r="E1294" t="s">
        <v>916</v>
      </c>
      <c r="F1294" s="2">
        <v>24441</v>
      </c>
      <c r="G1294">
        <v>346</v>
      </c>
      <c r="H1294">
        <v>206</v>
      </c>
      <c r="I1294">
        <v>0.23197676629671471</v>
      </c>
      <c r="J1294">
        <f t="shared" si="40"/>
        <v>0.59537572254335258</v>
      </c>
      <c r="K1294">
        <f t="shared" si="41"/>
        <v>0.13811333484717697</v>
      </c>
    </row>
    <row r="1295" spans="1:11" x14ac:dyDescent="0.25">
      <c r="A1295" t="s">
        <v>14</v>
      </c>
      <c r="B1295" t="s">
        <v>1348</v>
      </c>
      <c r="C1295" t="s">
        <v>1255</v>
      </c>
      <c r="D1295" t="s">
        <v>1255</v>
      </c>
      <c r="E1295" t="s">
        <v>919</v>
      </c>
      <c r="F1295" s="3">
        <v>31141</v>
      </c>
      <c r="G1295">
        <v>7658</v>
      </c>
      <c r="H1295">
        <v>0</v>
      </c>
      <c r="I1295">
        <v>0.25171786116349948</v>
      </c>
      <c r="J1295">
        <f t="shared" si="40"/>
        <v>0</v>
      </c>
      <c r="K1295">
        <f t="shared" si="41"/>
        <v>0</v>
      </c>
    </row>
    <row r="1296" spans="1:11" x14ac:dyDescent="0.25">
      <c r="A1296" t="s">
        <v>14</v>
      </c>
      <c r="B1296" t="s">
        <v>1349</v>
      </c>
      <c r="C1296" t="s">
        <v>1259</v>
      </c>
      <c r="D1296" t="s">
        <v>1259</v>
      </c>
      <c r="E1296" t="s">
        <v>1260</v>
      </c>
      <c r="F1296" s="3">
        <v>51237</v>
      </c>
      <c r="G1296">
        <v>85</v>
      </c>
      <c r="H1296">
        <v>0</v>
      </c>
      <c r="I1296">
        <v>0.23127211288311639</v>
      </c>
      <c r="J1296">
        <f t="shared" si="40"/>
        <v>0</v>
      </c>
      <c r="K1296">
        <f t="shared" si="41"/>
        <v>0</v>
      </c>
    </row>
    <row r="1297" spans="1:11" x14ac:dyDescent="0.25">
      <c r="A1297" t="s">
        <v>14</v>
      </c>
      <c r="B1297" t="s">
        <v>1350</v>
      </c>
      <c r="C1297" t="s">
        <v>1297</v>
      </c>
      <c r="D1297" t="s">
        <v>1297</v>
      </c>
      <c r="E1297" t="s">
        <v>919</v>
      </c>
      <c r="F1297" s="3">
        <v>33151</v>
      </c>
      <c r="G1297">
        <v>352</v>
      </c>
      <c r="H1297">
        <v>0</v>
      </c>
      <c r="I1297">
        <v>0.23199296522576293</v>
      </c>
      <c r="J1297">
        <f t="shared" si="40"/>
        <v>0</v>
      </c>
      <c r="K1297">
        <f t="shared" si="41"/>
        <v>0</v>
      </c>
    </row>
    <row r="1298" spans="1:11" x14ac:dyDescent="0.25">
      <c r="A1298" t="s">
        <v>14</v>
      </c>
      <c r="B1298" t="s">
        <v>1351</v>
      </c>
      <c r="C1298" t="s">
        <v>921</v>
      </c>
      <c r="D1298" t="s">
        <v>921</v>
      </c>
      <c r="E1298" t="s">
        <v>916</v>
      </c>
      <c r="F1298" s="3">
        <v>23427</v>
      </c>
      <c r="G1298">
        <v>100</v>
      </c>
      <c r="H1298">
        <v>0</v>
      </c>
      <c r="I1298">
        <v>0.23131261020573698</v>
      </c>
      <c r="J1298">
        <f t="shared" si="40"/>
        <v>0</v>
      </c>
      <c r="K1298">
        <f t="shared" si="41"/>
        <v>0</v>
      </c>
    </row>
    <row r="1299" spans="1:11" x14ac:dyDescent="0.25">
      <c r="A1299" t="s">
        <v>14</v>
      </c>
      <c r="B1299" t="s">
        <v>1352</v>
      </c>
      <c r="C1299" t="s">
        <v>1275</v>
      </c>
      <c r="D1299" t="s">
        <v>1275</v>
      </c>
      <c r="E1299" t="s">
        <v>916</v>
      </c>
      <c r="F1299" s="3">
        <v>21283</v>
      </c>
      <c r="G1299">
        <v>960</v>
      </c>
      <c r="H1299">
        <v>21</v>
      </c>
      <c r="I1299">
        <v>0.23363445670265096</v>
      </c>
      <c r="J1299">
        <f t="shared" si="40"/>
        <v>2.1874999999999999E-2</v>
      </c>
      <c r="K1299">
        <f t="shared" si="41"/>
        <v>5.1107537403704897E-3</v>
      </c>
    </row>
    <row r="1300" spans="1:11" x14ac:dyDescent="0.25">
      <c r="A1300" t="s">
        <v>14</v>
      </c>
      <c r="B1300" t="s">
        <v>1353</v>
      </c>
      <c r="C1300" t="s">
        <v>1266</v>
      </c>
      <c r="D1300" t="s">
        <v>1266</v>
      </c>
      <c r="E1300" t="s">
        <v>1201</v>
      </c>
      <c r="F1300" s="2">
        <v>53227</v>
      </c>
      <c r="G1300">
        <v>72</v>
      </c>
      <c r="H1300">
        <v>0</v>
      </c>
      <c r="I1300">
        <v>0.23123701520351186</v>
      </c>
      <c r="J1300">
        <f t="shared" si="40"/>
        <v>0</v>
      </c>
      <c r="K1300">
        <f t="shared" si="41"/>
        <v>0</v>
      </c>
    </row>
    <row r="1301" spans="1:11" x14ac:dyDescent="0.25">
      <c r="A1301" t="s">
        <v>14</v>
      </c>
      <c r="B1301" t="s">
        <v>1354</v>
      </c>
      <c r="C1301" t="s">
        <v>1297</v>
      </c>
      <c r="D1301" t="s">
        <v>1297</v>
      </c>
      <c r="E1301" t="s">
        <v>919</v>
      </c>
      <c r="F1301" s="3">
        <v>33139</v>
      </c>
      <c r="G1301">
        <v>280</v>
      </c>
      <c r="H1301">
        <v>0</v>
      </c>
      <c r="I1301">
        <v>0.2317985780771841</v>
      </c>
      <c r="J1301">
        <f t="shared" si="40"/>
        <v>0</v>
      </c>
      <c r="K1301">
        <f t="shared" si="41"/>
        <v>0</v>
      </c>
    </row>
    <row r="1302" spans="1:11" x14ac:dyDescent="0.25">
      <c r="A1302" t="s">
        <v>14</v>
      </c>
      <c r="B1302" t="s">
        <v>1355</v>
      </c>
      <c r="C1302" t="s">
        <v>1297</v>
      </c>
      <c r="D1302" t="s">
        <v>1297</v>
      </c>
      <c r="E1302" t="s">
        <v>919</v>
      </c>
      <c r="F1302" s="3">
        <v>33155</v>
      </c>
      <c r="G1302">
        <v>1465</v>
      </c>
      <c r="H1302">
        <v>0</v>
      </c>
      <c r="I1302">
        <v>0.2349978665642109</v>
      </c>
      <c r="J1302">
        <f t="shared" si="40"/>
        <v>0</v>
      </c>
      <c r="K1302">
        <f t="shared" si="41"/>
        <v>0</v>
      </c>
    </row>
    <row r="1303" spans="1:11" x14ac:dyDescent="0.25">
      <c r="A1303" t="s">
        <v>14</v>
      </c>
      <c r="B1303" t="s">
        <v>1356</v>
      </c>
      <c r="C1303" t="s">
        <v>1200</v>
      </c>
      <c r="D1303" t="s">
        <v>1200</v>
      </c>
      <c r="E1303" t="s">
        <v>1201</v>
      </c>
      <c r="F1303" s="2">
        <v>54151</v>
      </c>
      <c r="G1303">
        <v>245</v>
      </c>
      <c r="H1303">
        <v>0</v>
      </c>
      <c r="I1303">
        <v>0.2317040843244027</v>
      </c>
      <c r="J1303">
        <f t="shared" si="40"/>
        <v>0</v>
      </c>
      <c r="K1303">
        <f t="shared" si="41"/>
        <v>0</v>
      </c>
    </row>
    <row r="1304" spans="1:11" x14ac:dyDescent="0.25">
      <c r="A1304" t="s">
        <v>14</v>
      </c>
      <c r="B1304" t="s">
        <v>1357</v>
      </c>
      <c r="C1304" t="s">
        <v>931</v>
      </c>
      <c r="D1304" t="s">
        <v>931</v>
      </c>
      <c r="E1304" t="s">
        <v>919</v>
      </c>
      <c r="F1304" s="3">
        <v>34283</v>
      </c>
      <c r="G1304">
        <v>66</v>
      </c>
      <c r="H1304">
        <v>0</v>
      </c>
      <c r="I1304">
        <v>0.23122081627446364</v>
      </c>
      <c r="J1304">
        <f t="shared" si="40"/>
        <v>0</v>
      </c>
      <c r="K1304">
        <f t="shared" si="41"/>
        <v>0</v>
      </c>
    </row>
    <row r="1305" spans="1:11" x14ac:dyDescent="0.25">
      <c r="A1305" t="s">
        <v>14</v>
      </c>
      <c r="B1305" t="s">
        <v>1358</v>
      </c>
      <c r="C1305" t="s">
        <v>1332</v>
      </c>
      <c r="D1305" t="s">
        <v>1332</v>
      </c>
      <c r="E1305" t="s">
        <v>1270</v>
      </c>
      <c r="F1305" s="3">
        <v>63144</v>
      </c>
      <c r="G1305">
        <v>744</v>
      </c>
      <c r="H1305">
        <v>267</v>
      </c>
      <c r="I1305">
        <v>0.23305129525691443</v>
      </c>
      <c r="J1305">
        <f t="shared" si="40"/>
        <v>0.3588709677419355</v>
      </c>
      <c r="K1305">
        <f t="shared" si="41"/>
        <v>8.363534386236042E-2</v>
      </c>
    </row>
    <row r="1306" spans="1:11" x14ac:dyDescent="0.25">
      <c r="A1306" t="s">
        <v>14</v>
      </c>
      <c r="B1306" t="s">
        <v>1359</v>
      </c>
      <c r="C1306" t="s">
        <v>915</v>
      </c>
      <c r="D1306" t="s">
        <v>915</v>
      </c>
      <c r="E1306" t="s">
        <v>916</v>
      </c>
      <c r="F1306" s="2">
        <v>22771</v>
      </c>
      <c r="G1306">
        <v>416</v>
      </c>
      <c r="H1306">
        <v>19</v>
      </c>
      <c r="I1306">
        <v>0.23216575380227747</v>
      </c>
      <c r="J1306">
        <f t="shared" si="40"/>
        <v>4.567307692307692E-2</v>
      </c>
      <c r="K1306">
        <f t="shared" si="41"/>
        <v>1.0603724332315557E-2</v>
      </c>
    </row>
    <row r="1307" spans="1:11" x14ac:dyDescent="0.25">
      <c r="A1307" t="s">
        <v>14</v>
      </c>
      <c r="B1307" t="s">
        <v>1360</v>
      </c>
      <c r="C1307" t="s">
        <v>921</v>
      </c>
      <c r="D1307" t="s">
        <v>921</v>
      </c>
      <c r="E1307" t="s">
        <v>916</v>
      </c>
      <c r="F1307" s="2">
        <v>23635</v>
      </c>
      <c r="G1307">
        <v>1926</v>
      </c>
      <c r="H1307">
        <v>182</v>
      </c>
      <c r="I1307">
        <v>0.2362424842794171</v>
      </c>
      <c r="J1307">
        <f t="shared" si="40"/>
        <v>9.4496365524402909E-2</v>
      </c>
      <c r="K1307">
        <f t="shared" si="41"/>
        <v>2.2324056146860807E-2</v>
      </c>
    </row>
    <row r="1308" spans="1:11" x14ac:dyDescent="0.25">
      <c r="A1308" t="s">
        <v>14</v>
      </c>
      <c r="B1308" t="s">
        <v>1361</v>
      </c>
      <c r="C1308" t="s">
        <v>1200</v>
      </c>
      <c r="D1308" t="s">
        <v>1200</v>
      </c>
      <c r="E1308" t="s">
        <v>1201</v>
      </c>
      <c r="F1308" s="3">
        <v>54167</v>
      </c>
      <c r="G1308">
        <v>102</v>
      </c>
      <c r="H1308">
        <v>0</v>
      </c>
      <c r="I1308">
        <v>0.23131800984875306</v>
      </c>
      <c r="J1308">
        <f t="shared" si="40"/>
        <v>0</v>
      </c>
      <c r="K1308">
        <f t="shared" si="41"/>
        <v>0</v>
      </c>
    </row>
    <row r="1309" spans="1:11" x14ac:dyDescent="0.25">
      <c r="A1309" t="s">
        <v>14</v>
      </c>
      <c r="B1309" t="s">
        <v>1362</v>
      </c>
      <c r="C1309" t="s">
        <v>1295</v>
      </c>
      <c r="D1309" t="s">
        <v>1295</v>
      </c>
      <c r="E1309" t="s">
        <v>916</v>
      </c>
      <c r="F1309" s="3">
        <v>26224</v>
      </c>
      <c r="G1309">
        <v>364</v>
      </c>
      <c r="H1309">
        <v>0</v>
      </c>
      <c r="I1309">
        <v>0.2320253630838594</v>
      </c>
      <c r="J1309">
        <f t="shared" si="40"/>
        <v>0</v>
      </c>
      <c r="K1309">
        <f t="shared" si="41"/>
        <v>0</v>
      </c>
    </row>
    <row r="1310" spans="1:11" x14ac:dyDescent="0.25">
      <c r="A1310" t="s">
        <v>14</v>
      </c>
      <c r="B1310" t="s">
        <v>1363</v>
      </c>
      <c r="C1310" t="s">
        <v>1288</v>
      </c>
      <c r="D1310" t="s">
        <v>1288</v>
      </c>
      <c r="E1310" t="s">
        <v>1270</v>
      </c>
      <c r="F1310" s="2">
        <v>61487</v>
      </c>
      <c r="G1310">
        <v>424</v>
      </c>
      <c r="H1310">
        <v>236</v>
      </c>
      <c r="I1310">
        <v>0.23218735237434177</v>
      </c>
      <c r="J1310">
        <f t="shared" si="40"/>
        <v>0.55660377358490565</v>
      </c>
      <c r="K1310">
        <f t="shared" si="41"/>
        <v>0.12923635651024684</v>
      </c>
    </row>
    <row r="1311" spans="1:11" x14ac:dyDescent="0.25">
      <c r="A1311" t="s">
        <v>14</v>
      </c>
      <c r="B1311" t="s">
        <v>1364</v>
      </c>
      <c r="C1311" t="s">
        <v>1323</v>
      </c>
      <c r="D1311" t="s">
        <v>1323</v>
      </c>
      <c r="E1311" t="s">
        <v>1260</v>
      </c>
      <c r="F1311" s="3">
        <v>52221</v>
      </c>
      <c r="G1311">
        <v>348</v>
      </c>
      <c r="H1311">
        <v>45</v>
      </c>
      <c r="I1311">
        <v>0.23198216593973078</v>
      </c>
      <c r="J1311">
        <f t="shared" si="40"/>
        <v>0.12931034482758622</v>
      </c>
      <c r="K1311">
        <f t="shared" si="41"/>
        <v>2.9997693871516913E-2</v>
      </c>
    </row>
    <row r="1312" spans="1:11" x14ac:dyDescent="0.25">
      <c r="A1312" t="s">
        <v>14</v>
      </c>
      <c r="B1312" t="s">
        <v>1365</v>
      </c>
      <c r="C1312" t="s">
        <v>991</v>
      </c>
      <c r="D1312" t="s">
        <v>991</v>
      </c>
      <c r="E1312" t="s">
        <v>991</v>
      </c>
      <c r="F1312" s="2">
        <v>35263</v>
      </c>
      <c r="G1312">
        <v>180</v>
      </c>
      <c r="H1312">
        <v>0</v>
      </c>
      <c r="I1312">
        <v>0.23152859592638014</v>
      </c>
      <c r="J1312">
        <f t="shared" si="40"/>
        <v>0</v>
      </c>
      <c r="K1312">
        <f t="shared" si="41"/>
        <v>0</v>
      </c>
    </row>
    <row r="1313" spans="1:11" x14ac:dyDescent="0.25">
      <c r="A1313" t="s">
        <v>14</v>
      </c>
      <c r="B1313" t="s">
        <v>1366</v>
      </c>
      <c r="C1313" t="s">
        <v>934</v>
      </c>
      <c r="D1313" t="s">
        <v>934</v>
      </c>
      <c r="E1313" t="s">
        <v>919</v>
      </c>
      <c r="F1313" s="3">
        <v>32165</v>
      </c>
      <c r="G1313">
        <v>550</v>
      </c>
      <c r="H1313">
        <v>180</v>
      </c>
      <c r="I1313">
        <v>0.23252752988435477</v>
      </c>
      <c r="J1313">
        <f t="shared" si="40"/>
        <v>0.32727272727272727</v>
      </c>
      <c r="K1313">
        <f t="shared" si="41"/>
        <v>7.6099918871243372E-2</v>
      </c>
    </row>
    <row r="1314" spans="1:11" x14ac:dyDescent="0.25">
      <c r="A1314" t="s">
        <v>14</v>
      </c>
      <c r="B1314" t="s">
        <v>1367</v>
      </c>
      <c r="C1314" t="s">
        <v>1266</v>
      </c>
      <c r="D1314" t="s">
        <v>1266</v>
      </c>
      <c r="E1314" t="s">
        <v>1201</v>
      </c>
      <c r="F1314" s="2">
        <v>53159</v>
      </c>
      <c r="G1314">
        <v>73</v>
      </c>
      <c r="H1314">
        <v>0</v>
      </c>
      <c r="I1314">
        <v>0.23123971502501992</v>
      </c>
      <c r="J1314">
        <f t="shared" si="40"/>
        <v>0</v>
      </c>
      <c r="K1314">
        <f t="shared" si="41"/>
        <v>0</v>
      </c>
    </row>
    <row r="1315" spans="1:11" x14ac:dyDescent="0.25">
      <c r="A1315" t="s">
        <v>14</v>
      </c>
      <c r="B1315" t="s">
        <v>1368</v>
      </c>
      <c r="C1315" t="s">
        <v>991</v>
      </c>
      <c r="D1315" t="s">
        <v>991</v>
      </c>
      <c r="E1315" t="s">
        <v>991</v>
      </c>
      <c r="F1315" s="2">
        <v>35421</v>
      </c>
      <c r="G1315">
        <v>265</v>
      </c>
      <c r="H1315">
        <v>0</v>
      </c>
      <c r="I1315">
        <v>0.2317580807545635</v>
      </c>
      <c r="J1315">
        <f t="shared" si="40"/>
        <v>0</v>
      </c>
      <c r="K1315">
        <f t="shared" si="41"/>
        <v>0</v>
      </c>
    </row>
    <row r="1316" spans="1:11" x14ac:dyDescent="0.25">
      <c r="A1316" t="s">
        <v>14</v>
      </c>
      <c r="B1316" t="s">
        <v>1369</v>
      </c>
      <c r="C1316" t="s">
        <v>1288</v>
      </c>
      <c r="D1316" t="s">
        <v>1288</v>
      </c>
      <c r="E1316" t="s">
        <v>1270</v>
      </c>
      <c r="F1316" s="2">
        <v>61431</v>
      </c>
      <c r="G1316">
        <v>73</v>
      </c>
      <c r="H1316">
        <v>0</v>
      </c>
      <c r="I1316">
        <v>0.23123971502501992</v>
      </c>
      <c r="J1316">
        <f t="shared" si="40"/>
        <v>0</v>
      </c>
      <c r="K1316">
        <f t="shared" si="41"/>
        <v>0</v>
      </c>
    </row>
    <row r="1317" spans="1:11" x14ac:dyDescent="0.25">
      <c r="A1317" t="s">
        <v>14</v>
      </c>
      <c r="B1317" t="s">
        <v>1370</v>
      </c>
      <c r="C1317" t="s">
        <v>918</v>
      </c>
      <c r="D1317" t="s">
        <v>918</v>
      </c>
      <c r="E1317" t="s">
        <v>919</v>
      </c>
      <c r="F1317" s="3">
        <v>37359</v>
      </c>
      <c r="G1317">
        <v>51</v>
      </c>
      <c r="H1317">
        <v>24</v>
      </c>
      <c r="I1317">
        <v>0.23118031895184304</v>
      </c>
      <c r="J1317">
        <f t="shared" si="40"/>
        <v>0.47058823529411764</v>
      </c>
      <c r="K1317">
        <f t="shared" si="41"/>
        <v>0.10879073833027908</v>
      </c>
    </row>
    <row r="1318" spans="1:11" x14ac:dyDescent="0.25">
      <c r="A1318" t="s">
        <v>14</v>
      </c>
      <c r="B1318" t="s">
        <v>1371</v>
      </c>
      <c r="C1318" t="s">
        <v>1295</v>
      </c>
      <c r="D1318" t="s">
        <v>1295</v>
      </c>
      <c r="E1318" t="s">
        <v>916</v>
      </c>
      <c r="F1318" s="2">
        <v>26123</v>
      </c>
      <c r="G1318">
        <v>3875</v>
      </c>
      <c r="H1318">
        <v>100</v>
      </c>
      <c r="I1318">
        <v>0.2415044363985861</v>
      </c>
      <c r="J1318">
        <f t="shared" si="40"/>
        <v>2.5806451612903226E-2</v>
      </c>
      <c r="K1318">
        <f t="shared" si="41"/>
        <v>6.2323725522215765E-3</v>
      </c>
    </row>
    <row r="1319" spans="1:11" x14ac:dyDescent="0.25">
      <c r="A1319" t="s">
        <v>14</v>
      </c>
      <c r="B1319" t="s">
        <v>1372</v>
      </c>
      <c r="C1319" t="s">
        <v>1332</v>
      </c>
      <c r="D1319" t="s">
        <v>1332</v>
      </c>
      <c r="E1319" t="s">
        <v>1270</v>
      </c>
      <c r="F1319" s="3">
        <v>63131</v>
      </c>
      <c r="G1319">
        <v>658</v>
      </c>
      <c r="H1319">
        <v>42</v>
      </c>
      <c r="I1319">
        <v>0.23281911060722302</v>
      </c>
      <c r="J1319">
        <f t="shared" si="40"/>
        <v>6.3829787234042548E-2</v>
      </c>
      <c r="K1319">
        <f t="shared" si="41"/>
        <v>1.4860794294078064E-2</v>
      </c>
    </row>
    <row r="1320" spans="1:11" x14ac:dyDescent="0.25">
      <c r="A1320" t="s">
        <v>14</v>
      </c>
      <c r="B1320" t="s">
        <v>1373</v>
      </c>
      <c r="C1320" t="s">
        <v>1259</v>
      </c>
      <c r="D1320" t="s">
        <v>1259</v>
      </c>
      <c r="E1320" t="s">
        <v>1260</v>
      </c>
      <c r="F1320" s="2">
        <v>51131</v>
      </c>
      <c r="G1320">
        <v>4830</v>
      </c>
      <c r="H1320">
        <v>442</v>
      </c>
      <c r="I1320">
        <v>0.2440827659387638</v>
      </c>
      <c r="J1320">
        <f t="shared" si="40"/>
        <v>9.1511387163561081E-2</v>
      </c>
      <c r="K1320">
        <f t="shared" si="41"/>
        <v>2.2336352493775073E-2</v>
      </c>
    </row>
    <row r="1321" spans="1:11" x14ac:dyDescent="0.25">
      <c r="A1321" t="s">
        <v>14</v>
      </c>
      <c r="B1321" t="s">
        <v>1374</v>
      </c>
      <c r="C1321" t="s">
        <v>1297</v>
      </c>
      <c r="D1321" t="s">
        <v>1297</v>
      </c>
      <c r="E1321" t="s">
        <v>919</v>
      </c>
      <c r="F1321" s="3">
        <v>33149</v>
      </c>
      <c r="G1321">
        <v>459</v>
      </c>
      <c r="H1321">
        <v>0</v>
      </c>
      <c r="I1321">
        <v>0.23228184612712316</v>
      </c>
      <c r="J1321">
        <f t="shared" si="40"/>
        <v>0</v>
      </c>
      <c r="K1321">
        <f t="shared" si="41"/>
        <v>0</v>
      </c>
    </row>
    <row r="1322" spans="1:11" x14ac:dyDescent="0.25">
      <c r="A1322" t="s">
        <v>14</v>
      </c>
      <c r="B1322" t="s">
        <v>1375</v>
      </c>
      <c r="C1322" t="s">
        <v>1200</v>
      </c>
      <c r="D1322" t="s">
        <v>1200</v>
      </c>
      <c r="E1322" t="s">
        <v>1201</v>
      </c>
      <c r="F1322" s="2">
        <v>54135</v>
      </c>
      <c r="G1322">
        <v>128</v>
      </c>
      <c r="H1322">
        <v>90</v>
      </c>
      <c r="I1322">
        <v>0.23138820520796208</v>
      </c>
      <c r="J1322">
        <f t="shared" si="40"/>
        <v>0.703125</v>
      </c>
      <c r="K1322">
        <f t="shared" si="41"/>
        <v>0.16269483178684835</v>
      </c>
    </row>
    <row r="1323" spans="1:11" x14ac:dyDescent="0.25">
      <c r="A1323" t="s">
        <v>14</v>
      </c>
      <c r="B1323" t="s">
        <v>1376</v>
      </c>
      <c r="C1323" t="s">
        <v>1288</v>
      </c>
      <c r="D1323" t="s">
        <v>1288</v>
      </c>
      <c r="E1323" t="s">
        <v>1270</v>
      </c>
      <c r="F1323" s="3">
        <v>61483</v>
      </c>
      <c r="G1323">
        <v>724</v>
      </c>
      <c r="H1323">
        <v>90</v>
      </c>
      <c r="I1323">
        <v>0.23299729882675363</v>
      </c>
      <c r="J1323">
        <f t="shared" si="40"/>
        <v>0.12430939226519337</v>
      </c>
      <c r="K1323">
        <f t="shared" si="41"/>
        <v>2.8963752616585396E-2</v>
      </c>
    </row>
    <row r="1324" spans="1:11" x14ac:dyDescent="0.25">
      <c r="A1324" t="s">
        <v>14</v>
      </c>
      <c r="B1324" t="s">
        <v>1377</v>
      </c>
      <c r="C1324" t="s">
        <v>1259</v>
      </c>
      <c r="D1324" t="s">
        <v>1259</v>
      </c>
      <c r="E1324" t="s">
        <v>1260</v>
      </c>
      <c r="F1324" s="2">
        <v>51335</v>
      </c>
      <c r="G1324">
        <v>50</v>
      </c>
      <c r="H1324">
        <v>0</v>
      </c>
      <c r="I1324">
        <v>0.23117761913033499</v>
      </c>
      <c r="J1324">
        <f t="shared" si="40"/>
        <v>0</v>
      </c>
      <c r="K1324">
        <f t="shared" si="41"/>
        <v>0</v>
      </c>
    </row>
    <row r="1325" spans="1:11" x14ac:dyDescent="0.25">
      <c r="A1325" t="s">
        <v>14</v>
      </c>
      <c r="B1325" t="s">
        <v>1378</v>
      </c>
      <c r="C1325" t="s">
        <v>982</v>
      </c>
      <c r="D1325" t="s">
        <v>982</v>
      </c>
      <c r="E1325" t="s">
        <v>919</v>
      </c>
      <c r="F1325" s="3">
        <v>36154</v>
      </c>
      <c r="G1325">
        <v>190</v>
      </c>
      <c r="H1325">
        <v>0</v>
      </c>
      <c r="I1325">
        <v>0.23155559414146054</v>
      </c>
      <c r="J1325">
        <f t="shared" si="40"/>
        <v>0</v>
      </c>
      <c r="K1325">
        <f t="shared" si="41"/>
        <v>0</v>
      </c>
    </row>
    <row r="1326" spans="1:11" x14ac:dyDescent="0.25">
      <c r="A1326" t="s">
        <v>14</v>
      </c>
      <c r="B1326" t="s">
        <v>1379</v>
      </c>
      <c r="C1326" t="s">
        <v>1266</v>
      </c>
      <c r="D1326" t="s">
        <v>1266</v>
      </c>
      <c r="E1326" t="s">
        <v>1201</v>
      </c>
      <c r="F1326" s="3">
        <v>53221</v>
      </c>
      <c r="G1326">
        <v>490</v>
      </c>
      <c r="H1326">
        <v>0</v>
      </c>
      <c r="I1326">
        <v>0.23236554059387238</v>
      </c>
      <c r="J1326">
        <f t="shared" si="40"/>
        <v>0</v>
      </c>
      <c r="K1326">
        <f t="shared" si="41"/>
        <v>0</v>
      </c>
    </row>
    <row r="1327" spans="1:11" x14ac:dyDescent="0.25">
      <c r="A1327" t="s">
        <v>14</v>
      </c>
      <c r="B1327" t="s">
        <v>1380</v>
      </c>
      <c r="C1327" t="s">
        <v>937</v>
      </c>
      <c r="D1327" t="s">
        <v>937</v>
      </c>
      <c r="E1327" t="s">
        <v>937</v>
      </c>
      <c r="F1327" s="2">
        <v>71236</v>
      </c>
      <c r="G1327">
        <v>1260</v>
      </c>
      <c r="H1327">
        <v>346</v>
      </c>
      <c r="I1327">
        <v>0.23444440315506279</v>
      </c>
      <c r="J1327">
        <f t="shared" si="40"/>
        <v>0.27460317460317463</v>
      </c>
      <c r="K1327">
        <f t="shared" si="41"/>
        <v>6.4379177374326774E-2</v>
      </c>
    </row>
    <row r="1328" spans="1:11" x14ac:dyDescent="0.25">
      <c r="A1328" t="s">
        <v>14</v>
      </c>
      <c r="B1328" t="s">
        <v>1381</v>
      </c>
      <c r="C1328" t="s">
        <v>1266</v>
      </c>
      <c r="D1328" t="s">
        <v>1266</v>
      </c>
      <c r="E1328" t="s">
        <v>1201</v>
      </c>
      <c r="F1328" s="3">
        <v>53131</v>
      </c>
      <c r="G1328">
        <v>46</v>
      </c>
      <c r="H1328">
        <v>0</v>
      </c>
      <c r="I1328">
        <v>0.23116681984430285</v>
      </c>
      <c r="J1328">
        <f t="shared" si="40"/>
        <v>0</v>
      </c>
      <c r="K1328">
        <f t="shared" si="41"/>
        <v>0</v>
      </c>
    </row>
    <row r="1329" spans="1:11" x14ac:dyDescent="0.25">
      <c r="A1329" t="s">
        <v>14</v>
      </c>
      <c r="B1329" t="s">
        <v>1382</v>
      </c>
      <c r="C1329" t="s">
        <v>1295</v>
      </c>
      <c r="D1329" t="s">
        <v>1295</v>
      </c>
      <c r="E1329" t="s">
        <v>916</v>
      </c>
      <c r="F1329" s="2">
        <v>26253</v>
      </c>
      <c r="G1329">
        <v>607</v>
      </c>
      <c r="H1329">
        <v>114</v>
      </c>
      <c r="I1329">
        <v>0.232681419710313</v>
      </c>
      <c r="J1329">
        <f t="shared" si="40"/>
        <v>0.18780889621087316</v>
      </c>
      <c r="K1329">
        <f t="shared" si="41"/>
        <v>4.3699640604572793E-2</v>
      </c>
    </row>
    <row r="1330" spans="1:11" x14ac:dyDescent="0.25">
      <c r="A1330" t="s">
        <v>14</v>
      </c>
      <c r="B1330" t="s">
        <v>1383</v>
      </c>
      <c r="C1330" t="s">
        <v>1278</v>
      </c>
      <c r="D1330" t="s">
        <v>1278</v>
      </c>
      <c r="E1330" t="s">
        <v>937</v>
      </c>
      <c r="F1330" s="3">
        <v>73256</v>
      </c>
      <c r="G1330">
        <v>258</v>
      </c>
      <c r="H1330">
        <v>0</v>
      </c>
      <c r="I1330">
        <v>0.23173918200400723</v>
      </c>
      <c r="J1330">
        <f t="shared" si="40"/>
        <v>0</v>
      </c>
      <c r="K1330">
        <f t="shared" si="41"/>
        <v>0</v>
      </c>
    </row>
    <row r="1331" spans="1:11" x14ac:dyDescent="0.25">
      <c r="A1331" t="s">
        <v>14</v>
      </c>
      <c r="B1331" t="s">
        <v>1384</v>
      </c>
      <c r="C1331" t="s">
        <v>1288</v>
      </c>
      <c r="D1331" t="s">
        <v>1288</v>
      </c>
      <c r="E1331" t="s">
        <v>1270</v>
      </c>
      <c r="F1331" s="2">
        <v>61443</v>
      </c>
      <c r="G1331">
        <v>276</v>
      </c>
      <c r="H1331">
        <v>0</v>
      </c>
      <c r="I1331">
        <v>0.23178777879115192</v>
      </c>
      <c r="J1331">
        <f t="shared" si="40"/>
        <v>0</v>
      </c>
      <c r="K1331">
        <f t="shared" si="41"/>
        <v>0</v>
      </c>
    </row>
    <row r="1332" spans="1:11" x14ac:dyDescent="0.25">
      <c r="A1332" t="s">
        <v>14</v>
      </c>
      <c r="B1332" t="s">
        <v>1385</v>
      </c>
      <c r="C1332" t="s">
        <v>931</v>
      </c>
      <c r="D1332" t="s">
        <v>931</v>
      </c>
      <c r="E1332" t="s">
        <v>919</v>
      </c>
      <c r="F1332" s="3">
        <v>34249</v>
      </c>
      <c r="G1332">
        <v>614</v>
      </c>
      <c r="H1332">
        <v>0</v>
      </c>
      <c r="I1332">
        <v>0.23270031846086928</v>
      </c>
      <c r="J1332">
        <f t="shared" si="40"/>
        <v>0</v>
      </c>
      <c r="K1332">
        <f t="shared" si="41"/>
        <v>0</v>
      </c>
    </row>
    <row r="1333" spans="1:11" x14ac:dyDescent="0.25">
      <c r="A1333" t="s">
        <v>14</v>
      </c>
      <c r="B1333" t="s">
        <v>1386</v>
      </c>
      <c r="C1333" t="s">
        <v>934</v>
      </c>
      <c r="D1333" t="s">
        <v>934</v>
      </c>
      <c r="E1333" t="s">
        <v>919</v>
      </c>
      <c r="F1333" s="2">
        <v>32183</v>
      </c>
      <c r="G1333">
        <v>196</v>
      </c>
      <c r="H1333">
        <v>0</v>
      </c>
      <c r="I1333">
        <v>0.23157179307050876</v>
      </c>
      <c r="J1333">
        <f t="shared" si="40"/>
        <v>0</v>
      </c>
      <c r="K1333">
        <f t="shared" si="41"/>
        <v>0</v>
      </c>
    </row>
    <row r="1334" spans="1:11" x14ac:dyDescent="0.25">
      <c r="A1334" t="s">
        <v>14</v>
      </c>
      <c r="B1334" t="s">
        <v>1387</v>
      </c>
      <c r="C1334" t="s">
        <v>921</v>
      </c>
      <c r="D1334" t="s">
        <v>921</v>
      </c>
      <c r="E1334" t="s">
        <v>916</v>
      </c>
      <c r="F1334" s="3">
        <v>23419</v>
      </c>
      <c r="G1334">
        <v>1004</v>
      </c>
      <c r="H1334">
        <v>70</v>
      </c>
      <c r="I1334">
        <v>0.2337532488490047</v>
      </c>
      <c r="J1334">
        <f t="shared" si="40"/>
        <v>6.9721115537848599E-2</v>
      </c>
      <c r="K1334">
        <f t="shared" si="41"/>
        <v>1.6297537270348932E-2</v>
      </c>
    </row>
    <row r="1335" spans="1:11" x14ac:dyDescent="0.25">
      <c r="A1335" t="s">
        <v>14</v>
      </c>
      <c r="B1335" t="s">
        <v>1388</v>
      </c>
      <c r="C1335" t="s">
        <v>991</v>
      </c>
      <c r="D1335" t="s">
        <v>991</v>
      </c>
      <c r="E1335" t="s">
        <v>991</v>
      </c>
      <c r="F1335" s="3">
        <v>35318</v>
      </c>
      <c r="G1335">
        <v>5965</v>
      </c>
      <c r="H1335">
        <v>0</v>
      </c>
      <c r="I1335">
        <v>0.24714706335038863</v>
      </c>
      <c r="J1335">
        <f t="shared" si="40"/>
        <v>0</v>
      </c>
      <c r="K1335">
        <f t="shared" si="41"/>
        <v>0</v>
      </c>
    </row>
    <row r="1336" spans="1:11" x14ac:dyDescent="0.25">
      <c r="A1336" t="s">
        <v>14</v>
      </c>
      <c r="B1336" t="s">
        <v>1389</v>
      </c>
      <c r="C1336" t="s">
        <v>1266</v>
      </c>
      <c r="D1336" t="s">
        <v>1266</v>
      </c>
      <c r="E1336" t="s">
        <v>1201</v>
      </c>
      <c r="F1336" s="3">
        <v>53267</v>
      </c>
      <c r="G1336">
        <v>713</v>
      </c>
      <c r="H1336">
        <v>0</v>
      </c>
      <c r="I1336">
        <v>0.23296760079016518</v>
      </c>
      <c r="J1336">
        <f t="shared" si="40"/>
        <v>0</v>
      </c>
      <c r="K1336">
        <f t="shared" si="41"/>
        <v>0</v>
      </c>
    </row>
    <row r="1337" spans="1:11" x14ac:dyDescent="0.25">
      <c r="A1337" t="s">
        <v>14</v>
      </c>
      <c r="B1337" t="s">
        <v>1390</v>
      </c>
      <c r="C1337" t="s">
        <v>921</v>
      </c>
      <c r="D1337" t="s">
        <v>921</v>
      </c>
      <c r="E1337" t="s">
        <v>916</v>
      </c>
      <c r="F1337" s="2">
        <v>23457</v>
      </c>
      <c r="G1337">
        <v>38</v>
      </c>
      <c r="H1337">
        <v>0</v>
      </c>
      <c r="I1337">
        <v>0.23114522127223852</v>
      </c>
      <c r="J1337">
        <f t="shared" si="40"/>
        <v>0</v>
      </c>
      <c r="K1337">
        <f t="shared" si="41"/>
        <v>0</v>
      </c>
    </row>
    <row r="1338" spans="1:11" x14ac:dyDescent="0.25">
      <c r="A1338" t="s">
        <v>14</v>
      </c>
      <c r="B1338" t="s">
        <v>1391</v>
      </c>
      <c r="C1338" t="s">
        <v>991</v>
      </c>
      <c r="D1338" t="s">
        <v>991</v>
      </c>
      <c r="E1338" t="s">
        <v>991</v>
      </c>
      <c r="F1338" s="3">
        <v>35255</v>
      </c>
      <c r="G1338">
        <v>308</v>
      </c>
      <c r="H1338">
        <v>0</v>
      </c>
      <c r="I1338">
        <v>0.23187417307940919</v>
      </c>
      <c r="J1338">
        <f t="shared" si="40"/>
        <v>0</v>
      </c>
      <c r="K1338">
        <f t="shared" si="41"/>
        <v>0</v>
      </c>
    </row>
    <row r="1339" spans="1:11" x14ac:dyDescent="0.25">
      <c r="A1339" t="s">
        <v>14</v>
      </c>
      <c r="B1339" t="s">
        <v>1392</v>
      </c>
      <c r="C1339" t="s">
        <v>1323</v>
      </c>
      <c r="D1339" t="s">
        <v>1323</v>
      </c>
      <c r="E1339" t="s">
        <v>1260</v>
      </c>
      <c r="F1339" s="2">
        <v>52291</v>
      </c>
      <c r="G1339">
        <v>760</v>
      </c>
      <c r="H1339">
        <v>0</v>
      </c>
      <c r="I1339">
        <v>0.23309449240104305</v>
      </c>
      <c r="J1339">
        <f t="shared" si="40"/>
        <v>0</v>
      </c>
      <c r="K1339">
        <f t="shared" si="41"/>
        <v>0</v>
      </c>
    </row>
    <row r="1340" spans="1:11" x14ac:dyDescent="0.25">
      <c r="A1340" t="s">
        <v>14</v>
      </c>
      <c r="B1340" t="s">
        <v>1393</v>
      </c>
      <c r="C1340" t="s">
        <v>991</v>
      </c>
      <c r="D1340" t="s">
        <v>991</v>
      </c>
      <c r="E1340" t="s">
        <v>991</v>
      </c>
      <c r="F1340" s="3">
        <v>35157</v>
      </c>
      <c r="G1340">
        <v>325</v>
      </c>
      <c r="H1340">
        <v>0</v>
      </c>
      <c r="I1340">
        <v>0.23192007004504586</v>
      </c>
      <c r="J1340">
        <f t="shared" si="40"/>
        <v>0</v>
      </c>
      <c r="K1340">
        <f t="shared" si="41"/>
        <v>0</v>
      </c>
    </row>
    <row r="1341" spans="1:11" x14ac:dyDescent="0.25">
      <c r="A1341" t="s">
        <v>14</v>
      </c>
      <c r="B1341" t="s">
        <v>1394</v>
      </c>
      <c r="C1341" t="s">
        <v>982</v>
      </c>
      <c r="D1341" t="s">
        <v>982</v>
      </c>
      <c r="E1341" t="s">
        <v>919</v>
      </c>
      <c r="F1341" s="2">
        <v>36127</v>
      </c>
      <c r="G1341">
        <v>730</v>
      </c>
      <c r="H1341">
        <v>0</v>
      </c>
      <c r="I1341">
        <v>0.23301349775580185</v>
      </c>
      <c r="J1341">
        <f t="shared" si="40"/>
        <v>0</v>
      </c>
      <c r="K1341">
        <f t="shared" si="41"/>
        <v>0</v>
      </c>
    </row>
    <row r="1342" spans="1:11" x14ac:dyDescent="0.25">
      <c r="A1342" t="s">
        <v>14</v>
      </c>
      <c r="B1342" t="s">
        <v>1395</v>
      </c>
      <c r="C1342" t="s">
        <v>1323</v>
      </c>
      <c r="D1342" t="s">
        <v>1323</v>
      </c>
      <c r="E1342" t="s">
        <v>1260</v>
      </c>
      <c r="F1342" s="2">
        <v>52241</v>
      </c>
      <c r="G1342">
        <v>72</v>
      </c>
      <c r="H1342">
        <v>0</v>
      </c>
      <c r="I1342">
        <v>0.23123701520351186</v>
      </c>
      <c r="J1342">
        <f t="shared" si="40"/>
        <v>0</v>
      </c>
      <c r="K1342">
        <f t="shared" si="41"/>
        <v>0</v>
      </c>
    </row>
    <row r="1343" spans="1:11" x14ac:dyDescent="0.25">
      <c r="A1343" t="s">
        <v>14</v>
      </c>
      <c r="B1343" t="s">
        <v>1396</v>
      </c>
      <c r="C1343" t="s">
        <v>1266</v>
      </c>
      <c r="D1343" t="s">
        <v>1266</v>
      </c>
      <c r="E1343" t="s">
        <v>1201</v>
      </c>
      <c r="F1343" s="3">
        <v>53473</v>
      </c>
      <c r="G1343">
        <v>37</v>
      </c>
      <c r="H1343">
        <v>135</v>
      </c>
      <c r="I1343">
        <v>0.2311425214507305</v>
      </c>
      <c r="J1343">
        <f t="shared" si="40"/>
        <v>3.6486486486486487</v>
      </c>
      <c r="K1343">
        <f t="shared" si="41"/>
        <v>0.84335784853644913</v>
      </c>
    </row>
    <row r="1344" spans="1:11" x14ac:dyDescent="0.25">
      <c r="A1344" t="s">
        <v>14</v>
      </c>
      <c r="B1344" t="s">
        <v>1397</v>
      </c>
      <c r="C1344" t="s">
        <v>991</v>
      </c>
      <c r="D1344" t="s">
        <v>991</v>
      </c>
      <c r="E1344" t="s">
        <v>991</v>
      </c>
      <c r="F1344" s="2">
        <v>35408</v>
      </c>
      <c r="G1344">
        <v>154</v>
      </c>
      <c r="H1344">
        <v>40</v>
      </c>
      <c r="I1344">
        <v>0.23145840056717112</v>
      </c>
      <c r="J1344">
        <f t="shared" si="40"/>
        <v>0.25974025974025972</v>
      </c>
      <c r="K1344">
        <f t="shared" si="41"/>
        <v>6.0119065082382107E-2</v>
      </c>
    </row>
    <row r="1345" spans="1:11" x14ac:dyDescent="0.25">
      <c r="A1345" t="s">
        <v>14</v>
      </c>
      <c r="B1345" t="s">
        <v>1398</v>
      </c>
      <c r="C1345" t="s">
        <v>1295</v>
      </c>
      <c r="D1345" t="s">
        <v>1295</v>
      </c>
      <c r="E1345" t="s">
        <v>916</v>
      </c>
      <c r="F1345" s="3">
        <v>26183</v>
      </c>
      <c r="G1345">
        <v>709</v>
      </c>
      <c r="H1345">
        <v>165</v>
      </c>
      <c r="I1345">
        <v>0.23295680150413303</v>
      </c>
      <c r="J1345">
        <f t="shared" si="40"/>
        <v>0.23272214386459802</v>
      </c>
      <c r="K1345">
        <f t="shared" si="41"/>
        <v>5.4214206273881453E-2</v>
      </c>
    </row>
    <row r="1346" spans="1:11" x14ac:dyDescent="0.25">
      <c r="A1346" t="s">
        <v>14</v>
      </c>
      <c r="B1346" t="s">
        <v>1399</v>
      </c>
      <c r="C1346" t="s">
        <v>921</v>
      </c>
      <c r="D1346" t="s">
        <v>921</v>
      </c>
      <c r="E1346" t="s">
        <v>916</v>
      </c>
      <c r="F1346" s="2">
        <v>23223</v>
      </c>
      <c r="G1346">
        <v>225</v>
      </c>
      <c r="H1346">
        <v>9</v>
      </c>
      <c r="I1346">
        <v>0.23165008789424191</v>
      </c>
      <c r="J1346">
        <f t="shared" si="40"/>
        <v>0.04</v>
      </c>
      <c r="K1346">
        <f t="shared" si="41"/>
        <v>9.2660035157696771E-3</v>
      </c>
    </row>
    <row r="1347" spans="1:11" x14ac:dyDescent="0.25">
      <c r="A1347" t="s">
        <v>14</v>
      </c>
      <c r="B1347" t="s">
        <v>1400</v>
      </c>
      <c r="C1347" t="s">
        <v>915</v>
      </c>
      <c r="D1347" t="s">
        <v>915</v>
      </c>
      <c r="E1347" t="s">
        <v>916</v>
      </c>
      <c r="F1347" s="2">
        <v>22781</v>
      </c>
      <c r="G1347">
        <v>499</v>
      </c>
      <c r="H1347">
        <v>0</v>
      </c>
      <c r="I1347">
        <v>0.23238983898744475</v>
      </c>
      <c r="J1347">
        <f t="shared" ref="J1347:J1410" si="42">IF(G1347=0,0,H1347/G1347)</f>
        <v>0</v>
      </c>
      <c r="K1347">
        <f t="shared" ref="K1347:K1410" si="43">J1347*I1347</f>
        <v>0</v>
      </c>
    </row>
    <row r="1348" spans="1:11" x14ac:dyDescent="0.25">
      <c r="A1348" t="s">
        <v>14</v>
      </c>
      <c r="B1348" t="s">
        <v>1401</v>
      </c>
      <c r="C1348" t="s">
        <v>991</v>
      </c>
      <c r="D1348" t="s">
        <v>991</v>
      </c>
      <c r="E1348" t="s">
        <v>991</v>
      </c>
      <c r="F1348" s="3">
        <v>35430</v>
      </c>
      <c r="G1348">
        <v>152</v>
      </c>
      <c r="H1348">
        <v>0</v>
      </c>
      <c r="I1348">
        <v>0.23145300092415502</v>
      </c>
      <c r="J1348">
        <f t="shared" si="42"/>
        <v>0</v>
      </c>
      <c r="K1348">
        <f t="shared" si="43"/>
        <v>0</v>
      </c>
    </row>
    <row r="1349" spans="1:11" x14ac:dyDescent="0.25">
      <c r="A1349" t="s">
        <v>14</v>
      </c>
      <c r="B1349" t="s">
        <v>1402</v>
      </c>
      <c r="C1349" t="s">
        <v>1288</v>
      </c>
      <c r="D1349" t="s">
        <v>1288</v>
      </c>
      <c r="E1349" t="s">
        <v>1270</v>
      </c>
      <c r="F1349" s="3">
        <v>61441</v>
      </c>
      <c r="G1349">
        <v>131</v>
      </c>
      <c r="H1349">
        <v>0</v>
      </c>
      <c r="I1349">
        <v>0.2313963046724862</v>
      </c>
      <c r="J1349">
        <f t="shared" si="42"/>
        <v>0</v>
      </c>
      <c r="K1349">
        <f t="shared" si="43"/>
        <v>0</v>
      </c>
    </row>
    <row r="1350" spans="1:11" x14ac:dyDescent="0.25">
      <c r="A1350" t="s">
        <v>14</v>
      </c>
      <c r="B1350" t="s">
        <v>1403</v>
      </c>
      <c r="C1350" t="s">
        <v>915</v>
      </c>
      <c r="D1350" t="s">
        <v>915</v>
      </c>
      <c r="E1350" t="s">
        <v>916</v>
      </c>
      <c r="F1350" s="2">
        <v>22751</v>
      </c>
      <c r="G1350">
        <v>1675</v>
      </c>
      <c r="H1350">
        <v>400</v>
      </c>
      <c r="I1350">
        <v>0.23556482908089918</v>
      </c>
      <c r="J1350">
        <f t="shared" si="42"/>
        <v>0.23880597014925373</v>
      </c>
      <c r="K1350">
        <f t="shared" si="43"/>
        <v>5.6254287541707262E-2</v>
      </c>
    </row>
    <row r="1351" spans="1:11" x14ac:dyDescent="0.25">
      <c r="A1351" t="s">
        <v>14</v>
      </c>
      <c r="B1351" t="s">
        <v>1404</v>
      </c>
      <c r="C1351" t="s">
        <v>937</v>
      </c>
      <c r="D1351" t="s">
        <v>937</v>
      </c>
      <c r="E1351" t="s">
        <v>937</v>
      </c>
      <c r="F1351" s="3">
        <v>71216</v>
      </c>
      <c r="G1351">
        <v>771</v>
      </c>
      <c r="H1351">
        <v>0</v>
      </c>
      <c r="I1351">
        <v>0.2331241904376315</v>
      </c>
      <c r="J1351">
        <f t="shared" si="42"/>
        <v>0</v>
      </c>
      <c r="K1351">
        <f t="shared" si="43"/>
        <v>0</v>
      </c>
    </row>
    <row r="1352" spans="1:11" x14ac:dyDescent="0.25">
      <c r="A1352" t="s">
        <v>14</v>
      </c>
      <c r="B1352" t="s">
        <v>1405</v>
      </c>
      <c r="C1352" t="s">
        <v>921</v>
      </c>
      <c r="D1352" t="s">
        <v>921</v>
      </c>
      <c r="E1352" t="s">
        <v>916</v>
      </c>
      <c r="F1352" s="2">
        <v>23449</v>
      </c>
      <c r="G1352">
        <v>796</v>
      </c>
      <c r="H1352">
        <v>0</v>
      </c>
      <c r="I1352">
        <v>0.23319168597533246</v>
      </c>
      <c r="J1352">
        <f t="shared" si="42"/>
        <v>0</v>
      </c>
      <c r="K1352">
        <f t="shared" si="43"/>
        <v>0</v>
      </c>
    </row>
    <row r="1353" spans="1:11" x14ac:dyDescent="0.25">
      <c r="A1353" t="s">
        <v>14</v>
      </c>
      <c r="B1353" t="s">
        <v>1406</v>
      </c>
      <c r="C1353" t="s">
        <v>915</v>
      </c>
      <c r="D1353" t="s">
        <v>915</v>
      </c>
      <c r="E1353" t="s">
        <v>916</v>
      </c>
      <c r="F1353" s="2">
        <v>22724</v>
      </c>
      <c r="G1353">
        <v>182</v>
      </c>
      <c r="H1353">
        <v>60</v>
      </c>
      <c r="I1353">
        <v>0.23153399556939622</v>
      </c>
      <c r="J1353">
        <f t="shared" si="42"/>
        <v>0.32967032967032966</v>
      </c>
      <c r="K1353">
        <f t="shared" si="43"/>
        <v>7.6329888649251498E-2</v>
      </c>
    </row>
    <row r="1354" spans="1:11" x14ac:dyDescent="0.25">
      <c r="A1354" t="s">
        <v>14</v>
      </c>
      <c r="B1354" t="s">
        <v>1407</v>
      </c>
      <c r="C1354" t="s">
        <v>931</v>
      </c>
      <c r="D1354" t="s">
        <v>931</v>
      </c>
      <c r="E1354" t="s">
        <v>919</v>
      </c>
      <c r="F1354" s="3">
        <v>34241</v>
      </c>
      <c r="G1354">
        <v>400</v>
      </c>
      <c r="H1354">
        <v>149</v>
      </c>
      <c r="I1354">
        <v>0.23212255665814882</v>
      </c>
      <c r="J1354">
        <f t="shared" si="42"/>
        <v>0.3725</v>
      </c>
      <c r="K1354">
        <f t="shared" si="43"/>
        <v>8.6465652355160433E-2</v>
      </c>
    </row>
    <row r="1355" spans="1:11" x14ac:dyDescent="0.25">
      <c r="A1355" t="s">
        <v>14</v>
      </c>
      <c r="B1355" t="s">
        <v>1408</v>
      </c>
      <c r="C1355" t="s">
        <v>918</v>
      </c>
      <c r="D1355" t="s">
        <v>918</v>
      </c>
      <c r="E1355" t="s">
        <v>919</v>
      </c>
      <c r="F1355" s="3">
        <v>37387</v>
      </c>
      <c r="G1355">
        <v>245</v>
      </c>
      <c r="H1355">
        <v>0</v>
      </c>
      <c r="I1355">
        <v>0.2317040843244027</v>
      </c>
      <c r="J1355">
        <f t="shared" si="42"/>
        <v>0</v>
      </c>
      <c r="K1355">
        <f t="shared" si="43"/>
        <v>0</v>
      </c>
    </row>
    <row r="1356" spans="1:11" x14ac:dyDescent="0.25">
      <c r="A1356" t="s">
        <v>14</v>
      </c>
      <c r="B1356" t="s">
        <v>1409</v>
      </c>
      <c r="C1356" t="s">
        <v>991</v>
      </c>
      <c r="D1356" t="s">
        <v>991</v>
      </c>
      <c r="E1356" t="s">
        <v>991</v>
      </c>
      <c r="F1356" s="2">
        <v>35281</v>
      </c>
      <c r="G1356">
        <v>1134</v>
      </c>
      <c r="H1356">
        <v>0</v>
      </c>
      <c r="I1356">
        <v>0.23410422564504982</v>
      </c>
      <c r="J1356">
        <f t="shared" si="42"/>
        <v>0</v>
      </c>
      <c r="K1356">
        <f t="shared" si="43"/>
        <v>0</v>
      </c>
    </row>
    <row r="1357" spans="1:11" x14ac:dyDescent="0.25">
      <c r="A1357" t="s">
        <v>14</v>
      </c>
      <c r="B1357" t="s">
        <v>1410</v>
      </c>
      <c r="C1357" t="s">
        <v>1282</v>
      </c>
      <c r="D1357" t="s">
        <v>1282</v>
      </c>
      <c r="E1357" t="s">
        <v>916</v>
      </c>
      <c r="F1357" s="3">
        <v>24341</v>
      </c>
      <c r="G1357">
        <v>304</v>
      </c>
      <c r="H1357">
        <v>0</v>
      </c>
      <c r="I1357">
        <v>0.23186337379337704</v>
      </c>
      <c r="J1357">
        <f t="shared" si="42"/>
        <v>0</v>
      </c>
      <c r="K1357">
        <f t="shared" si="43"/>
        <v>0</v>
      </c>
    </row>
    <row r="1358" spans="1:11" x14ac:dyDescent="0.25">
      <c r="A1358" t="s">
        <v>14</v>
      </c>
      <c r="B1358" t="s">
        <v>1411</v>
      </c>
      <c r="C1358" t="s">
        <v>915</v>
      </c>
      <c r="D1358" t="s">
        <v>915</v>
      </c>
      <c r="E1358" t="s">
        <v>916</v>
      </c>
      <c r="F1358" s="2">
        <v>22635</v>
      </c>
      <c r="G1358">
        <v>652</v>
      </c>
      <c r="H1358">
        <v>45</v>
      </c>
      <c r="I1358">
        <v>0.2328029116781748</v>
      </c>
      <c r="J1358">
        <f t="shared" si="42"/>
        <v>6.9018404907975464E-2</v>
      </c>
      <c r="K1358">
        <f t="shared" si="43"/>
        <v>1.6067685621959919E-2</v>
      </c>
    </row>
    <row r="1359" spans="1:11" x14ac:dyDescent="0.25">
      <c r="A1359" t="s">
        <v>14</v>
      </c>
      <c r="B1359" t="s">
        <v>1412</v>
      </c>
      <c r="C1359" t="s">
        <v>931</v>
      </c>
      <c r="D1359" t="s">
        <v>931</v>
      </c>
      <c r="E1359" t="s">
        <v>919</v>
      </c>
      <c r="F1359" s="2">
        <v>34376</v>
      </c>
      <c r="G1359">
        <v>225</v>
      </c>
      <c r="H1359">
        <v>0</v>
      </c>
      <c r="I1359">
        <v>0.23165008789424191</v>
      </c>
      <c r="J1359">
        <f t="shared" si="42"/>
        <v>0</v>
      </c>
      <c r="K1359">
        <f t="shared" si="43"/>
        <v>0</v>
      </c>
    </row>
    <row r="1360" spans="1:11" x14ac:dyDescent="0.25">
      <c r="A1360" t="s">
        <v>14</v>
      </c>
      <c r="B1360" t="s">
        <v>1413</v>
      </c>
      <c r="C1360" t="s">
        <v>1259</v>
      </c>
      <c r="D1360" t="s">
        <v>1259</v>
      </c>
      <c r="E1360" t="s">
        <v>1260</v>
      </c>
      <c r="F1360" s="3">
        <v>51115</v>
      </c>
      <c r="G1360">
        <v>2553</v>
      </c>
      <c r="H1360">
        <v>0</v>
      </c>
      <c r="I1360">
        <v>0.23793527236495787</v>
      </c>
      <c r="J1360">
        <f t="shared" si="42"/>
        <v>0</v>
      </c>
      <c r="K1360">
        <f t="shared" si="43"/>
        <v>0</v>
      </c>
    </row>
    <row r="1361" spans="1:11" x14ac:dyDescent="0.25">
      <c r="A1361" t="s">
        <v>14</v>
      </c>
      <c r="B1361" t="s">
        <v>1414</v>
      </c>
      <c r="C1361" t="s">
        <v>1297</v>
      </c>
      <c r="D1361" t="s">
        <v>1297</v>
      </c>
      <c r="E1361" t="s">
        <v>919</v>
      </c>
      <c r="F1361" s="2">
        <v>33231</v>
      </c>
      <c r="G1361">
        <v>61</v>
      </c>
      <c r="H1361">
        <v>0</v>
      </c>
      <c r="I1361">
        <v>0.23120731716692344</v>
      </c>
      <c r="J1361">
        <f t="shared" si="42"/>
        <v>0</v>
      </c>
      <c r="K1361">
        <f t="shared" si="43"/>
        <v>0</v>
      </c>
    </row>
    <row r="1362" spans="1:11" x14ac:dyDescent="0.25">
      <c r="A1362" t="s">
        <v>14</v>
      </c>
      <c r="B1362" t="s">
        <v>1415</v>
      </c>
      <c r="C1362" t="s">
        <v>934</v>
      </c>
      <c r="D1362" t="s">
        <v>934</v>
      </c>
      <c r="E1362" t="s">
        <v>919</v>
      </c>
      <c r="F1362" s="2">
        <v>32173</v>
      </c>
      <c r="G1362">
        <v>28</v>
      </c>
      <c r="H1362">
        <v>0</v>
      </c>
      <c r="I1362">
        <v>0.23111822305715812</v>
      </c>
      <c r="J1362">
        <f t="shared" si="42"/>
        <v>0</v>
      </c>
      <c r="K1362">
        <f t="shared" si="43"/>
        <v>0</v>
      </c>
    </row>
    <row r="1363" spans="1:11" x14ac:dyDescent="0.25">
      <c r="A1363" t="s">
        <v>14</v>
      </c>
      <c r="B1363" t="s">
        <v>1416</v>
      </c>
      <c r="C1363" t="s">
        <v>915</v>
      </c>
      <c r="D1363" t="s">
        <v>915</v>
      </c>
      <c r="E1363" t="s">
        <v>916</v>
      </c>
      <c r="F1363" s="3">
        <v>22515</v>
      </c>
      <c r="G1363">
        <v>1228</v>
      </c>
      <c r="H1363">
        <v>0</v>
      </c>
      <c r="I1363">
        <v>0.23435800886680552</v>
      </c>
      <c r="J1363">
        <f t="shared" si="42"/>
        <v>0</v>
      </c>
      <c r="K1363">
        <f t="shared" si="43"/>
        <v>0</v>
      </c>
    </row>
    <row r="1364" spans="1:11" x14ac:dyDescent="0.25">
      <c r="A1364" t="s">
        <v>14</v>
      </c>
      <c r="B1364" t="s">
        <v>1417</v>
      </c>
      <c r="C1364" t="s">
        <v>918</v>
      </c>
      <c r="D1364" t="s">
        <v>918</v>
      </c>
      <c r="E1364" t="s">
        <v>919</v>
      </c>
      <c r="F1364" s="2">
        <v>37281</v>
      </c>
      <c r="G1364">
        <v>220</v>
      </c>
      <c r="H1364">
        <v>0</v>
      </c>
      <c r="I1364">
        <v>0.23163658878670171</v>
      </c>
      <c r="J1364">
        <f t="shared" si="42"/>
        <v>0</v>
      </c>
      <c r="K1364">
        <f t="shared" si="43"/>
        <v>0</v>
      </c>
    </row>
    <row r="1365" spans="1:11" x14ac:dyDescent="0.25">
      <c r="A1365" t="s">
        <v>14</v>
      </c>
      <c r="B1365" t="s">
        <v>1418</v>
      </c>
      <c r="C1365" t="s">
        <v>1280</v>
      </c>
      <c r="D1365" t="s">
        <v>1280</v>
      </c>
      <c r="E1365" t="s">
        <v>937</v>
      </c>
      <c r="F1365" s="3">
        <v>74131</v>
      </c>
      <c r="G1365">
        <v>554</v>
      </c>
      <c r="H1365">
        <v>97</v>
      </c>
      <c r="I1365">
        <v>0.23253832917038691</v>
      </c>
      <c r="J1365">
        <f t="shared" si="42"/>
        <v>0.17509025270758122</v>
      </c>
      <c r="K1365">
        <f t="shared" si="43"/>
        <v>4.0715194818641748E-2</v>
      </c>
    </row>
    <row r="1366" spans="1:11" x14ac:dyDescent="0.25">
      <c r="A1366" t="s">
        <v>14</v>
      </c>
      <c r="B1366" t="s">
        <v>1419</v>
      </c>
      <c r="C1366" t="s">
        <v>1282</v>
      </c>
      <c r="D1366" t="s">
        <v>1282</v>
      </c>
      <c r="E1366" t="s">
        <v>916</v>
      </c>
      <c r="F1366" s="3">
        <v>24443</v>
      </c>
      <c r="G1366">
        <v>30</v>
      </c>
      <c r="H1366">
        <v>22</v>
      </c>
      <c r="I1366">
        <v>0.23112362270017422</v>
      </c>
      <c r="J1366">
        <f t="shared" si="42"/>
        <v>0.73333333333333328</v>
      </c>
      <c r="K1366">
        <f t="shared" si="43"/>
        <v>0.16949065664679441</v>
      </c>
    </row>
    <row r="1367" spans="1:11" x14ac:dyDescent="0.25">
      <c r="A1367" t="s">
        <v>14</v>
      </c>
      <c r="B1367" t="s">
        <v>1420</v>
      </c>
      <c r="C1367" t="s">
        <v>1332</v>
      </c>
      <c r="D1367" t="s">
        <v>1332</v>
      </c>
      <c r="E1367" t="s">
        <v>1270</v>
      </c>
      <c r="F1367" s="3">
        <v>63331</v>
      </c>
      <c r="G1367">
        <v>73</v>
      </c>
      <c r="H1367">
        <v>0</v>
      </c>
      <c r="I1367">
        <v>0.23123971502501992</v>
      </c>
      <c r="J1367">
        <f t="shared" si="42"/>
        <v>0</v>
      </c>
      <c r="K1367">
        <f t="shared" si="43"/>
        <v>0</v>
      </c>
    </row>
    <row r="1368" spans="1:11" x14ac:dyDescent="0.25">
      <c r="A1368" t="s">
        <v>14</v>
      </c>
      <c r="B1368" t="s">
        <v>1421</v>
      </c>
      <c r="C1368" t="s">
        <v>1288</v>
      </c>
      <c r="D1368" t="s">
        <v>1288</v>
      </c>
      <c r="E1368" t="s">
        <v>1270</v>
      </c>
      <c r="F1368" s="2">
        <v>61418</v>
      </c>
      <c r="G1368">
        <v>796</v>
      </c>
      <c r="H1368">
        <v>144</v>
      </c>
      <c r="I1368">
        <v>0.23319168597533246</v>
      </c>
      <c r="J1368">
        <f t="shared" si="42"/>
        <v>0.18090452261306533</v>
      </c>
      <c r="K1368">
        <f t="shared" si="43"/>
        <v>4.2185430628703363E-2</v>
      </c>
    </row>
    <row r="1369" spans="1:11" x14ac:dyDescent="0.25">
      <c r="A1369" t="s">
        <v>14</v>
      </c>
      <c r="B1369" t="s">
        <v>1422</v>
      </c>
      <c r="C1369" t="s">
        <v>915</v>
      </c>
      <c r="D1369" t="s">
        <v>915</v>
      </c>
      <c r="E1369" t="s">
        <v>916</v>
      </c>
      <c r="F1369" s="3">
        <v>22245</v>
      </c>
      <c r="G1369">
        <v>1456</v>
      </c>
      <c r="H1369">
        <v>68</v>
      </c>
      <c r="I1369">
        <v>0.23497356817063855</v>
      </c>
      <c r="J1369">
        <f t="shared" si="42"/>
        <v>4.6703296703296704E-2</v>
      </c>
      <c r="K1369">
        <f t="shared" si="43"/>
        <v>1.0974040271705647E-2</v>
      </c>
    </row>
    <row r="1370" spans="1:11" x14ac:dyDescent="0.25">
      <c r="A1370" t="s">
        <v>14</v>
      </c>
      <c r="B1370" t="s">
        <v>1423</v>
      </c>
      <c r="C1370" t="s">
        <v>1307</v>
      </c>
      <c r="D1370" t="s">
        <v>1307</v>
      </c>
      <c r="E1370" t="s">
        <v>916</v>
      </c>
      <c r="F1370" s="2">
        <v>25482</v>
      </c>
      <c r="G1370">
        <v>19</v>
      </c>
      <c r="H1370">
        <v>0</v>
      </c>
      <c r="I1370">
        <v>0.23109392466358578</v>
      </c>
      <c r="J1370">
        <f t="shared" si="42"/>
        <v>0</v>
      </c>
      <c r="K1370">
        <f t="shared" si="43"/>
        <v>0</v>
      </c>
    </row>
    <row r="1371" spans="1:11" x14ac:dyDescent="0.25">
      <c r="A1371" t="s">
        <v>14</v>
      </c>
      <c r="B1371" t="s">
        <v>1424</v>
      </c>
      <c r="C1371" t="s">
        <v>918</v>
      </c>
      <c r="D1371" t="s">
        <v>918</v>
      </c>
      <c r="E1371" t="s">
        <v>919</v>
      </c>
      <c r="F1371" s="3">
        <v>37349</v>
      </c>
      <c r="G1371">
        <v>519</v>
      </c>
      <c r="H1371">
        <v>15</v>
      </c>
      <c r="I1371">
        <v>0.23244383541760552</v>
      </c>
      <c r="J1371">
        <f t="shared" si="42"/>
        <v>2.8901734104046242E-2</v>
      </c>
      <c r="K1371">
        <f t="shared" si="43"/>
        <v>6.7180299253643211E-3</v>
      </c>
    </row>
    <row r="1372" spans="1:11" x14ac:dyDescent="0.25">
      <c r="A1372" t="s">
        <v>14</v>
      </c>
      <c r="B1372" t="s">
        <v>1425</v>
      </c>
      <c r="C1372" t="s">
        <v>1266</v>
      </c>
      <c r="D1372" t="s">
        <v>1266</v>
      </c>
      <c r="E1372" t="s">
        <v>1201</v>
      </c>
      <c r="F1372" s="2">
        <v>53244</v>
      </c>
      <c r="G1372">
        <v>83</v>
      </c>
      <c r="H1372">
        <v>0</v>
      </c>
      <c r="I1372">
        <v>0.23126671324010031</v>
      </c>
      <c r="J1372">
        <f t="shared" si="42"/>
        <v>0</v>
      </c>
      <c r="K1372">
        <f t="shared" si="43"/>
        <v>0</v>
      </c>
    </row>
    <row r="1373" spans="1:11" x14ac:dyDescent="0.25">
      <c r="A1373" t="s">
        <v>14</v>
      </c>
      <c r="B1373" t="s">
        <v>1426</v>
      </c>
      <c r="C1373" t="s">
        <v>921</v>
      </c>
      <c r="D1373" t="s">
        <v>921</v>
      </c>
      <c r="E1373" t="s">
        <v>916</v>
      </c>
      <c r="F1373" s="2">
        <v>23425</v>
      </c>
      <c r="G1373">
        <v>173</v>
      </c>
      <c r="H1373">
        <v>0</v>
      </c>
      <c r="I1373">
        <v>0.23150969717582387</v>
      </c>
      <c r="J1373">
        <f t="shared" si="42"/>
        <v>0</v>
      </c>
      <c r="K1373">
        <f t="shared" si="43"/>
        <v>0</v>
      </c>
    </row>
    <row r="1374" spans="1:11" x14ac:dyDescent="0.25">
      <c r="A1374" t="s">
        <v>14</v>
      </c>
      <c r="B1374" t="s">
        <v>1427</v>
      </c>
      <c r="C1374" t="s">
        <v>921</v>
      </c>
      <c r="D1374" t="s">
        <v>921</v>
      </c>
      <c r="E1374" t="s">
        <v>916</v>
      </c>
      <c r="F1374" s="3">
        <v>23351</v>
      </c>
      <c r="G1374">
        <v>16</v>
      </c>
      <c r="H1374">
        <v>0</v>
      </c>
      <c r="I1374">
        <v>0.23108582519906165</v>
      </c>
      <c r="J1374">
        <f t="shared" si="42"/>
        <v>0</v>
      </c>
      <c r="K1374">
        <f t="shared" si="43"/>
        <v>0</v>
      </c>
    </row>
    <row r="1375" spans="1:11" x14ac:dyDescent="0.25">
      <c r="A1375" t="s">
        <v>14</v>
      </c>
      <c r="B1375" t="s">
        <v>1428</v>
      </c>
      <c r="C1375" t="s">
        <v>1307</v>
      </c>
      <c r="D1375" t="s">
        <v>1307</v>
      </c>
      <c r="E1375" t="s">
        <v>916</v>
      </c>
      <c r="F1375" s="2">
        <v>25361</v>
      </c>
      <c r="G1375">
        <v>690</v>
      </c>
      <c r="H1375">
        <v>60</v>
      </c>
      <c r="I1375">
        <v>0.23290550489548029</v>
      </c>
      <c r="J1375">
        <f t="shared" si="42"/>
        <v>8.6956521739130432E-2</v>
      </c>
      <c r="K1375">
        <f t="shared" si="43"/>
        <v>2.0252652599606982E-2</v>
      </c>
    </row>
    <row r="1376" spans="1:11" x14ac:dyDescent="0.25">
      <c r="A1376" t="s">
        <v>14</v>
      </c>
      <c r="B1376" t="s">
        <v>1429</v>
      </c>
      <c r="C1376" t="s">
        <v>991</v>
      </c>
      <c r="D1376" t="s">
        <v>991</v>
      </c>
      <c r="E1376" t="s">
        <v>991</v>
      </c>
      <c r="F1376" s="2">
        <v>35251</v>
      </c>
      <c r="G1376">
        <v>269</v>
      </c>
      <c r="H1376">
        <v>0</v>
      </c>
      <c r="I1376">
        <v>0.23176888004059565</v>
      </c>
      <c r="J1376">
        <f t="shared" si="42"/>
        <v>0</v>
      </c>
      <c r="K1376">
        <f t="shared" si="43"/>
        <v>0</v>
      </c>
    </row>
    <row r="1377" spans="1:11" x14ac:dyDescent="0.25">
      <c r="A1377" t="s">
        <v>14</v>
      </c>
      <c r="B1377" t="s">
        <v>1430</v>
      </c>
      <c r="C1377" t="s">
        <v>915</v>
      </c>
      <c r="D1377" t="s">
        <v>915</v>
      </c>
      <c r="E1377" t="s">
        <v>916</v>
      </c>
      <c r="F1377" s="2">
        <v>22479</v>
      </c>
      <c r="G1377">
        <v>1223</v>
      </c>
      <c r="H1377">
        <v>18</v>
      </c>
      <c r="I1377">
        <v>0.23434450975926532</v>
      </c>
      <c r="J1377">
        <f t="shared" si="42"/>
        <v>1.4717906786590351E-2</v>
      </c>
      <c r="K1377">
        <f t="shared" si="43"/>
        <v>3.4490606505860797E-3</v>
      </c>
    </row>
    <row r="1378" spans="1:11" x14ac:dyDescent="0.25">
      <c r="A1378" t="s">
        <v>14</v>
      </c>
      <c r="B1378" t="s">
        <v>1431</v>
      </c>
      <c r="C1378" t="s">
        <v>915</v>
      </c>
      <c r="D1378" t="s">
        <v>915</v>
      </c>
      <c r="E1378" t="s">
        <v>916</v>
      </c>
      <c r="F1378" s="3">
        <v>22383</v>
      </c>
      <c r="G1378">
        <v>3611</v>
      </c>
      <c r="H1378">
        <v>117</v>
      </c>
      <c r="I1378">
        <v>0.24079168352046365</v>
      </c>
      <c r="J1378">
        <f t="shared" si="42"/>
        <v>3.2400996953752426E-2</v>
      </c>
      <c r="K1378">
        <f t="shared" si="43"/>
        <v>7.8018906042354608E-3</v>
      </c>
    </row>
    <row r="1379" spans="1:11" x14ac:dyDescent="0.25">
      <c r="A1379" t="s">
        <v>14</v>
      </c>
      <c r="B1379" t="s">
        <v>1432</v>
      </c>
      <c r="C1379" t="s">
        <v>1269</v>
      </c>
      <c r="D1379" t="s">
        <v>1269</v>
      </c>
      <c r="E1379" t="s">
        <v>1270</v>
      </c>
      <c r="F1379" s="2">
        <v>62249</v>
      </c>
      <c r="G1379">
        <v>134</v>
      </c>
      <c r="H1379">
        <v>0</v>
      </c>
      <c r="I1379">
        <v>0.23140440413701033</v>
      </c>
      <c r="J1379">
        <f t="shared" si="42"/>
        <v>0</v>
      </c>
      <c r="K1379">
        <f t="shared" si="43"/>
        <v>0</v>
      </c>
    </row>
    <row r="1380" spans="1:11" x14ac:dyDescent="0.25">
      <c r="A1380" t="s">
        <v>14</v>
      </c>
      <c r="B1380" t="s">
        <v>1433</v>
      </c>
      <c r="C1380" t="s">
        <v>1266</v>
      </c>
      <c r="D1380" t="s">
        <v>1266</v>
      </c>
      <c r="E1380" t="s">
        <v>1201</v>
      </c>
      <c r="F1380" s="3">
        <v>53421</v>
      </c>
      <c r="G1380">
        <v>239</v>
      </c>
      <c r="H1380">
        <v>0</v>
      </c>
      <c r="I1380">
        <v>0.23168788539535448</v>
      </c>
      <c r="J1380">
        <f t="shared" si="42"/>
        <v>0</v>
      </c>
      <c r="K1380">
        <f t="shared" si="43"/>
        <v>0</v>
      </c>
    </row>
    <row r="1381" spans="1:11" x14ac:dyDescent="0.25">
      <c r="A1381" t="s">
        <v>14</v>
      </c>
      <c r="B1381" t="s">
        <v>1434</v>
      </c>
      <c r="C1381" t="s">
        <v>915</v>
      </c>
      <c r="D1381" t="s">
        <v>915</v>
      </c>
      <c r="E1381" t="s">
        <v>916</v>
      </c>
      <c r="F1381" s="2">
        <v>22367</v>
      </c>
      <c r="G1381">
        <v>2224</v>
      </c>
      <c r="H1381">
        <v>15</v>
      </c>
      <c r="I1381">
        <v>0.23704703108881287</v>
      </c>
      <c r="J1381">
        <f t="shared" si="42"/>
        <v>6.7446043165467623E-3</v>
      </c>
      <c r="K1381">
        <f t="shared" si="43"/>
        <v>1.5987884291062018E-3</v>
      </c>
    </row>
    <row r="1382" spans="1:11" x14ac:dyDescent="0.25">
      <c r="A1382" t="s">
        <v>14</v>
      </c>
      <c r="B1382" t="s">
        <v>1435</v>
      </c>
      <c r="C1382" t="s">
        <v>918</v>
      </c>
      <c r="D1382" t="s">
        <v>918</v>
      </c>
      <c r="E1382" t="s">
        <v>919</v>
      </c>
      <c r="F1382" s="3">
        <v>37375</v>
      </c>
      <c r="G1382">
        <v>69</v>
      </c>
      <c r="H1382">
        <v>0</v>
      </c>
      <c r="I1382">
        <v>0.23122891573898777</v>
      </c>
      <c r="J1382">
        <f t="shared" si="42"/>
        <v>0</v>
      </c>
      <c r="K1382">
        <f t="shared" si="43"/>
        <v>0</v>
      </c>
    </row>
    <row r="1383" spans="1:11" x14ac:dyDescent="0.25">
      <c r="A1383" t="s">
        <v>14</v>
      </c>
      <c r="B1383" t="s">
        <v>1436</v>
      </c>
      <c r="C1383" t="s">
        <v>1280</v>
      </c>
      <c r="D1383" t="s">
        <v>1280</v>
      </c>
      <c r="E1383" t="s">
        <v>937</v>
      </c>
      <c r="F1383" s="2">
        <v>74181</v>
      </c>
      <c r="G1383">
        <v>15</v>
      </c>
      <c r="H1383">
        <v>0</v>
      </c>
      <c r="I1383">
        <v>0.23108312537755363</v>
      </c>
      <c r="J1383">
        <f t="shared" si="42"/>
        <v>0</v>
      </c>
      <c r="K1383">
        <f t="shared" si="43"/>
        <v>0</v>
      </c>
    </row>
    <row r="1384" spans="1:11" x14ac:dyDescent="0.25">
      <c r="A1384" t="s">
        <v>14</v>
      </c>
      <c r="B1384" t="s">
        <v>1437</v>
      </c>
      <c r="C1384" t="s">
        <v>1332</v>
      </c>
      <c r="D1384" t="s">
        <v>1332</v>
      </c>
      <c r="E1384" t="s">
        <v>1270</v>
      </c>
      <c r="F1384" s="3">
        <v>63234</v>
      </c>
      <c r="G1384">
        <v>223</v>
      </c>
      <c r="H1384">
        <v>13</v>
      </c>
      <c r="I1384">
        <v>0.23164468825122583</v>
      </c>
      <c r="J1384">
        <f t="shared" si="42"/>
        <v>5.829596412556054E-2</v>
      </c>
      <c r="K1384">
        <f t="shared" si="43"/>
        <v>1.3503950436170116E-2</v>
      </c>
    </row>
    <row r="1385" spans="1:11" x14ac:dyDescent="0.25">
      <c r="A1385" t="s">
        <v>14</v>
      </c>
      <c r="B1385" t="s">
        <v>1438</v>
      </c>
      <c r="C1385" t="s">
        <v>1269</v>
      </c>
      <c r="D1385" t="s">
        <v>1269</v>
      </c>
      <c r="E1385" t="s">
        <v>1270</v>
      </c>
      <c r="F1385" s="2">
        <v>62318</v>
      </c>
      <c r="G1385">
        <v>11</v>
      </c>
      <c r="H1385">
        <v>0</v>
      </c>
      <c r="I1385">
        <v>0.23107232609152145</v>
      </c>
      <c r="J1385">
        <f t="shared" si="42"/>
        <v>0</v>
      </c>
      <c r="K1385">
        <f t="shared" si="43"/>
        <v>0</v>
      </c>
    </row>
    <row r="1386" spans="1:11" x14ac:dyDescent="0.25">
      <c r="A1386" t="s">
        <v>14</v>
      </c>
      <c r="B1386" t="s">
        <v>1439</v>
      </c>
      <c r="C1386" t="s">
        <v>1307</v>
      </c>
      <c r="D1386" t="s">
        <v>1307</v>
      </c>
      <c r="E1386" t="s">
        <v>916</v>
      </c>
      <c r="F1386" s="2">
        <v>25176</v>
      </c>
      <c r="G1386">
        <v>3699</v>
      </c>
      <c r="H1386">
        <v>0</v>
      </c>
      <c r="I1386">
        <v>0.24102926781317113</v>
      </c>
      <c r="J1386">
        <f t="shared" si="42"/>
        <v>0</v>
      </c>
      <c r="K1386">
        <f t="shared" si="43"/>
        <v>0</v>
      </c>
    </row>
    <row r="1387" spans="1:11" x14ac:dyDescent="0.25">
      <c r="A1387" t="s">
        <v>14</v>
      </c>
      <c r="B1387" t="s">
        <v>1440</v>
      </c>
      <c r="C1387" t="s">
        <v>1307</v>
      </c>
      <c r="D1387" t="s">
        <v>1307</v>
      </c>
      <c r="E1387" t="s">
        <v>916</v>
      </c>
      <c r="F1387" s="3">
        <v>25181</v>
      </c>
      <c r="G1387">
        <v>299</v>
      </c>
      <c r="H1387">
        <v>0</v>
      </c>
      <c r="I1387">
        <v>0.23184987468583684</v>
      </c>
      <c r="J1387">
        <f t="shared" si="42"/>
        <v>0</v>
      </c>
      <c r="K1387">
        <f t="shared" si="43"/>
        <v>0</v>
      </c>
    </row>
    <row r="1388" spans="1:11" x14ac:dyDescent="0.25">
      <c r="A1388" t="s">
        <v>14</v>
      </c>
      <c r="B1388" t="s">
        <v>1441</v>
      </c>
      <c r="C1388" t="s">
        <v>1291</v>
      </c>
      <c r="D1388" t="s">
        <v>1291</v>
      </c>
      <c r="E1388" t="s">
        <v>1260</v>
      </c>
      <c r="F1388" s="2">
        <v>55147</v>
      </c>
      <c r="G1388">
        <v>615</v>
      </c>
      <c r="H1388">
        <v>2</v>
      </c>
      <c r="I1388">
        <v>0.23270301828237733</v>
      </c>
      <c r="J1388">
        <f t="shared" si="42"/>
        <v>3.2520325203252032E-3</v>
      </c>
      <c r="K1388">
        <f t="shared" si="43"/>
        <v>7.5675778303212139E-4</v>
      </c>
    </row>
    <row r="1389" spans="1:11" x14ac:dyDescent="0.25">
      <c r="A1389" t="s">
        <v>14</v>
      </c>
      <c r="B1389" t="s">
        <v>1442</v>
      </c>
      <c r="C1389" t="s">
        <v>1288</v>
      </c>
      <c r="D1389" t="s">
        <v>1288</v>
      </c>
      <c r="E1389" t="s">
        <v>1270</v>
      </c>
      <c r="F1389" s="3">
        <v>61421</v>
      </c>
      <c r="G1389">
        <v>431</v>
      </c>
      <c r="H1389">
        <v>90</v>
      </c>
      <c r="I1389">
        <v>0.23220625112489807</v>
      </c>
      <c r="J1389">
        <f t="shared" si="42"/>
        <v>0.20881670533642691</v>
      </c>
      <c r="K1389">
        <f t="shared" si="43"/>
        <v>4.8488544318424191E-2</v>
      </c>
    </row>
    <row r="1390" spans="1:11" x14ac:dyDescent="0.25">
      <c r="A1390" t="s">
        <v>14</v>
      </c>
      <c r="B1390" t="s">
        <v>1443</v>
      </c>
      <c r="C1390" t="s">
        <v>1269</v>
      </c>
      <c r="D1390" t="s">
        <v>1269</v>
      </c>
      <c r="E1390" t="s">
        <v>1270</v>
      </c>
      <c r="F1390" s="2">
        <v>62299</v>
      </c>
      <c r="G1390">
        <v>21</v>
      </c>
      <c r="H1390">
        <v>0</v>
      </c>
      <c r="I1390">
        <v>0.23109932430660185</v>
      </c>
      <c r="J1390">
        <f t="shared" si="42"/>
        <v>0</v>
      </c>
      <c r="K1390">
        <f t="shared" si="43"/>
        <v>0</v>
      </c>
    </row>
    <row r="1391" spans="1:11" x14ac:dyDescent="0.25">
      <c r="A1391" t="s">
        <v>14</v>
      </c>
      <c r="B1391" t="s">
        <v>1444</v>
      </c>
      <c r="C1391" t="s">
        <v>1297</v>
      </c>
      <c r="D1391" t="s">
        <v>1297</v>
      </c>
      <c r="E1391" t="s">
        <v>919</v>
      </c>
      <c r="F1391" s="3">
        <v>33263</v>
      </c>
      <c r="G1391">
        <v>10</v>
      </c>
      <c r="H1391">
        <v>0</v>
      </c>
      <c r="I1391">
        <v>0.23106962627001343</v>
      </c>
      <c r="J1391">
        <f t="shared" si="42"/>
        <v>0</v>
      </c>
      <c r="K1391">
        <f t="shared" si="43"/>
        <v>0</v>
      </c>
    </row>
    <row r="1392" spans="1:11" x14ac:dyDescent="0.25">
      <c r="A1392" t="s">
        <v>14</v>
      </c>
      <c r="B1392" t="s">
        <v>1445</v>
      </c>
      <c r="C1392" t="s">
        <v>1266</v>
      </c>
      <c r="D1392" t="s">
        <v>1266</v>
      </c>
      <c r="E1392" t="s">
        <v>1201</v>
      </c>
      <c r="F1392" s="2">
        <v>53254</v>
      </c>
      <c r="G1392">
        <v>512</v>
      </c>
      <c r="H1392">
        <v>0</v>
      </c>
      <c r="I1392">
        <v>0.23242493666704925</v>
      </c>
      <c r="J1392">
        <f t="shared" si="42"/>
        <v>0</v>
      </c>
      <c r="K1392">
        <f t="shared" si="43"/>
        <v>0</v>
      </c>
    </row>
    <row r="1393" spans="1:11" x14ac:dyDescent="0.25">
      <c r="A1393" t="s">
        <v>14</v>
      </c>
      <c r="B1393" t="s">
        <v>1446</v>
      </c>
      <c r="C1393" t="s">
        <v>1295</v>
      </c>
      <c r="D1393" t="s">
        <v>1295</v>
      </c>
      <c r="E1393" t="s">
        <v>916</v>
      </c>
      <c r="F1393" s="2">
        <v>26219</v>
      </c>
      <c r="G1393">
        <v>35</v>
      </c>
      <c r="H1393">
        <v>32</v>
      </c>
      <c r="I1393">
        <v>0.23113712180771442</v>
      </c>
      <c r="J1393">
        <f t="shared" si="42"/>
        <v>0.91428571428571426</v>
      </c>
      <c r="K1393">
        <f t="shared" si="43"/>
        <v>0.21132536850991032</v>
      </c>
    </row>
    <row r="1394" spans="1:11" x14ac:dyDescent="0.25">
      <c r="A1394" t="s">
        <v>14</v>
      </c>
      <c r="B1394" t="s">
        <v>1447</v>
      </c>
      <c r="C1394" t="s">
        <v>1307</v>
      </c>
      <c r="D1394" t="s">
        <v>1307</v>
      </c>
      <c r="E1394" t="s">
        <v>916</v>
      </c>
      <c r="F1394" s="3">
        <v>25371</v>
      </c>
      <c r="G1394">
        <v>457</v>
      </c>
      <c r="H1394">
        <v>0</v>
      </c>
      <c r="I1394">
        <v>0.23227644648410709</v>
      </c>
      <c r="J1394">
        <f t="shared" si="42"/>
        <v>0</v>
      </c>
      <c r="K1394">
        <f t="shared" si="43"/>
        <v>0</v>
      </c>
    </row>
    <row r="1395" spans="1:11" x14ac:dyDescent="0.25">
      <c r="A1395" t="s">
        <v>14</v>
      </c>
      <c r="B1395" t="s">
        <v>1448</v>
      </c>
      <c r="C1395" t="s">
        <v>1259</v>
      </c>
      <c r="D1395" t="s">
        <v>1259</v>
      </c>
      <c r="E1395" t="s">
        <v>1260</v>
      </c>
      <c r="F1395" s="3">
        <v>51341</v>
      </c>
      <c r="G1395">
        <v>35</v>
      </c>
      <c r="H1395">
        <v>0</v>
      </c>
      <c r="I1395">
        <v>0.23113712180771442</v>
      </c>
      <c r="J1395">
        <f t="shared" si="42"/>
        <v>0</v>
      </c>
      <c r="K1395">
        <f t="shared" si="43"/>
        <v>0</v>
      </c>
    </row>
    <row r="1396" spans="1:11" x14ac:dyDescent="0.25">
      <c r="A1396" t="s">
        <v>14</v>
      </c>
      <c r="B1396" t="s">
        <v>1449</v>
      </c>
      <c r="C1396" t="s">
        <v>991</v>
      </c>
      <c r="D1396" t="s">
        <v>991</v>
      </c>
      <c r="E1396" t="s">
        <v>991</v>
      </c>
      <c r="F1396" s="2">
        <v>35451</v>
      </c>
      <c r="G1396">
        <v>67</v>
      </c>
      <c r="H1396">
        <v>0</v>
      </c>
      <c r="I1396">
        <v>0.23122351609597167</v>
      </c>
      <c r="J1396">
        <f t="shared" si="42"/>
        <v>0</v>
      </c>
      <c r="K1396">
        <f t="shared" si="43"/>
        <v>0</v>
      </c>
    </row>
    <row r="1397" spans="1:11" x14ac:dyDescent="0.25">
      <c r="A1397" t="s">
        <v>14</v>
      </c>
      <c r="B1397" t="s">
        <v>1450</v>
      </c>
      <c r="C1397" t="s">
        <v>1295</v>
      </c>
      <c r="D1397" t="s">
        <v>1295</v>
      </c>
      <c r="E1397" t="s">
        <v>916</v>
      </c>
      <c r="F1397" s="3">
        <v>26264</v>
      </c>
      <c r="G1397">
        <v>58</v>
      </c>
      <c r="H1397">
        <v>0</v>
      </c>
      <c r="I1397">
        <v>0.23119921770239932</v>
      </c>
      <c r="J1397">
        <f t="shared" si="42"/>
        <v>0</v>
      </c>
      <c r="K1397">
        <f t="shared" si="43"/>
        <v>0</v>
      </c>
    </row>
    <row r="1398" spans="1:11" x14ac:dyDescent="0.25">
      <c r="A1398" t="s">
        <v>14</v>
      </c>
      <c r="B1398" t="s">
        <v>1451</v>
      </c>
      <c r="C1398" t="s">
        <v>1332</v>
      </c>
      <c r="D1398" t="s">
        <v>1332</v>
      </c>
      <c r="E1398" t="s">
        <v>1270</v>
      </c>
      <c r="F1398" s="2">
        <v>63359</v>
      </c>
      <c r="G1398">
        <v>8</v>
      </c>
      <c r="H1398">
        <v>0</v>
      </c>
      <c r="I1398">
        <v>0.23106422662699735</v>
      </c>
      <c r="J1398">
        <f t="shared" si="42"/>
        <v>0</v>
      </c>
      <c r="K1398">
        <f t="shared" si="43"/>
        <v>0</v>
      </c>
    </row>
    <row r="1399" spans="1:11" x14ac:dyDescent="0.25">
      <c r="A1399" t="s">
        <v>14</v>
      </c>
      <c r="B1399" t="s">
        <v>1452</v>
      </c>
      <c r="C1399" t="s">
        <v>1332</v>
      </c>
      <c r="D1399" t="s">
        <v>1332</v>
      </c>
      <c r="E1399" t="s">
        <v>1270</v>
      </c>
      <c r="F1399" s="3">
        <v>63335</v>
      </c>
      <c r="G1399">
        <v>7</v>
      </c>
      <c r="H1399">
        <v>0</v>
      </c>
      <c r="I1399">
        <v>0.2310615268054893</v>
      </c>
      <c r="J1399">
        <f t="shared" si="42"/>
        <v>0</v>
      </c>
      <c r="K1399">
        <f t="shared" si="43"/>
        <v>0</v>
      </c>
    </row>
    <row r="1400" spans="1:11" x14ac:dyDescent="0.25">
      <c r="A1400" t="s">
        <v>14</v>
      </c>
      <c r="B1400" t="s">
        <v>1453</v>
      </c>
      <c r="C1400" t="s">
        <v>1288</v>
      </c>
      <c r="D1400" t="s">
        <v>1288</v>
      </c>
      <c r="E1400" t="s">
        <v>1270</v>
      </c>
      <c r="F1400" s="2">
        <v>61411</v>
      </c>
      <c r="G1400">
        <v>81</v>
      </c>
      <c r="H1400">
        <v>0</v>
      </c>
      <c r="I1400">
        <v>0.23126131359708424</v>
      </c>
      <c r="J1400">
        <f t="shared" si="42"/>
        <v>0</v>
      </c>
      <c r="K1400">
        <f t="shared" si="43"/>
        <v>0</v>
      </c>
    </row>
    <row r="1401" spans="1:11" x14ac:dyDescent="0.25">
      <c r="A1401" t="s">
        <v>14</v>
      </c>
      <c r="B1401" t="s">
        <v>1454</v>
      </c>
      <c r="C1401" t="s">
        <v>1297</v>
      </c>
      <c r="D1401" t="s">
        <v>1297</v>
      </c>
      <c r="E1401" t="s">
        <v>919</v>
      </c>
      <c r="F1401" s="3">
        <v>33131</v>
      </c>
      <c r="G1401">
        <v>53</v>
      </c>
      <c r="H1401">
        <v>0</v>
      </c>
      <c r="I1401">
        <v>0.23118571859485912</v>
      </c>
      <c r="J1401">
        <f t="shared" si="42"/>
        <v>0</v>
      </c>
      <c r="K1401">
        <f t="shared" si="43"/>
        <v>0</v>
      </c>
    </row>
    <row r="1402" spans="1:11" x14ac:dyDescent="0.25">
      <c r="A1402" t="s">
        <v>14</v>
      </c>
      <c r="B1402" t="s">
        <v>1455</v>
      </c>
      <c r="C1402" t="s">
        <v>1291</v>
      </c>
      <c r="D1402" t="s">
        <v>1291</v>
      </c>
      <c r="E1402" t="s">
        <v>1260</v>
      </c>
      <c r="F1402" s="3">
        <v>55121</v>
      </c>
      <c r="G1402">
        <v>963</v>
      </c>
      <c r="H1402">
        <v>0</v>
      </c>
      <c r="I1402">
        <v>0.23364255616717505</v>
      </c>
      <c r="J1402">
        <f t="shared" si="42"/>
        <v>0</v>
      </c>
      <c r="K1402">
        <f t="shared" si="43"/>
        <v>0</v>
      </c>
    </row>
    <row r="1403" spans="1:11" x14ac:dyDescent="0.25">
      <c r="A1403" t="s">
        <v>14</v>
      </c>
      <c r="B1403" t="s">
        <v>1456</v>
      </c>
      <c r="C1403" t="s">
        <v>1288</v>
      </c>
      <c r="D1403" t="s">
        <v>1288</v>
      </c>
      <c r="E1403" t="s">
        <v>1270</v>
      </c>
      <c r="F1403" s="2">
        <v>61456</v>
      </c>
      <c r="G1403">
        <v>6</v>
      </c>
      <c r="H1403">
        <v>0</v>
      </c>
      <c r="I1403">
        <v>0.23105882698398128</v>
      </c>
      <c r="J1403">
        <f t="shared" si="42"/>
        <v>0</v>
      </c>
      <c r="K1403">
        <f t="shared" si="43"/>
        <v>0</v>
      </c>
    </row>
    <row r="1404" spans="1:11" x14ac:dyDescent="0.25">
      <c r="A1404" t="s">
        <v>14</v>
      </c>
      <c r="B1404" t="s">
        <v>1457</v>
      </c>
      <c r="C1404" t="s">
        <v>1269</v>
      </c>
      <c r="D1404" t="s">
        <v>1269</v>
      </c>
      <c r="E1404" t="s">
        <v>1270</v>
      </c>
      <c r="F1404" s="3">
        <v>62294</v>
      </c>
      <c r="G1404">
        <v>2264</v>
      </c>
      <c r="H1404">
        <v>0</v>
      </c>
      <c r="I1404">
        <v>0.23715502394913446</v>
      </c>
      <c r="J1404">
        <f t="shared" si="42"/>
        <v>0</v>
      </c>
      <c r="K1404">
        <f t="shared" si="43"/>
        <v>0</v>
      </c>
    </row>
    <row r="1405" spans="1:11" x14ac:dyDescent="0.25">
      <c r="A1405" t="s">
        <v>14</v>
      </c>
      <c r="B1405" t="s">
        <v>1458</v>
      </c>
      <c r="C1405" t="s">
        <v>1323</v>
      </c>
      <c r="D1405" t="s">
        <v>1323</v>
      </c>
      <c r="E1405" t="s">
        <v>1260</v>
      </c>
      <c r="F1405" s="2">
        <v>52166</v>
      </c>
      <c r="G1405">
        <v>85</v>
      </c>
      <c r="H1405">
        <v>0</v>
      </c>
      <c r="I1405">
        <v>0.23127211288311639</v>
      </c>
      <c r="J1405">
        <f t="shared" si="42"/>
        <v>0</v>
      </c>
      <c r="K1405">
        <f t="shared" si="43"/>
        <v>0</v>
      </c>
    </row>
    <row r="1406" spans="1:11" x14ac:dyDescent="0.25">
      <c r="A1406" t="s">
        <v>14</v>
      </c>
      <c r="B1406" t="s">
        <v>1459</v>
      </c>
      <c r="C1406" t="s">
        <v>1323</v>
      </c>
      <c r="D1406" t="s">
        <v>1323</v>
      </c>
      <c r="E1406" t="s">
        <v>1260</v>
      </c>
      <c r="F1406" s="3">
        <v>52271</v>
      </c>
      <c r="G1406">
        <v>116</v>
      </c>
      <c r="H1406">
        <v>23</v>
      </c>
      <c r="I1406">
        <v>0.23135580734986561</v>
      </c>
      <c r="J1406">
        <f t="shared" si="42"/>
        <v>0.19827586206896552</v>
      </c>
      <c r="K1406">
        <f t="shared" si="43"/>
        <v>4.5872272146956113E-2</v>
      </c>
    </row>
    <row r="1407" spans="1:11" x14ac:dyDescent="0.25">
      <c r="A1407" t="s">
        <v>14</v>
      </c>
      <c r="B1407" t="s">
        <v>1460</v>
      </c>
      <c r="C1407" t="s">
        <v>982</v>
      </c>
      <c r="D1407" t="s">
        <v>982</v>
      </c>
      <c r="E1407" t="s">
        <v>919</v>
      </c>
      <c r="F1407" s="2">
        <v>36117</v>
      </c>
      <c r="G1407">
        <v>286</v>
      </c>
      <c r="H1407">
        <v>0</v>
      </c>
      <c r="I1407">
        <v>0.23181477700623232</v>
      </c>
      <c r="J1407">
        <f t="shared" si="42"/>
        <v>0</v>
      </c>
      <c r="K1407">
        <f t="shared" si="43"/>
        <v>0</v>
      </c>
    </row>
    <row r="1408" spans="1:11" x14ac:dyDescent="0.25">
      <c r="A1408" t="s">
        <v>14</v>
      </c>
      <c r="B1408" t="s">
        <v>1461</v>
      </c>
      <c r="C1408" t="s">
        <v>931</v>
      </c>
      <c r="D1408" t="s">
        <v>931</v>
      </c>
      <c r="E1408" t="s">
        <v>919</v>
      </c>
      <c r="F1408" s="2">
        <v>34346</v>
      </c>
      <c r="G1408">
        <v>18</v>
      </c>
      <c r="H1408">
        <v>0</v>
      </c>
      <c r="I1408">
        <v>0.23109122484207775</v>
      </c>
      <c r="J1408">
        <f t="shared" si="42"/>
        <v>0</v>
      </c>
      <c r="K1408">
        <f t="shared" si="43"/>
        <v>0</v>
      </c>
    </row>
    <row r="1409" spans="1:11" x14ac:dyDescent="0.25">
      <c r="A1409" t="s">
        <v>14</v>
      </c>
      <c r="B1409" t="s">
        <v>1462</v>
      </c>
      <c r="C1409" t="s">
        <v>915</v>
      </c>
      <c r="D1409" t="s">
        <v>915</v>
      </c>
      <c r="E1409" t="s">
        <v>916</v>
      </c>
      <c r="F1409" s="2">
        <v>22583</v>
      </c>
      <c r="G1409">
        <v>364</v>
      </c>
      <c r="H1409">
        <v>59</v>
      </c>
      <c r="I1409">
        <v>0.2320253630838594</v>
      </c>
      <c r="J1409">
        <f t="shared" si="42"/>
        <v>0.16208791208791209</v>
      </c>
      <c r="K1409">
        <f t="shared" si="43"/>
        <v>3.7608506653702488E-2</v>
      </c>
    </row>
    <row r="1410" spans="1:11" x14ac:dyDescent="0.25">
      <c r="A1410" t="s">
        <v>14</v>
      </c>
      <c r="B1410" t="s">
        <v>1463</v>
      </c>
      <c r="C1410" t="s">
        <v>918</v>
      </c>
      <c r="D1410" t="s">
        <v>918</v>
      </c>
      <c r="E1410" t="s">
        <v>919</v>
      </c>
      <c r="F1410" s="2">
        <v>37379</v>
      </c>
      <c r="G1410">
        <v>12</v>
      </c>
      <c r="H1410">
        <v>0</v>
      </c>
      <c r="I1410">
        <v>0.2310750259130295</v>
      </c>
      <c r="J1410">
        <f t="shared" si="42"/>
        <v>0</v>
      </c>
      <c r="K1410">
        <f t="shared" si="43"/>
        <v>0</v>
      </c>
    </row>
    <row r="1411" spans="1:11" x14ac:dyDescent="0.25">
      <c r="A1411" t="s">
        <v>14</v>
      </c>
      <c r="B1411" t="s">
        <v>1464</v>
      </c>
      <c r="C1411" t="s">
        <v>918</v>
      </c>
      <c r="D1411" t="s">
        <v>918</v>
      </c>
      <c r="E1411" t="s">
        <v>919</v>
      </c>
      <c r="F1411" s="3">
        <v>37356</v>
      </c>
      <c r="G1411">
        <v>556</v>
      </c>
      <c r="H1411">
        <v>0</v>
      </c>
      <c r="I1411">
        <v>0.23254372881340299</v>
      </c>
      <c r="J1411">
        <f t="shared" ref="J1411:J1474" si="44">IF(G1411=0,0,H1411/G1411)</f>
        <v>0</v>
      </c>
      <c r="K1411">
        <f t="shared" ref="K1411:K1474" si="45">J1411*I1411</f>
        <v>0</v>
      </c>
    </row>
    <row r="1412" spans="1:11" x14ac:dyDescent="0.25">
      <c r="A1412" t="s">
        <v>14</v>
      </c>
      <c r="B1412" t="s">
        <v>1465</v>
      </c>
      <c r="C1412" t="s">
        <v>1280</v>
      </c>
      <c r="D1412" t="s">
        <v>1280</v>
      </c>
      <c r="E1412" t="s">
        <v>937</v>
      </c>
      <c r="F1412" s="3">
        <v>74124</v>
      </c>
      <c r="G1412">
        <v>1793</v>
      </c>
      <c r="H1412">
        <v>113</v>
      </c>
      <c r="I1412">
        <v>0.23588340801884786</v>
      </c>
      <c r="J1412">
        <f t="shared" si="44"/>
        <v>6.3022866703848296E-2</v>
      </c>
      <c r="K1412">
        <f t="shared" si="45"/>
        <v>1.4866048581221309E-2</v>
      </c>
    </row>
    <row r="1413" spans="1:11" x14ac:dyDescent="0.25">
      <c r="A1413" t="s">
        <v>14</v>
      </c>
      <c r="B1413" t="s">
        <v>1466</v>
      </c>
      <c r="C1413" t="s">
        <v>1332</v>
      </c>
      <c r="D1413" t="s">
        <v>1332</v>
      </c>
      <c r="E1413" t="s">
        <v>1270</v>
      </c>
      <c r="F1413" s="2">
        <v>63378</v>
      </c>
      <c r="G1413">
        <v>21</v>
      </c>
      <c r="H1413">
        <v>0</v>
      </c>
      <c r="I1413">
        <v>0.23109932430660185</v>
      </c>
      <c r="J1413">
        <f t="shared" si="44"/>
        <v>0</v>
      </c>
      <c r="K1413">
        <f t="shared" si="45"/>
        <v>0</v>
      </c>
    </row>
    <row r="1414" spans="1:11" x14ac:dyDescent="0.25">
      <c r="A1414" t="s">
        <v>14</v>
      </c>
      <c r="B1414" t="s">
        <v>1467</v>
      </c>
      <c r="C1414" t="s">
        <v>1278</v>
      </c>
      <c r="D1414" t="s">
        <v>1278</v>
      </c>
      <c r="E1414" t="s">
        <v>937</v>
      </c>
      <c r="F1414" s="3">
        <v>73191</v>
      </c>
      <c r="G1414">
        <v>5</v>
      </c>
      <c r="H1414">
        <v>0</v>
      </c>
      <c r="I1414">
        <v>0.23105612716247323</v>
      </c>
      <c r="J1414">
        <f t="shared" si="44"/>
        <v>0</v>
      </c>
      <c r="K1414">
        <f t="shared" si="45"/>
        <v>0</v>
      </c>
    </row>
    <row r="1415" spans="1:11" x14ac:dyDescent="0.25">
      <c r="A1415" t="s">
        <v>14</v>
      </c>
      <c r="B1415" t="s">
        <v>1468</v>
      </c>
      <c r="C1415" t="s">
        <v>1259</v>
      </c>
      <c r="D1415" t="s">
        <v>1259</v>
      </c>
      <c r="E1415" t="s">
        <v>1260</v>
      </c>
      <c r="F1415" s="2">
        <v>51185</v>
      </c>
      <c r="G1415">
        <v>10</v>
      </c>
      <c r="H1415">
        <v>0</v>
      </c>
      <c r="I1415">
        <v>0.23106962627001343</v>
      </c>
      <c r="J1415">
        <f t="shared" si="44"/>
        <v>0</v>
      </c>
      <c r="K1415">
        <f t="shared" si="45"/>
        <v>0</v>
      </c>
    </row>
    <row r="1416" spans="1:11" x14ac:dyDescent="0.25">
      <c r="A1416" t="s">
        <v>14</v>
      </c>
      <c r="B1416" t="s">
        <v>1469</v>
      </c>
      <c r="C1416" t="s">
        <v>921</v>
      </c>
      <c r="D1416" t="s">
        <v>921</v>
      </c>
      <c r="E1416" t="s">
        <v>916</v>
      </c>
      <c r="F1416" s="3">
        <v>23253</v>
      </c>
      <c r="G1416">
        <v>11</v>
      </c>
      <c r="H1416">
        <v>0</v>
      </c>
      <c r="I1416">
        <v>0.23107232609152145</v>
      </c>
      <c r="J1416">
        <f t="shared" si="44"/>
        <v>0</v>
      </c>
      <c r="K1416">
        <f t="shared" si="45"/>
        <v>0</v>
      </c>
    </row>
    <row r="1417" spans="1:11" x14ac:dyDescent="0.25">
      <c r="A1417" t="s">
        <v>14</v>
      </c>
      <c r="B1417" t="s">
        <v>1470</v>
      </c>
      <c r="C1417" t="s">
        <v>931</v>
      </c>
      <c r="D1417" t="s">
        <v>931</v>
      </c>
      <c r="E1417" t="s">
        <v>919</v>
      </c>
      <c r="F1417" s="3">
        <v>34223</v>
      </c>
      <c r="G1417">
        <v>16</v>
      </c>
      <c r="H1417">
        <v>0</v>
      </c>
      <c r="I1417">
        <v>0.23108582519906165</v>
      </c>
      <c r="J1417">
        <f t="shared" si="44"/>
        <v>0</v>
      </c>
      <c r="K1417">
        <f t="shared" si="45"/>
        <v>0</v>
      </c>
    </row>
    <row r="1418" spans="1:11" x14ac:dyDescent="0.25">
      <c r="A1418" t="s">
        <v>14</v>
      </c>
      <c r="B1418" t="s">
        <v>1471</v>
      </c>
      <c r="C1418" t="s">
        <v>1288</v>
      </c>
      <c r="D1418" t="s">
        <v>1288</v>
      </c>
      <c r="E1418" t="s">
        <v>1270</v>
      </c>
      <c r="F1418" s="3">
        <v>61486</v>
      </c>
      <c r="G1418">
        <v>189</v>
      </c>
      <c r="H1418">
        <v>0</v>
      </c>
      <c r="I1418">
        <v>0.23155289431995249</v>
      </c>
      <c r="J1418">
        <f t="shared" si="44"/>
        <v>0</v>
      </c>
      <c r="K1418">
        <f t="shared" si="45"/>
        <v>0</v>
      </c>
    </row>
    <row r="1419" spans="1:11" x14ac:dyDescent="0.25">
      <c r="A1419" t="s">
        <v>14</v>
      </c>
      <c r="B1419" t="s">
        <v>1472</v>
      </c>
      <c r="C1419" t="s">
        <v>1323</v>
      </c>
      <c r="D1419" t="s">
        <v>1323</v>
      </c>
      <c r="E1419" t="s">
        <v>1260</v>
      </c>
      <c r="F1419" s="2">
        <v>52247</v>
      </c>
      <c r="G1419">
        <v>5</v>
      </c>
      <c r="H1419">
        <v>134</v>
      </c>
      <c r="I1419">
        <v>0.23105612716247323</v>
      </c>
      <c r="J1419">
        <f t="shared" si="44"/>
        <v>26.8</v>
      </c>
      <c r="K1419">
        <f t="shared" si="45"/>
        <v>6.1923042079542823</v>
      </c>
    </row>
    <row r="1420" spans="1:11" x14ac:dyDescent="0.25">
      <c r="A1420" t="s">
        <v>14</v>
      </c>
      <c r="B1420" t="s">
        <v>1473</v>
      </c>
      <c r="C1420" t="s">
        <v>1259</v>
      </c>
      <c r="D1420" t="s">
        <v>1259</v>
      </c>
      <c r="E1420" t="s">
        <v>1260</v>
      </c>
      <c r="F1420" s="3">
        <v>51251</v>
      </c>
      <c r="G1420">
        <v>9</v>
      </c>
      <c r="H1420">
        <v>0</v>
      </c>
      <c r="I1420">
        <v>0.23106692644850538</v>
      </c>
      <c r="J1420">
        <f t="shared" si="44"/>
        <v>0</v>
      </c>
      <c r="K1420">
        <f t="shared" si="45"/>
        <v>0</v>
      </c>
    </row>
    <row r="1421" spans="1:11" x14ac:dyDescent="0.25">
      <c r="A1421" t="s">
        <v>14</v>
      </c>
      <c r="B1421" t="s">
        <v>1474</v>
      </c>
      <c r="C1421" t="s">
        <v>1259</v>
      </c>
      <c r="D1421" t="s">
        <v>1259</v>
      </c>
      <c r="E1421" t="s">
        <v>1260</v>
      </c>
      <c r="F1421" s="2">
        <v>51264</v>
      </c>
      <c r="G1421">
        <v>13</v>
      </c>
      <c r="H1421">
        <v>0</v>
      </c>
      <c r="I1421">
        <v>0.23107772573453755</v>
      </c>
      <c r="J1421">
        <f t="shared" si="44"/>
        <v>0</v>
      </c>
      <c r="K1421">
        <f t="shared" si="45"/>
        <v>0</v>
      </c>
    </row>
    <row r="1422" spans="1:11" x14ac:dyDescent="0.25">
      <c r="A1422" t="s">
        <v>14</v>
      </c>
      <c r="B1422" t="s">
        <v>1475</v>
      </c>
      <c r="C1422" t="s">
        <v>1266</v>
      </c>
      <c r="D1422" t="s">
        <v>1266</v>
      </c>
      <c r="E1422" t="s">
        <v>1201</v>
      </c>
      <c r="F1422" s="3">
        <v>53163</v>
      </c>
      <c r="G1422">
        <v>3</v>
      </c>
      <c r="H1422">
        <v>0</v>
      </c>
      <c r="I1422">
        <v>0.23105072751945716</v>
      </c>
      <c r="J1422">
        <f t="shared" si="44"/>
        <v>0</v>
      </c>
      <c r="K1422">
        <f t="shared" si="45"/>
        <v>0</v>
      </c>
    </row>
    <row r="1423" spans="1:11" x14ac:dyDescent="0.25">
      <c r="A1423" t="s">
        <v>14</v>
      </c>
      <c r="B1423" t="s">
        <v>1476</v>
      </c>
      <c r="C1423" t="s">
        <v>915</v>
      </c>
      <c r="D1423" t="s">
        <v>915</v>
      </c>
      <c r="E1423" t="s">
        <v>916</v>
      </c>
      <c r="F1423" s="3">
        <v>22487</v>
      </c>
      <c r="G1423">
        <v>3</v>
      </c>
      <c r="H1423">
        <v>0</v>
      </c>
      <c r="I1423">
        <v>0.23105072751945716</v>
      </c>
      <c r="J1423">
        <f t="shared" si="44"/>
        <v>0</v>
      </c>
      <c r="K1423">
        <f t="shared" si="45"/>
        <v>0</v>
      </c>
    </row>
    <row r="1424" spans="1:11" x14ac:dyDescent="0.25">
      <c r="A1424" t="s">
        <v>14</v>
      </c>
      <c r="B1424" t="s">
        <v>1477</v>
      </c>
      <c r="C1424" t="s">
        <v>937</v>
      </c>
      <c r="D1424" t="s">
        <v>937</v>
      </c>
      <c r="E1424" t="s">
        <v>937</v>
      </c>
      <c r="F1424" s="2">
        <v>71371</v>
      </c>
      <c r="G1424">
        <v>3</v>
      </c>
      <c r="H1424">
        <v>0</v>
      </c>
      <c r="I1424">
        <v>0.23105072751945716</v>
      </c>
      <c r="J1424">
        <f t="shared" si="44"/>
        <v>0</v>
      </c>
      <c r="K1424">
        <f t="shared" si="45"/>
        <v>0</v>
      </c>
    </row>
    <row r="1425" spans="1:11" x14ac:dyDescent="0.25">
      <c r="A1425" t="s">
        <v>14</v>
      </c>
      <c r="B1425" t="s">
        <v>1478</v>
      </c>
      <c r="C1425" t="s">
        <v>1259</v>
      </c>
      <c r="D1425" t="s">
        <v>1259</v>
      </c>
      <c r="E1425" t="s">
        <v>1260</v>
      </c>
      <c r="F1425" s="3">
        <v>51271</v>
      </c>
      <c r="G1425">
        <v>346</v>
      </c>
      <c r="H1425">
        <v>0</v>
      </c>
      <c r="I1425">
        <v>0.23197676629671471</v>
      </c>
      <c r="J1425">
        <f t="shared" si="44"/>
        <v>0</v>
      </c>
      <c r="K1425">
        <f t="shared" si="45"/>
        <v>0</v>
      </c>
    </row>
    <row r="1426" spans="1:11" x14ac:dyDescent="0.25">
      <c r="A1426" t="s">
        <v>14</v>
      </c>
      <c r="B1426" t="s">
        <v>1479</v>
      </c>
      <c r="C1426" t="s">
        <v>1266</v>
      </c>
      <c r="D1426" t="s">
        <v>1266</v>
      </c>
      <c r="E1426" t="s">
        <v>1201</v>
      </c>
      <c r="F1426" s="2">
        <v>53469</v>
      </c>
      <c r="G1426">
        <v>2</v>
      </c>
      <c r="H1426">
        <v>0</v>
      </c>
      <c r="I1426">
        <v>0.2310480276979491</v>
      </c>
      <c r="J1426">
        <f t="shared" si="44"/>
        <v>0</v>
      </c>
      <c r="K1426">
        <f t="shared" si="45"/>
        <v>0</v>
      </c>
    </row>
    <row r="1427" spans="1:11" x14ac:dyDescent="0.25">
      <c r="A1427" t="s">
        <v>14</v>
      </c>
      <c r="B1427" t="s">
        <v>1480</v>
      </c>
      <c r="C1427" t="s">
        <v>931</v>
      </c>
      <c r="D1427" t="s">
        <v>931</v>
      </c>
      <c r="E1427" t="s">
        <v>919</v>
      </c>
      <c r="F1427" s="3">
        <v>34253</v>
      </c>
      <c r="G1427">
        <v>33</v>
      </c>
      <c r="H1427">
        <v>0</v>
      </c>
      <c r="I1427">
        <v>0.23113172216469832</v>
      </c>
      <c r="J1427">
        <f t="shared" si="44"/>
        <v>0</v>
      </c>
      <c r="K1427">
        <f t="shared" si="45"/>
        <v>0</v>
      </c>
    </row>
    <row r="1428" spans="1:11" x14ac:dyDescent="0.25">
      <c r="A1428" t="s">
        <v>14</v>
      </c>
      <c r="B1428" t="s">
        <v>1481</v>
      </c>
      <c r="C1428" t="s">
        <v>1200</v>
      </c>
      <c r="D1428" t="s">
        <v>1200</v>
      </c>
      <c r="E1428" t="s">
        <v>1201</v>
      </c>
      <c r="F1428" s="2">
        <v>54143</v>
      </c>
      <c r="G1428">
        <v>21</v>
      </c>
      <c r="H1428">
        <v>0</v>
      </c>
      <c r="I1428">
        <v>0.23109932430660185</v>
      </c>
      <c r="J1428">
        <f t="shared" si="44"/>
        <v>0</v>
      </c>
      <c r="K1428">
        <f t="shared" si="45"/>
        <v>0</v>
      </c>
    </row>
    <row r="1429" spans="1:11" x14ac:dyDescent="0.25">
      <c r="A1429" t="s">
        <v>14</v>
      </c>
      <c r="B1429" t="s">
        <v>1482</v>
      </c>
      <c r="C1429" t="s">
        <v>1307</v>
      </c>
      <c r="D1429" t="s">
        <v>1307</v>
      </c>
      <c r="E1429" t="s">
        <v>916</v>
      </c>
      <c r="F1429" s="3">
        <v>25485</v>
      </c>
      <c r="G1429">
        <v>2</v>
      </c>
      <c r="H1429">
        <v>0</v>
      </c>
      <c r="I1429">
        <v>0.2310480276979491</v>
      </c>
      <c r="J1429">
        <f t="shared" si="44"/>
        <v>0</v>
      </c>
      <c r="K1429">
        <f t="shared" si="45"/>
        <v>0</v>
      </c>
    </row>
    <row r="1430" spans="1:11" x14ac:dyDescent="0.25">
      <c r="A1430" t="s">
        <v>14</v>
      </c>
      <c r="B1430" t="s">
        <v>1483</v>
      </c>
      <c r="C1430" t="s">
        <v>1280</v>
      </c>
      <c r="D1430" t="s">
        <v>1280</v>
      </c>
      <c r="E1430" t="s">
        <v>937</v>
      </c>
      <c r="F1430" s="2">
        <v>74120</v>
      </c>
      <c r="G1430">
        <v>584</v>
      </c>
      <c r="H1430">
        <v>0</v>
      </c>
      <c r="I1430">
        <v>0.23261932381562811</v>
      </c>
      <c r="J1430">
        <f t="shared" si="44"/>
        <v>0</v>
      </c>
      <c r="K1430">
        <f t="shared" si="45"/>
        <v>0</v>
      </c>
    </row>
    <row r="1431" spans="1:11" x14ac:dyDescent="0.25">
      <c r="A1431" t="s">
        <v>14</v>
      </c>
      <c r="B1431" t="s">
        <v>1484</v>
      </c>
      <c r="C1431" t="s">
        <v>1307</v>
      </c>
      <c r="D1431" t="s">
        <v>1307</v>
      </c>
      <c r="E1431" t="s">
        <v>916</v>
      </c>
      <c r="F1431" s="3">
        <v>25281</v>
      </c>
      <c r="G1431">
        <v>805</v>
      </c>
      <c r="H1431">
        <v>0</v>
      </c>
      <c r="I1431">
        <v>0.23321598436890484</v>
      </c>
      <c r="J1431">
        <f t="shared" si="44"/>
        <v>0</v>
      </c>
      <c r="K1431">
        <f t="shared" si="45"/>
        <v>0</v>
      </c>
    </row>
    <row r="1432" spans="1:11" x14ac:dyDescent="0.25">
      <c r="A1432" t="s">
        <v>14</v>
      </c>
      <c r="B1432" t="s">
        <v>1485</v>
      </c>
      <c r="C1432" t="s">
        <v>1297</v>
      </c>
      <c r="D1432" t="s">
        <v>1297</v>
      </c>
      <c r="E1432" t="s">
        <v>919</v>
      </c>
      <c r="F1432" s="2">
        <v>33113</v>
      </c>
      <c r="G1432">
        <v>4042</v>
      </c>
      <c r="H1432">
        <v>250</v>
      </c>
      <c r="I1432">
        <v>0.24195530659042869</v>
      </c>
      <c r="J1432">
        <f t="shared" si="44"/>
        <v>6.185056902523503E-2</v>
      </c>
      <c r="K1432">
        <f t="shared" si="45"/>
        <v>1.4965073391293214E-2</v>
      </c>
    </row>
    <row r="1433" spans="1:11" x14ac:dyDescent="0.25">
      <c r="A1433" t="s">
        <v>14</v>
      </c>
      <c r="B1433" t="s">
        <v>1486</v>
      </c>
      <c r="C1433" t="s">
        <v>1297</v>
      </c>
      <c r="D1433" t="s">
        <v>1297</v>
      </c>
      <c r="E1433" t="s">
        <v>919</v>
      </c>
      <c r="F1433" s="3">
        <v>33215</v>
      </c>
      <c r="G1433">
        <v>1</v>
      </c>
      <c r="H1433">
        <v>0</v>
      </c>
      <c r="I1433">
        <v>0.23104532787644108</v>
      </c>
      <c r="J1433">
        <f t="shared" si="44"/>
        <v>0</v>
      </c>
      <c r="K1433">
        <f t="shared" si="45"/>
        <v>0</v>
      </c>
    </row>
    <row r="1434" spans="1:11" x14ac:dyDescent="0.25">
      <c r="A1434" t="s">
        <v>14</v>
      </c>
      <c r="B1434" t="s">
        <v>1487</v>
      </c>
      <c r="C1434" t="s">
        <v>991</v>
      </c>
      <c r="D1434" t="s">
        <v>991</v>
      </c>
      <c r="E1434" t="s">
        <v>991</v>
      </c>
      <c r="F1434" s="2">
        <v>35484</v>
      </c>
      <c r="G1434">
        <v>31</v>
      </c>
      <c r="H1434">
        <v>72</v>
      </c>
      <c r="I1434">
        <v>0.23112632252168225</v>
      </c>
      <c r="J1434">
        <f t="shared" si="44"/>
        <v>2.3225806451612905</v>
      </c>
      <c r="K1434">
        <f t="shared" si="45"/>
        <v>0.53680952327616527</v>
      </c>
    </row>
    <row r="1435" spans="1:11" x14ac:dyDescent="0.25">
      <c r="A1435" t="s">
        <v>14</v>
      </c>
      <c r="B1435" t="s">
        <v>1488</v>
      </c>
      <c r="C1435" t="s">
        <v>991</v>
      </c>
      <c r="D1435" t="s">
        <v>991</v>
      </c>
      <c r="E1435" t="s">
        <v>991</v>
      </c>
      <c r="F1435" s="3">
        <v>35241</v>
      </c>
      <c r="G1435">
        <v>242</v>
      </c>
      <c r="H1435">
        <v>0</v>
      </c>
      <c r="I1435">
        <v>0.23169598485987858</v>
      </c>
      <c r="J1435">
        <f t="shared" si="44"/>
        <v>0</v>
      </c>
      <c r="K1435">
        <f t="shared" si="45"/>
        <v>0</v>
      </c>
    </row>
    <row r="1436" spans="1:11" x14ac:dyDescent="0.25">
      <c r="A1436" t="s">
        <v>14</v>
      </c>
      <c r="B1436" t="s">
        <v>1489</v>
      </c>
      <c r="C1436" t="s">
        <v>991</v>
      </c>
      <c r="D1436" t="s">
        <v>991</v>
      </c>
      <c r="E1436" t="s">
        <v>991</v>
      </c>
      <c r="F1436" s="2">
        <v>35425</v>
      </c>
      <c r="G1436">
        <v>99</v>
      </c>
      <c r="H1436">
        <v>0</v>
      </c>
      <c r="I1436">
        <v>0.23130991038422893</v>
      </c>
      <c r="J1436">
        <f t="shared" si="44"/>
        <v>0</v>
      </c>
      <c r="K1436">
        <f t="shared" si="45"/>
        <v>0</v>
      </c>
    </row>
    <row r="1437" spans="1:11" x14ac:dyDescent="0.25">
      <c r="A1437" t="s">
        <v>14</v>
      </c>
      <c r="B1437" t="s">
        <v>1490</v>
      </c>
      <c r="C1437" t="s">
        <v>991</v>
      </c>
      <c r="D1437" t="s">
        <v>991</v>
      </c>
      <c r="E1437" t="s">
        <v>991</v>
      </c>
      <c r="F1437" s="3">
        <v>35001</v>
      </c>
      <c r="G1437">
        <v>0</v>
      </c>
      <c r="H1437">
        <v>0</v>
      </c>
      <c r="I1437">
        <v>0.23104262805493303</v>
      </c>
      <c r="J1437">
        <f t="shared" si="44"/>
        <v>0</v>
      </c>
      <c r="K1437">
        <f t="shared" si="45"/>
        <v>0</v>
      </c>
    </row>
    <row r="1438" spans="1:11" x14ac:dyDescent="0.25">
      <c r="A1438" t="s">
        <v>14</v>
      </c>
      <c r="B1438" t="s">
        <v>1490</v>
      </c>
      <c r="C1438" t="s">
        <v>991</v>
      </c>
      <c r="D1438" t="s">
        <v>991</v>
      </c>
      <c r="E1438" t="s">
        <v>991</v>
      </c>
      <c r="F1438" s="2">
        <v>35002</v>
      </c>
      <c r="G1438">
        <v>0</v>
      </c>
      <c r="H1438">
        <v>0</v>
      </c>
      <c r="I1438">
        <v>0.23104262805493303</v>
      </c>
      <c r="J1438">
        <f t="shared" si="44"/>
        <v>0</v>
      </c>
      <c r="K1438">
        <f t="shared" si="45"/>
        <v>0</v>
      </c>
    </row>
    <row r="1439" spans="1:11" x14ac:dyDescent="0.25">
      <c r="A1439" t="s">
        <v>14</v>
      </c>
      <c r="B1439" t="s">
        <v>1490</v>
      </c>
      <c r="C1439" t="s">
        <v>991</v>
      </c>
      <c r="D1439" t="s">
        <v>991</v>
      </c>
      <c r="E1439" t="s">
        <v>991</v>
      </c>
      <c r="F1439" s="3">
        <v>35003</v>
      </c>
      <c r="G1439">
        <v>0</v>
      </c>
      <c r="H1439">
        <v>0</v>
      </c>
      <c r="I1439">
        <v>0.23104262805493303</v>
      </c>
      <c r="J1439">
        <f t="shared" si="44"/>
        <v>0</v>
      </c>
      <c r="K1439">
        <f t="shared" si="45"/>
        <v>0</v>
      </c>
    </row>
    <row r="1440" spans="1:11" x14ac:dyDescent="0.25">
      <c r="A1440" t="s">
        <v>14</v>
      </c>
      <c r="B1440" t="s">
        <v>1491</v>
      </c>
      <c r="C1440" t="s">
        <v>991</v>
      </c>
      <c r="D1440" t="s">
        <v>991</v>
      </c>
      <c r="E1440" t="s">
        <v>991</v>
      </c>
      <c r="F1440" s="2">
        <v>35257</v>
      </c>
      <c r="G1440">
        <v>939</v>
      </c>
      <c r="H1440">
        <v>0</v>
      </c>
      <c r="I1440">
        <v>0.23357776045098211</v>
      </c>
      <c r="J1440">
        <f t="shared" si="44"/>
        <v>0</v>
      </c>
      <c r="K1440">
        <f t="shared" si="45"/>
        <v>0</v>
      </c>
    </row>
    <row r="1441" spans="1:11" x14ac:dyDescent="0.25">
      <c r="A1441" t="s">
        <v>14</v>
      </c>
      <c r="B1441" t="s">
        <v>1492</v>
      </c>
      <c r="C1441" t="s">
        <v>991</v>
      </c>
      <c r="D1441" t="s">
        <v>991</v>
      </c>
      <c r="E1441" t="s">
        <v>991</v>
      </c>
      <c r="F1441" s="3">
        <v>35410</v>
      </c>
      <c r="G1441">
        <v>0</v>
      </c>
      <c r="H1441">
        <v>0</v>
      </c>
      <c r="I1441">
        <v>0.23104262805493303</v>
      </c>
      <c r="J1441">
        <f t="shared" si="44"/>
        <v>0</v>
      </c>
      <c r="K1441">
        <f t="shared" si="45"/>
        <v>0</v>
      </c>
    </row>
    <row r="1442" spans="1:11" x14ac:dyDescent="0.25">
      <c r="A1442" t="s">
        <v>14</v>
      </c>
      <c r="B1442" t="s">
        <v>1493</v>
      </c>
      <c r="C1442" t="s">
        <v>991</v>
      </c>
      <c r="D1442" t="s">
        <v>991</v>
      </c>
      <c r="E1442" t="s">
        <v>991</v>
      </c>
      <c r="F1442" s="2">
        <v>35330</v>
      </c>
      <c r="G1442">
        <v>371</v>
      </c>
      <c r="H1442">
        <v>0</v>
      </c>
      <c r="I1442">
        <v>0.23204426183441568</v>
      </c>
      <c r="J1442">
        <f t="shared" si="44"/>
        <v>0</v>
      </c>
      <c r="K1442">
        <f t="shared" si="45"/>
        <v>0</v>
      </c>
    </row>
    <row r="1443" spans="1:11" x14ac:dyDescent="0.25">
      <c r="A1443" t="s">
        <v>14</v>
      </c>
      <c r="B1443" t="s">
        <v>1494</v>
      </c>
      <c r="C1443" t="s">
        <v>991</v>
      </c>
      <c r="D1443" t="s">
        <v>991</v>
      </c>
      <c r="E1443" t="s">
        <v>991</v>
      </c>
      <c r="F1443" s="3">
        <v>35461</v>
      </c>
      <c r="G1443">
        <v>8</v>
      </c>
      <c r="H1443">
        <v>5</v>
      </c>
      <c r="I1443">
        <v>0.23106422662699735</v>
      </c>
      <c r="J1443">
        <f t="shared" si="44"/>
        <v>0.625</v>
      </c>
      <c r="K1443">
        <f t="shared" si="45"/>
        <v>0.14441514164187336</v>
      </c>
    </row>
    <row r="1444" spans="1:11" x14ac:dyDescent="0.25">
      <c r="A1444" t="s">
        <v>14</v>
      </c>
      <c r="B1444" t="s">
        <v>1495</v>
      </c>
      <c r="C1444" t="s">
        <v>991</v>
      </c>
      <c r="D1444" t="s">
        <v>991</v>
      </c>
      <c r="E1444" t="s">
        <v>991</v>
      </c>
      <c r="F1444" s="2">
        <v>35327</v>
      </c>
      <c r="G1444">
        <v>46</v>
      </c>
      <c r="H1444">
        <v>0</v>
      </c>
      <c r="I1444">
        <v>0.23116681984430285</v>
      </c>
      <c r="J1444">
        <f t="shared" si="44"/>
        <v>0</v>
      </c>
      <c r="K1444">
        <f t="shared" si="45"/>
        <v>0</v>
      </c>
    </row>
    <row r="1445" spans="1:11" x14ac:dyDescent="0.25">
      <c r="A1445" t="s">
        <v>14</v>
      </c>
      <c r="B1445" t="s">
        <v>1496</v>
      </c>
      <c r="C1445" t="s">
        <v>991</v>
      </c>
      <c r="D1445" t="s">
        <v>991</v>
      </c>
      <c r="E1445" t="s">
        <v>991</v>
      </c>
      <c r="F1445" s="3">
        <v>35173</v>
      </c>
      <c r="G1445">
        <v>595</v>
      </c>
      <c r="H1445">
        <v>0</v>
      </c>
      <c r="I1445">
        <v>0.23264902185221653</v>
      </c>
      <c r="J1445">
        <f t="shared" si="44"/>
        <v>0</v>
      </c>
      <c r="K1445">
        <f t="shared" si="45"/>
        <v>0</v>
      </c>
    </row>
    <row r="1446" spans="1:11" x14ac:dyDescent="0.25">
      <c r="A1446" t="s">
        <v>14</v>
      </c>
      <c r="B1446" t="s">
        <v>1490</v>
      </c>
      <c r="C1446" t="s">
        <v>1282</v>
      </c>
      <c r="D1446" t="s">
        <v>1282</v>
      </c>
      <c r="E1446" t="s">
        <v>916</v>
      </c>
      <c r="F1446" s="2">
        <v>24001</v>
      </c>
      <c r="G1446">
        <v>0</v>
      </c>
      <c r="H1446">
        <v>0</v>
      </c>
      <c r="I1446">
        <v>0.23104262805493303</v>
      </c>
      <c r="J1446">
        <f t="shared" si="44"/>
        <v>0</v>
      </c>
      <c r="K1446">
        <f t="shared" si="45"/>
        <v>0</v>
      </c>
    </row>
    <row r="1447" spans="1:11" x14ac:dyDescent="0.25">
      <c r="A1447" t="s">
        <v>14</v>
      </c>
      <c r="B1447" t="s">
        <v>1490</v>
      </c>
      <c r="C1447" t="s">
        <v>1282</v>
      </c>
      <c r="D1447" t="s">
        <v>1282</v>
      </c>
      <c r="E1447" t="s">
        <v>916</v>
      </c>
      <c r="F1447" s="3">
        <v>24002</v>
      </c>
      <c r="G1447">
        <v>0</v>
      </c>
      <c r="H1447">
        <v>0</v>
      </c>
      <c r="I1447">
        <v>0.23104262805493303</v>
      </c>
      <c r="J1447">
        <f t="shared" si="44"/>
        <v>0</v>
      </c>
      <c r="K1447">
        <f t="shared" si="45"/>
        <v>0</v>
      </c>
    </row>
    <row r="1448" spans="1:11" x14ac:dyDescent="0.25">
      <c r="A1448" t="s">
        <v>14</v>
      </c>
      <c r="B1448" t="s">
        <v>1490</v>
      </c>
      <c r="C1448" t="s">
        <v>1282</v>
      </c>
      <c r="D1448" t="s">
        <v>1282</v>
      </c>
      <c r="E1448" t="s">
        <v>916</v>
      </c>
      <c r="F1448" s="2">
        <v>24003</v>
      </c>
      <c r="G1448">
        <v>0</v>
      </c>
      <c r="H1448">
        <v>0</v>
      </c>
      <c r="I1448">
        <v>0.23104262805493303</v>
      </c>
      <c r="J1448">
        <f t="shared" si="44"/>
        <v>0</v>
      </c>
      <c r="K1448">
        <f t="shared" si="45"/>
        <v>0</v>
      </c>
    </row>
    <row r="1449" spans="1:11" x14ac:dyDescent="0.25">
      <c r="A1449" t="s">
        <v>14</v>
      </c>
      <c r="B1449" t="s">
        <v>1490</v>
      </c>
      <c r="C1449" t="s">
        <v>1282</v>
      </c>
      <c r="D1449" t="s">
        <v>1282</v>
      </c>
      <c r="E1449" t="s">
        <v>916</v>
      </c>
      <c r="F1449" s="3">
        <v>24004</v>
      </c>
      <c r="G1449">
        <v>0</v>
      </c>
      <c r="H1449">
        <v>0</v>
      </c>
      <c r="I1449">
        <v>0.23104262805493303</v>
      </c>
      <c r="J1449">
        <f t="shared" si="44"/>
        <v>0</v>
      </c>
      <c r="K1449">
        <f t="shared" si="45"/>
        <v>0</v>
      </c>
    </row>
    <row r="1450" spans="1:11" x14ac:dyDescent="0.25">
      <c r="A1450" t="s">
        <v>14</v>
      </c>
      <c r="B1450" t="s">
        <v>1490</v>
      </c>
      <c r="C1450" t="s">
        <v>1282</v>
      </c>
      <c r="D1450" t="s">
        <v>1282</v>
      </c>
      <c r="E1450" t="s">
        <v>916</v>
      </c>
      <c r="F1450" s="2">
        <v>24005</v>
      </c>
      <c r="G1450">
        <v>0</v>
      </c>
      <c r="H1450">
        <v>0</v>
      </c>
      <c r="I1450">
        <v>0.23104262805493303</v>
      </c>
      <c r="J1450">
        <f t="shared" si="44"/>
        <v>0</v>
      </c>
      <c r="K1450">
        <f t="shared" si="45"/>
        <v>0</v>
      </c>
    </row>
    <row r="1451" spans="1:11" x14ac:dyDescent="0.25">
      <c r="A1451" t="s">
        <v>14</v>
      </c>
      <c r="B1451" t="s">
        <v>1490</v>
      </c>
      <c r="C1451" t="s">
        <v>1282</v>
      </c>
      <c r="D1451" t="s">
        <v>1282</v>
      </c>
      <c r="E1451" t="s">
        <v>916</v>
      </c>
      <c r="F1451" s="3">
        <v>24006</v>
      </c>
      <c r="G1451">
        <v>0</v>
      </c>
      <c r="H1451">
        <v>0</v>
      </c>
      <c r="I1451">
        <v>0.23104262805493303</v>
      </c>
      <c r="J1451">
        <f t="shared" si="44"/>
        <v>0</v>
      </c>
      <c r="K1451">
        <f t="shared" si="45"/>
        <v>0</v>
      </c>
    </row>
    <row r="1452" spans="1:11" x14ac:dyDescent="0.25">
      <c r="A1452" t="s">
        <v>14</v>
      </c>
      <c r="B1452" t="s">
        <v>1490</v>
      </c>
      <c r="C1452" t="s">
        <v>1282</v>
      </c>
      <c r="D1452" t="s">
        <v>1282</v>
      </c>
      <c r="E1452" t="s">
        <v>916</v>
      </c>
      <c r="F1452" s="2">
        <v>24007</v>
      </c>
      <c r="G1452">
        <v>0</v>
      </c>
      <c r="H1452">
        <v>0</v>
      </c>
      <c r="I1452">
        <v>0.23104262805493303</v>
      </c>
      <c r="J1452">
        <f t="shared" si="44"/>
        <v>0</v>
      </c>
      <c r="K1452">
        <f t="shared" si="45"/>
        <v>0</v>
      </c>
    </row>
    <row r="1453" spans="1:11" x14ac:dyDescent="0.25">
      <c r="A1453" t="s">
        <v>14</v>
      </c>
      <c r="B1453" t="s">
        <v>1490</v>
      </c>
      <c r="C1453" t="s">
        <v>1282</v>
      </c>
      <c r="D1453" t="s">
        <v>1282</v>
      </c>
      <c r="E1453" t="s">
        <v>916</v>
      </c>
      <c r="F1453" s="3">
        <v>24008</v>
      </c>
      <c r="G1453">
        <v>0</v>
      </c>
      <c r="H1453">
        <v>0</v>
      </c>
      <c r="I1453">
        <v>0.23104262805493303</v>
      </c>
      <c r="J1453">
        <f t="shared" si="44"/>
        <v>0</v>
      </c>
      <c r="K1453">
        <f t="shared" si="45"/>
        <v>0</v>
      </c>
    </row>
    <row r="1454" spans="1:11" x14ac:dyDescent="0.25">
      <c r="A1454" t="s">
        <v>14</v>
      </c>
      <c r="B1454" t="s">
        <v>1490</v>
      </c>
      <c r="C1454" t="s">
        <v>1282</v>
      </c>
      <c r="D1454" t="s">
        <v>1282</v>
      </c>
      <c r="E1454" t="s">
        <v>916</v>
      </c>
      <c r="F1454" s="2">
        <v>24009</v>
      </c>
      <c r="G1454">
        <v>0</v>
      </c>
      <c r="H1454">
        <v>0</v>
      </c>
      <c r="I1454">
        <v>0.23104262805493303</v>
      </c>
      <c r="J1454">
        <f t="shared" si="44"/>
        <v>0</v>
      </c>
      <c r="K1454">
        <f t="shared" si="45"/>
        <v>0</v>
      </c>
    </row>
    <row r="1455" spans="1:11" x14ac:dyDescent="0.25">
      <c r="A1455" t="s">
        <v>14</v>
      </c>
      <c r="B1455" t="s">
        <v>1497</v>
      </c>
      <c r="C1455" t="s">
        <v>1282</v>
      </c>
      <c r="D1455" t="s">
        <v>1282</v>
      </c>
      <c r="E1455" t="s">
        <v>916</v>
      </c>
      <c r="F1455" s="3">
        <v>24437</v>
      </c>
      <c r="G1455">
        <v>0</v>
      </c>
      <c r="H1455">
        <v>0</v>
      </c>
      <c r="I1455">
        <v>0.23104262805493303</v>
      </c>
      <c r="J1455">
        <f t="shared" si="44"/>
        <v>0</v>
      </c>
      <c r="K1455">
        <f t="shared" si="45"/>
        <v>0</v>
      </c>
    </row>
    <row r="1456" spans="1:11" x14ac:dyDescent="0.25">
      <c r="A1456" t="s">
        <v>14</v>
      </c>
      <c r="B1456" t="s">
        <v>1498</v>
      </c>
      <c r="C1456" t="s">
        <v>1275</v>
      </c>
      <c r="D1456" t="s">
        <v>1275</v>
      </c>
      <c r="E1456" t="s">
        <v>916</v>
      </c>
      <c r="F1456" s="2">
        <v>21347</v>
      </c>
      <c r="G1456">
        <v>1</v>
      </c>
      <c r="H1456">
        <v>0</v>
      </c>
      <c r="I1456">
        <v>0.23104532787644108</v>
      </c>
      <c r="J1456">
        <f t="shared" si="44"/>
        <v>0</v>
      </c>
      <c r="K1456">
        <f t="shared" si="45"/>
        <v>0</v>
      </c>
    </row>
    <row r="1457" spans="1:11" x14ac:dyDescent="0.25">
      <c r="A1457" t="s">
        <v>14</v>
      </c>
      <c r="B1457" t="s">
        <v>1499</v>
      </c>
      <c r="C1457" t="s">
        <v>1275</v>
      </c>
      <c r="D1457" t="s">
        <v>1275</v>
      </c>
      <c r="E1457" t="s">
        <v>916</v>
      </c>
      <c r="F1457" s="3">
        <v>21321</v>
      </c>
      <c r="G1457">
        <v>12</v>
      </c>
      <c r="H1457">
        <v>16</v>
      </c>
      <c r="I1457">
        <v>0.2310750259130295</v>
      </c>
      <c r="J1457">
        <f t="shared" si="44"/>
        <v>1.3333333333333333</v>
      </c>
      <c r="K1457">
        <f t="shared" si="45"/>
        <v>0.308100034550706</v>
      </c>
    </row>
    <row r="1458" spans="1:11" x14ac:dyDescent="0.25">
      <c r="A1458" t="s">
        <v>14</v>
      </c>
      <c r="B1458" t="s">
        <v>1490</v>
      </c>
      <c r="C1458" t="s">
        <v>1266</v>
      </c>
      <c r="D1458" t="s">
        <v>1266</v>
      </c>
      <c r="E1458" t="s">
        <v>1201</v>
      </c>
      <c r="F1458" s="2">
        <v>53001</v>
      </c>
      <c r="G1458">
        <v>0</v>
      </c>
      <c r="H1458">
        <v>0</v>
      </c>
      <c r="I1458">
        <v>0.23104262805493303</v>
      </c>
      <c r="J1458">
        <f t="shared" si="44"/>
        <v>0</v>
      </c>
      <c r="K1458">
        <f t="shared" si="45"/>
        <v>0</v>
      </c>
    </row>
    <row r="1459" spans="1:11" x14ac:dyDescent="0.25">
      <c r="A1459" t="s">
        <v>14</v>
      </c>
      <c r="B1459" t="s">
        <v>1490</v>
      </c>
      <c r="C1459" t="s">
        <v>1266</v>
      </c>
      <c r="D1459" t="s">
        <v>1266</v>
      </c>
      <c r="E1459" t="s">
        <v>1201</v>
      </c>
      <c r="F1459" s="3">
        <v>53002</v>
      </c>
      <c r="G1459">
        <v>0</v>
      </c>
      <c r="H1459">
        <v>0</v>
      </c>
      <c r="I1459">
        <v>0.23104262805493303</v>
      </c>
      <c r="J1459">
        <f t="shared" si="44"/>
        <v>0</v>
      </c>
      <c r="K1459">
        <f t="shared" si="45"/>
        <v>0</v>
      </c>
    </row>
    <row r="1460" spans="1:11" x14ac:dyDescent="0.25">
      <c r="A1460" t="s">
        <v>14</v>
      </c>
      <c r="B1460" t="s">
        <v>1490</v>
      </c>
      <c r="C1460" t="s">
        <v>1266</v>
      </c>
      <c r="D1460" t="s">
        <v>1266</v>
      </c>
      <c r="E1460" t="s">
        <v>1201</v>
      </c>
      <c r="F1460" s="2">
        <v>53003</v>
      </c>
      <c r="G1460">
        <v>0</v>
      </c>
      <c r="H1460">
        <v>0</v>
      </c>
      <c r="I1460">
        <v>0.23104262805493303</v>
      </c>
      <c r="J1460">
        <f t="shared" si="44"/>
        <v>0</v>
      </c>
      <c r="K1460">
        <f t="shared" si="45"/>
        <v>0</v>
      </c>
    </row>
    <row r="1461" spans="1:11" x14ac:dyDescent="0.25">
      <c r="A1461" t="s">
        <v>14</v>
      </c>
      <c r="B1461" t="s">
        <v>1490</v>
      </c>
      <c r="C1461" t="s">
        <v>1266</v>
      </c>
      <c r="D1461" t="s">
        <v>1266</v>
      </c>
      <c r="E1461" t="s">
        <v>1201</v>
      </c>
      <c r="F1461" s="3">
        <v>54003</v>
      </c>
      <c r="G1461">
        <v>0</v>
      </c>
      <c r="H1461">
        <v>0</v>
      </c>
      <c r="I1461">
        <v>0.23104262805493303</v>
      </c>
      <c r="J1461">
        <f t="shared" si="44"/>
        <v>0</v>
      </c>
      <c r="K1461">
        <f t="shared" si="45"/>
        <v>0</v>
      </c>
    </row>
    <row r="1462" spans="1:11" x14ac:dyDescent="0.25">
      <c r="A1462" t="s">
        <v>14</v>
      </c>
      <c r="B1462" t="s">
        <v>1490</v>
      </c>
      <c r="C1462" t="s">
        <v>1266</v>
      </c>
      <c r="D1462" t="s">
        <v>1266</v>
      </c>
      <c r="E1462" t="s">
        <v>1201</v>
      </c>
      <c r="F1462" s="2" t="s">
        <v>1500</v>
      </c>
      <c r="G1462">
        <v>0</v>
      </c>
      <c r="H1462">
        <v>0</v>
      </c>
      <c r="I1462">
        <v>0.23104262805493303</v>
      </c>
      <c r="J1462">
        <f t="shared" si="44"/>
        <v>0</v>
      </c>
      <c r="K1462">
        <f t="shared" si="45"/>
        <v>0</v>
      </c>
    </row>
    <row r="1463" spans="1:11" x14ac:dyDescent="0.25">
      <c r="A1463" t="s">
        <v>14</v>
      </c>
      <c r="B1463" t="s">
        <v>1490</v>
      </c>
      <c r="C1463" t="s">
        <v>1266</v>
      </c>
      <c r="D1463" t="s">
        <v>1266</v>
      </c>
      <c r="E1463" t="s">
        <v>1201</v>
      </c>
      <c r="F1463" s="3" t="s">
        <v>1501</v>
      </c>
      <c r="G1463">
        <v>0</v>
      </c>
      <c r="H1463">
        <v>0</v>
      </c>
      <c r="I1463">
        <v>0.23104262805493303</v>
      </c>
      <c r="J1463">
        <f t="shared" si="44"/>
        <v>0</v>
      </c>
      <c r="K1463">
        <f t="shared" si="45"/>
        <v>0</v>
      </c>
    </row>
    <row r="1464" spans="1:11" x14ac:dyDescent="0.25">
      <c r="A1464" t="s">
        <v>14</v>
      </c>
      <c r="B1464" t="s">
        <v>1490</v>
      </c>
      <c r="C1464" t="s">
        <v>1266</v>
      </c>
      <c r="D1464" t="s">
        <v>1266</v>
      </c>
      <c r="E1464" t="s">
        <v>1201</v>
      </c>
      <c r="F1464" s="2" t="s">
        <v>1502</v>
      </c>
      <c r="G1464">
        <v>0</v>
      </c>
      <c r="H1464">
        <v>0</v>
      </c>
      <c r="I1464">
        <v>0.23104262805493303</v>
      </c>
      <c r="J1464">
        <f t="shared" si="44"/>
        <v>0</v>
      </c>
      <c r="K1464">
        <f t="shared" si="45"/>
        <v>0</v>
      </c>
    </row>
    <row r="1465" spans="1:11" x14ac:dyDescent="0.25">
      <c r="A1465" t="s">
        <v>14</v>
      </c>
      <c r="B1465" t="s">
        <v>1490</v>
      </c>
      <c r="C1465" t="s">
        <v>1266</v>
      </c>
      <c r="D1465" t="s">
        <v>1266</v>
      </c>
      <c r="E1465" t="s">
        <v>1201</v>
      </c>
      <c r="F1465" s="3" t="s">
        <v>1503</v>
      </c>
      <c r="G1465">
        <v>0</v>
      </c>
      <c r="H1465">
        <v>0</v>
      </c>
      <c r="I1465">
        <v>0.23104262805493303</v>
      </c>
      <c r="J1465">
        <f t="shared" si="44"/>
        <v>0</v>
      </c>
      <c r="K1465">
        <f t="shared" si="45"/>
        <v>0</v>
      </c>
    </row>
    <row r="1466" spans="1:11" x14ac:dyDescent="0.25">
      <c r="A1466" t="s">
        <v>14</v>
      </c>
      <c r="B1466" t="s">
        <v>1490</v>
      </c>
      <c r="C1466" t="s">
        <v>1266</v>
      </c>
      <c r="D1466" t="s">
        <v>1266</v>
      </c>
      <c r="E1466" t="s">
        <v>1201</v>
      </c>
      <c r="F1466" s="2" t="s">
        <v>1504</v>
      </c>
      <c r="G1466">
        <v>0</v>
      </c>
      <c r="H1466">
        <v>0</v>
      </c>
      <c r="I1466">
        <v>0.23104262805493303</v>
      </c>
      <c r="J1466">
        <f t="shared" si="44"/>
        <v>0</v>
      </c>
      <c r="K1466">
        <f t="shared" si="45"/>
        <v>0</v>
      </c>
    </row>
    <row r="1467" spans="1:11" x14ac:dyDescent="0.25">
      <c r="A1467" t="s">
        <v>14</v>
      </c>
      <c r="B1467" t="s">
        <v>1490</v>
      </c>
      <c r="C1467" t="s">
        <v>1266</v>
      </c>
      <c r="D1467" t="s">
        <v>1266</v>
      </c>
      <c r="E1467" t="s">
        <v>1201</v>
      </c>
      <c r="F1467" s="3" t="s">
        <v>1505</v>
      </c>
      <c r="G1467">
        <v>0</v>
      </c>
      <c r="H1467">
        <v>0</v>
      </c>
      <c r="I1467">
        <v>0.23104262805493303</v>
      </c>
      <c r="J1467">
        <f t="shared" si="44"/>
        <v>0</v>
      </c>
      <c r="K1467">
        <f t="shared" si="45"/>
        <v>0</v>
      </c>
    </row>
    <row r="1468" spans="1:11" x14ac:dyDescent="0.25">
      <c r="A1468" t="s">
        <v>14</v>
      </c>
      <c r="B1468" t="s">
        <v>1490</v>
      </c>
      <c r="C1468" t="s">
        <v>1266</v>
      </c>
      <c r="D1468" t="s">
        <v>1266</v>
      </c>
      <c r="E1468" t="s">
        <v>1201</v>
      </c>
      <c r="F1468" s="2" t="s">
        <v>1506</v>
      </c>
      <c r="G1468">
        <v>0</v>
      </c>
      <c r="H1468">
        <v>0</v>
      </c>
      <c r="I1468">
        <v>0.23104262805493303</v>
      </c>
      <c r="J1468">
        <f t="shared" si="44"/>
        <v>0</v>
      </c>
      <c r="K1468">
        <f t="shared" si="45"/>
        <v>0</v>
      </c>
    </row>
    <row r="1469" spans="1:11" x14ac:dyDescent="0.25">
      <c r="A1469" t="s">
        <v>14</v>
      </c>
      <c r="B1469" t="s">
        <v>1490</v>
      </c>
      <c r="C1469" t="s">
        <v>1266</v>
      </c>
      <c r="D1469" t="s">
        <v>1266</v>
      </c>
      <c r="E1469" t="s">
        <v>1201</v>
      </c>
      <c r="F1469" s="3" t="s">
        <v>1507</v>
      </c>
      <c r="G1469">
        <v>0</v>
      </c>
      <c r="H1469">
        <v>0</v>
      </c>
      <c r="I1469">
        <v>0.23104262805493303</v>
      </c>
      <c r="J1469">
        <f t="shared" si="44"/>
        <v>0</v>
      </c>
      <c r="K1469">
        <f t="shared" si="45"/>
        <v>0</v>
      </c>
    </row>
    <row r="1470" spans="1:11" x14ac:dyDescent="0.25">
      <c r="A1470" t="s">
        <v>14</v>
      </c>
      <c r="B1470" t="s">
        <v>1490</v>
      </c>
      <c r="C1470" t="s">
        <v>1266</v>
      </c>
      <c r="D1470" t="s">
        <v>1266</v>
      </c>
      <c r="E1470" t="s">
        <v>1201</v>
      </c>
      <c r="F1470" s="2" t="s">
        <v>1508</v>
      </c>
      <c r="G1470">
        <v>0</v>
      </c>
      <c r="H1470">
        <v>0</v>
      </c>
      <c r="I1470">
        <v>0.23104262805493303</v>
      </c>
      <c r="J1470">
        <f t="shared" si="44"/>
        <v>0</v>
      </c>
      <c r="K1470">
        <f t="shared" si="45"/>
        <v>0</v>
      </c>
    </row>
    <row r="1471" spans="1:11" x14ac:dyDescent="0.25">
      <c r="A1471" t="s">
        <v>14</v>
      </c>
      <c r="B1471" t="s">
        <v>1490</v>
      </c>
      <c r="C1471" t="s">
        <v>1266</v>
      </c>
      <c r="D1471" t="s">
        <v>1266</v>
      </c>
      <c r="E1471" t="s">
        <v>1201</v>
      </c>
      <c r="F1471" s="3" t="s">
        <v>1509</v>
      </c>
      <c r="G1471">
        <v>0</v>
      </c>
      <c r="H1471">
        <v>0</v>
      </c>
      <c r="I1471">
        <v>0.23104262805493303</v>
      </c>
      <c r="J1471">
        <f t="shared" si="44"/>
        <v>0</v>
      </c>
      <c r="K1471">
        <f t="shared" si="45"/>
        <v>0</v>
      </c>
    </row>
    <row r="1472" spans="1:11" x14ac:dyDescent="0.25">
      <c r="A1472" t="s">
        <v>14</v>
      </c>
      <c r="B1472" t="s">
        <v>1510</v>
      </c>
      <c r="C1472" t="s">
        <v>1266</v>
      </c>
      <c r="D1472" t="s">
        <v>1266</v>
      </c>
      <c r="E1472" t="s">
        <v>1201</v>
      </c>
      <c r="F1472" s="2">
        <v>54183</v>
      </c>
      <c r="G1472">
        <v>0</v>
      </c>
      <c r="H1472">
        <v>0</v>
      </c>
      <c r="I1472">
        <v>0.23104262805493303</v>
      </c>
      <c r="J1472">
        <f t="shared" si="44"/>
        <v>0</v>
      </c>
      <c r="K1472">
        <f t="shared" si="45"/>
        <v>0</v>
      </c>
    </row>
    <row r="1473" spans="1:11" x14ac:dyDescent="0.25">
      <c r="A1473" t="s">
        <v>14</v>
      </c>
      <c r="B1473" t="s">
        <v>1511</v>
      </c>
      <c r="C1473" t="s">
        <v>1266</v>
      </c>
      <c r="D1473" t="s">
        <v>1266</v>
      </c>
      <c r="E1473" t="s">
        <v>1201</v>
      </c>
      <c r="F1473" s="3">
        <v>53423</v>
      </c>
      <c r="G1473">
        <v>17</v>
      </c>
      <c r="H1473">
        <v>0</v>
      </c>
      <c r="I1473">
        <v>0.2310885250205697</v>
      </c>
      <c r="J1473">
        <f t="shared" si="44"/>
        <v>0</v>
      </c>
      <c r="K1473">
        <f t="shared" si="45"/>
        <v>0</v>
      </c>
    </row>
    <row r="1474" spans="1:11" x14ac:dyDescent="0.25">
      <c r="A1474" t="s">
        <v>14</v>
      </c>
      <c r="B1474" t="s">
        <v>1512</v>
      </c>
      <c r="C1474" t="s">
        <v>982</v>
      </c>
      <c r="D1474" t="s">
        <v>982</v>
      </c>
      <c r="E1474" t="s">
        <v>919</v>
      </c>
      <c r="F1474" s="3">
        <v>36110</v>
      </c>
      <c r="G1474">
        <v>0</v>
      </c>
      <c r="H1474">
        <v>0</v>
      </c>
      <c r="I1474">
        <v>0.23104262805493303</v>
      </c>
      <c r="J1474">
        <f t="shared" si="44"/>
        <v>0</v>
      </c>
      <c r="K1474">
        <f t="shared" si="45"/>
        <v>0</v>
      </c>
    </row>
    <row r="1475" spans="1:11" x14ac:dyDescent="0.25">
      <c r="A1475" t="s">
        <v>14</v>
      </c>
      <c r="B1475" t="s">
        <v>1513</v>
      </c>
      <c r="C1475" t="s">
        <v>1514</v>
      </c>
      <c r="D1475" t="s">
        <v>1514</v>
      </c>
      <c r="E1475" t="s">
        <v>937</v>
      </c>
      <c r="F1475" s="2">
        <v>72175</v>
      </c>
      <c r="G1475">
        <v>0</v>
      </c>
      <c r="H1475">
        <v>0</v>
      </c>
      <c r="I1475">
        <v>0.23104262805493303</v>
      </c>
      <c r="J1475">
        <f t="shared" ref="J1475:J1538" si="46">IF(G1475=0,0,H1475/G1475)</f>
        <v>0</v>
      </c>
      <c r="K1475">
        <f t="shared" ref="K1475:K1538" si="47">J1475*I1475</f>
        <v>0</v>
      </c>
    </row>
    <row r="1476" spans="1:11" x14ac:dyDescent="0.25">
      <c r="A1476" t="s">
        <v>14</v>
      </c>
      <c r="B1476" t="s">
        <v>1515</v>
      </c>
      <c r="C1476" t="s">
        <v>1514</v>
      </c>
      <c r="D1476" t="s">
        <v>1514</v>
      </c>
      <c r="E1476" t="s">
        <v>937</v>
      </c>
      <c r="F1476" s="3">
        <v>72135</v>
      </c>
      <c r="G1476">
        <v>0</v>
      </c>
      <c r="H1476">
        <v>0</v>
      </c>
      <c r="I1476">
        <v>0.23104262805493303</v>
      </c>
      <c r="J1476">
        <f t="shared" si="46"/>
        <v>0</v>
      </c>
      <c r="K1476">
        <f t="shared" si="47"/>
        <v>0</v>
      </c>
    </row>
    <row r="1477" spans="1:11" x14ac:dyDescent="0.25">
      <c r="A1477" t="s">
        <v>14</v>
      </c>
      <c r="B1477" t="s">
        <v>1516</v>
      </c>
      <c r="C1477" t="s">
        <v>921</v>
      </c>
      <c r="D1477" t="s">
        <v>921</v>
      </c>
      <c r="E1477" t="s">
        <v>916</v>
      </c>
      <c r="F1477" s="2">
        <v>23275</v>
      </c>
      <c r="G1477">
        <v>0</v>
      </c>
      <c r="H1477">
        <v>0</v>
      </c>
      <c r="I1477">
        <v>0.23104262805493303</v>
      </c>
      <c r="J1477">
        <f t="shared" si="46"/>
        <v>0</v>
      </c>
      <c r="K1477">
        <f t="shared" si="47"/>
        <v>0</v>
      </c>
    </row>
    <row r="1478" spans="1:11" x14ac:dyDescent="0.25">
      <c r="A1478" t="s">
        <v>14</v>
      </c>
      <c r="B1478" t="s">
        <v>1490</v>
      </c>
      <c r="C1478" t="s">
        <v>921</v>
      </c>
      <c r="D1478" t="s">
        <v>921</v>
      </c>
      <c r="E1478" t="s">
        <v>916</v>
      </c>
      <c r="F1478" s="3">
        <v>23001</v>
      </c>
      <c r="G1478">
        <v>0</v>
      </c>
      <c r="H1478">
        <v>0</v>
      </c>
      <c r="I1478">
        <v>0.23104262805493303</v>
      </c>
      <c r="J1478">
        <f t="shared" si="46"/>
        <v>0</v>
      </c>
      <c r="K1478">
        <f t="shared" si="47"/>
        <v>0</v>
      </c>
    </row>
    <row r="1479" spans="1:11" x14ac:dyDescent="0.25">
      <c r="A1479" t="s">
        <v>14</v>
      </c>
      <c r="B1479" t="s">
        <v>1490</v>
      </c>
      <c r="C1479" t="s">
        <v>921</v>
      </c>
      <c r="D1479" t="s">
        <v>921</v>
      </c>
      <c r="E1479" t="s">
        <v>916</v>
      </c>
      <c r="F1479" s="2">
        <v>23002</v>
      </c>
      <c r="G1479">
        <v>0</v>
      </c>
      <c r="H1479">
        <v>0</v>
      </c>
      <c r="I1479">
        <v>0.23104262805493303</v>
      </c>
      <c r="J1479">
        <f t="shared" si="46"/>
        <v>0</v>
      </c>
      <c r="K1479">
        <f t="shared" si="47"/>
        <v>0</v>
      </c>
    </row>
    <row r="1480" spans="1:11" x14ac:dyDescent="0.25">
      <c r="A1480" t="s">
        <v>14</v>
      </c>
      <c r="B1480" t="s">
        <v>1490</v>
      </c>
      <c r="C1480" t="s">
        <v>921</v>
      </c>
      <c r="D1480" t="s">
        <v>921</v>
      </c>
      <c r="E1480" t="s">
        <v>916</v>
      </c>
      <c r="F1480" s="3">
        <v>23003</v>
      </c>
      <c r="G1480">
        <v>0</v>
      </c>
      <c r="H1480">
        <v>0</v>
      </c>
      <c r="I1480">
        <v>0.23104262805493303</v>
      </c>
      <c r="J1480">
        <f t="shared" si="46"/>
        <v>0</v>
      </c>
      <c r="K1480">
        <f t="shared" si="47"/>
        <v>0</v>
      </c>
    </row>
    <row r="1481" spans="1:11" x14ac:dyDescent="0.25">
      <c r="A1481" t="s">
        <v>14</v>
      </c>
      <c r="B1481" t="s">
        <v>1490</v>
      </c>
      <c r="C1481" t="s">
        <v>921</v>
      </c>
      <c r="D1481" t="s">
        <v>921</v>
      </c>
      <c r="E1481" t="s">
        <v>916</v>
      </c>
      <c r="F1481" s="2">
        <v>23004</v>
      </c>
      <c r="G1481">
        <v>0</v>
      </c>
      <c r="H1481">
        <v>0</v>
      </c>
      <c r="I1481">
        <v>0.23104262805493303</v>
      </c>
      <c r="J1481">
        <f t="shared" si="46"/>
        <v>0</v>
      </c>
      <c r="K1481">
        <f t="shared" si="47"/>
        <v>0</v>
      </c>
    </row>
    <row r="1482" spans="1:11" x14ac:dyDescent="0.25">
      <c r="A1482" t="s">
        <v>14</v>
      </c>
      <c r="B1482" t="s">
        <v>1490</v>
      </c>
      <c r="C1482" t="s">
        <v>921</v>
      </c>
      <c r="D1482" t="s">
        <v>921</v>
      </c>
      <c r="E1482" t="s">
        <v>916</v>
      </c>
      <c r="F1482" s="3">
        <v>23005</v>
      </c>
      <c r="G1482">
        <v>0</v>
      </c>
      <c r="H1482">
        <v>0</v>
      </c>
      <c r="I1482">
        <v>0.23104262805493303</v>
      </c>
      <c r="J1482">
        <f t="shared" si="46"/>
        <v>0</v>
      </c>
      <c r="K1482">
        <f t="shared" si="47"/>
        <v>0</v>
      </c>
    </row>
    <row r="1483" spans="1:11" x14ac:dyDescent="0.25">
      <c r="A1483" t="s">
        <v>14</v>
      </c>
      <c r="B1483" t="s">
        <v>1490</v>
      </c>
      <c r="C1483" t="s">
        <v>921</v>
      </c>
      <c r="D1483" t="s">
        <v>921</v>
      </c>
      <c r="E1483" t="s">
        <v>916</v>
      </c>
      <c r="F1483" s="2">
        <v>23006</v>
      </c>
      <c r="G1483">
        <v>0</v>
      </c>
      <c r="H1483">
        <v>0</v>
      </c>
      <c r="I1483">
        <v>0.23104262805493303</v>
      </c>
      <c r="J1483">
        <f t="shared" si="46"/>
        <v>0</v>
      </c>
      <c r="K1483">
        <f t="shared" si="47"/>
        <v>0</v>
      </c>
    </row>
    <row r="1484" spans="1:11" x14ac:dyDescent="0.25">
      <c r="A1484" t="s">
        <v>14</v>
      </c>
      <c r="B1484" t="s">
        <v>1490</v>
      </c>
      <c r="C1484" t="s">
        <v>921</v>
      </c>
      <c r="D1484" t="s">
        <v>921</v>
      </c>
      <c r="E1484" t="s">
        <v>916</v>
      </c>
      <c r="F1484" s="3">
        <v>23007</v>
      </c>
      <c r="G1484">
        <v>0</v>
      </c>
      <c r="H1484">
        <v>0</v>
      </c>
      <c r="I1484">
        <v>0.23104262805493303</v>
      </c>
      <c r="J1484">
        <f t="shared" si="46"/>
        <v>0</v>
      </c>
      <c r="K1484">
        <f t="shared" si="47"/>
        <v>0</v>
      </c>
    </row>
    <row r="1485" spans="1:11" x14ac:dyDescent="0.25">
      <c r="A1485" t="s">
        <v>14</v>
      </c>
      <c r="B1485" t="s">
        <v>1517</v>
      </c>
      <c r="C1485" t="s">
        <v>921</v>
      </c>
      <c r="D1485" t="s">
        <v>921</v>
      </c>
      <c r="E1485" t="s">
        <v>916</v>
      </c>
      <c r="F1485" s="2">
        <v>23438</v>
      </c>
      <c r="G1485">
        <v>79</v>
      </c>
      <c r="H1485">
        <v>23</v>
      </c>
      <c r="I1485">
        <v>0.23125591395406814</v>
      </c>
      <c r="J1485">
        <f t="shared" si="46"/>
        <v>0.29113924050632911</v>
      </c>
      <c r="K1485">
        <f t="shared" si="47"/>
        <v>6.732767115118439E-2</v>
      </c>
    </row>
    <row r="1486" spans="1:11" x14ac:dyDescent="0.25">
      <c r="A1486" t="s">
        <v>14</v>
      </c>
      <c r="B1486" t="s">
        <v>1518</v>
      </c>
      <c r="C1486" t="s">
        <v>921</v>
      </c>
      <c r="D1486" t="s">
        <v>921</v>
      </c>
      <c r="E1486" t="s">
        <v>916</v>
      </c>
      <c r="F1486" s="3">
        <v>23415</v>
      </c>
      <c r="G1486">
        <v>0</v>
      </c>
      <c r="H1486">
        <v>0</v>
      </c>
      <c r="I1486">
        <v>0.23104262805493303</v>
      </c>
      <c r="J1486">
        <f t="shared" si="46"/>
        <v>0</v>
      </c>
      <c r="K1486">
        <f t="shared" si="47"/>
        <v>0</v>
      </c>
    </row>
    <row r="1487" spans="1:11" x14ac:dyDescent="0.25">
      <c r="A1487" t="s">
        <v>14</v>
      </c>
      <c r="B1487" t="s">
        <v>1519</v>
      </c>
      <c r="C1487" t="s">
        <v>921</v>
      </c>
      <c r="D1487" t="s">
        <v>921</v>
      </c>
      <c r="E1487" t="s">
        <v>916</v>
      </c>
      <c r="F1487" s="2">
        <v>23454</v>
      </c>
      <c r="G1487">
        <v>217</v>
      </c>
      <c r="H1487">
        <v>90</v>
      </c>
      <c r="I1487">
        <v>0.23162848932217761</v>
      </c>
      <c r="J1487">
        <f t="shared" si="46"/>
        <v>0.41474654377880182</v>
      </c>
      <c r="K1487">
        <f t="shared" si="47"/>
        <v>9.6067115387078267E-2</v>
      </c>
    </row>
    <row r="1488" spans="1:11" x14ac:dyDescent="0.25">
      <c r="A1488" t="s">
        <v>14</v>
      </c>
      <c r="B1488" t="s">
        <v>1520</v>
      </c>
      <c r="C1488" t="s">
        <v>921</v>
      </c>
      <c r="D1488" t="s">
        <v>921</v>
      </c>
      <c r="E1488" t="s">
        <v>916</v>
      </c>
      <c r="F1488" s="3">
        <v>23431</v>
      </c>
      <c r="G1488">
        <v>0</v>
      </c>
      <c r="H1488">
        <v>0</v>
      </c>
      <c r="I1488">
        <v>0.23104262805493303</v>
      </c>
      <c r="J1488">
        <f t="shared" si="46"/>
        <v>0</v>
      </c>
      <c r="K1488">
        <f t="shared" si="47"/>
        <v>0</v>
      </c>
    </row>
    <row r="1489" spans="1:11" x14ac:dyDescent="0.25">
      <c r="A1489" t="s">
        <v>14</v>
      </c>
      <c r="B1489" t="s">
        <v>1521</v>
      </c>
      <c r="C1489" t="s">
        <v>921</v>
      </c>
      <c r="D1489" t="s">
        <v>921</v>
      </c>
      <c r="E1489" t="s">
        <v>916</v>
      </c>
      <c r="F1489" s="2">
        <v>23237</v>
      </c>
      <c r="G1489">
        <v>1</v>
      </c>
      <c r="H1489">
        <v>0</v>
      </c>
      <c r="I1489">
        <v>0.23104532787644108</v>
      </c>
      <c r="J1489">
        <f t="shared" si="46"/>
        <v>0</v>
      </c>
      <c r="K1489">
        <f t="shared" si="47"/>
        <v>0</v>
      </c>
    </row>
    <row r="1490" spans="1:11" x14ac:dyDescent="0.25">
      <c r="A1490" t="s">
        <v>14</v>
      </c>
      <c r="B1490" t="s">
        <v>1522</v>
      </c>
      <c r="C1490" t="s">
        <v>931</v>
      </c>
      <c r="D1490" t="s">
        <v>931</v>
      </c>
      <c r="E1490" t="s">
        <v>919</v>
      </c>
      <c r="F1490" s="2">
        <v>34371</v>
      </c>
      <c r="G1490">
        <v>52</v>
      </c>
      <c r="H1490">
        <v>0</v>
      </c>
      <c r="I1490">
        <v>0.2311830187733511</v>
      </c>
      <c r="J1490">
        <f t="shared" si="46"/>
        <v>0</v>
      </c>
      <c r="K1490">
        <f t="shared" si="47"/>
        <v>0</v>
      </c>
    </row>
    <row r="1491" spans="1:11" x14ac:dyDescent="0.25">
      <c r="A1491" t="s">
        <v>14</v>
      </c>
      <c r="B1491" t="s">
        <v>1490</v>
      </c>
      <c r="C1491" t="s">
        <v>931</v>
      </c>
      <c r="D1491" t="s">
        <v>931</v>
      </c>
      <c r="E1491" t="s">
        <v>919</v>
      </c>
      <c r="F1491" s="3">
        <v>34001</v>
      </c>
      <c r="G1491">
        <v>0</v>
      </c>
      <c r="H1491">
        <v>0</v>
      </c>
      <c r="I1491">
        <v>0.23104262805493303</v>
      </c>
      <c r="J1491">
        <f t="shared" si="46"/>
        <v>0</v>
      </c>
      <c r="K1491">
        <f t="shared" si="47"/>
        <v>0</v>
      </c>
    </row>
    <row r="1492" spans="1:11" x14ac:dyDescent="0.25">
      <c r="A1492" t="s">
        <v>14</v>
      </c>
      <c r="B1492" t="s">
        <v>1490</v>
      </c>
      <c r="C1492" t="s">
        <v>931</v>
      </c>
      <c r="D1492" t="s">
        <v>931</v>
      </c>
      <c r="E1492" t="s">
        <v>919</v>
      </c>
      <c r="F1492" s="2">
        <v>34002</v>
      </c>
      <c r="G1492">
        <v>0</v>
      </c>
      <c r="H1492">
        <v>0</v>
      </c>
      <c r="I1492">
        <v>0.23104262805493303</v>
      </c>
      <c r="J1492">
        <f t="shared" si="46"/>
        <v>0</v>
      </c>
      <c r="K1492">
        <f t="shared" si="47"/>
        <v>0</v>
      </c>
    </row>
    <row r="1493" spans="1:11" x14ac:dyDescent="0.25">
      <c r="A1493" t="s">
        <v>14</v>
      </c>
      <c r="B1493" t="s">
        <v>1523</v>
      </c>
      <c r="C1493" t="s">
        <v>931</v>
      </c>
      <c r="D1493" t="s">
        <v>931</v>
      </c>
      <c r="E1493" t="s">
        <v>919</v>
      </c>
      <c r="F1493" s="3">
        <v>34326</v>
      </c>
      <c r="G1493">
        <v>0</v>
      </c>
      <c r="H1493">
        <v>0</v>
      </c>
      <c r="I1493">
        <v>0.23104262805493303</v>
      </c>
      <c r="J1493">
        <f t="shared" si="46"/>
        <v>0</v>
      </c>
      <c r="K1493">
        <f t="shared" si="47"/>
        <v>0</v>
      </c>
    </row>
    <row r="1494" spans="1:11" x14ac:dyDescent="0.25">
      <c r="A1494" t="s">
        <v>14</v>
      </c>
      <c r="B1494" t="s">
        <v>1524</v>
      </c>
      <c r="C1494" t="s">
        <v>931</v>
      </c>
      <c r="D1494" t="s">
        <v>931</v>
      </c>
      <c r="E1494" t="s">
        <v>919</v>
      </c>
      <c r="F1494" s="2">
        <v>34227</v>
      </c>
      <c r="G1494">
        <v>0</v>
      </c>
      <c r="H1494">
        <v>0</v>
      </c>
      <c r="I1494">
        <v>0.23104262805493303</v>
      </c>
      <c r="J1494">
        <f t="shared" si="46"/>
        <v>0</v>
      </c>
      <c r="K1494">
        <f t="shared" si="47"/>
        <v>0</v>
      </c>
    </row>
    <row r="1495" spans="1:11" x14ac:dyDescent="0.25">
      <c r="A1495" t="s">
        <v>14</v>
      </c>
      <c r="B1495" t="s">
        <v>1525</v>
      </c>
      <c r="C1495" t="s">
        <v>931</v>
      </c>
      <c r="D1495" t="s">
        <v>931</v>
      </c>
      <c r="E1495" t="s">
        <v>919</v>
      </c>
      <c r="F1495" s="2">
        <v>34281</v>
      </c>
      <c r="G1495">
        <v>67</v>
      </c>
      <c r="H1495">
        <v>0</v>
      </c>
      <c r="I1495">
        <v>0.23122351609597167</v>
      </c>
      <c r="J1495">
        <f t="shared" si="46"/>
        <v>0</v>
      </c>
      <c r="K1495">
        <f t="shared" si="47"/>
        <v>0</v>
      </c>
    </row>
    <row r="1496" spans="1:11" x14ac:dyDescent="0.25">
      <c r="A1496" t="s">
        <v>14</v>
      </c>
      <c r="B1496" t="s">
        <v>1490</v>
      </c>
      <c r="C1496" t="s">
        <v>1200</v>
      </c>
      <c r="D1496" t="s">
        <v>1200</v>
      </c>
      <c r="E1496" t="s">
        <v>1201</v>
      </c>
      <c r="F1496" s="2">
        <v>54001</v>
      </c>
      <c r="G1496">
        <v>0</v>
      </c>
      <c r="H1496">
        <v>0</v>
      </c>
      <c r="I1496">
        <v>0.23104262805493303</v>
      </c>
      <c r="J1496">
        <f t="shared" si="46"/>
        <v>0</v>
      </c>
      <c r="K1496">
        <f t="shared" si="47"/>
        <v>0</v>
      </c>
    </row>
    <row r="1497" spans="1:11" x14ac:dyDescent="0.25">
      <c r="A1497" t="s">
        <v>14</v>
      </c>
      <c r="B1497" t="s">
        <v>1490</v>
      </c>
      <c r="C1497" t="s">
        <v>1200</v>
      </c>
      <c r="D1497" t="s">
        <v>1200</v>
      </c>
      <c r="E1497" t="s">
        <v>1201</v>
      </c>
      <c r="F1497" s="3">
        <v>54002</v>
      </c>
      <c r="G1497">
        <v>0</v>
      </c>
      <c r="H1497">
        <v>0</v>
      </c>
      <c r="I1497">
        <v>0.23104262805493303</v>
      </c>
      <c r="J1497">
        <f t="shared" si="46"/>
        <v>0</v>
      </c>
      <c r="K1497">
        <f t="shared" si="47"/>
        <v>0</v>
      </c>
    </row>
    <row r="1498" spans="1:11" x14ac:dyDescent="0.25">
      <c r="A1498" t="s">
        <v>14</v>
      </c>
      <c r="B1498" t="s">
        <v>1490</v>
      </c>
      <c r="C1498" t="s">
        <v>1200</v>
      </c>
      <c r="D1498" t="s">
        <v>1200</v>
      </c>
      <c r="E1498" t="s">
        <v>1201</v>
      </c>
      <c r="F1498" s="2" t="s">
        <v>1526</v>
      </c>
      <c r="G1498">
        <v>0</v>
      </c>
      <c r="H1498">
        <v>0</v>
      </c>
      <c r="I1498">
        <v>0.23104262805493303</v>
      </c>
      <c r="J1498">
        <f t="shared" si="46"/>
        <v>0</v>
      </c>
      <c r="K1498">
        <f t="shared" si="47"/>
        <v>0</v>
      </c>
    </row>
    <row r="1499" spans="1:11" x14ac:dyDescent="0.25">
      <c r="A1499" t="s">
        <v>14</v>
      </c>
      <c r="B1499" t="s">
        <v>1527</v>
      </c>
      <c r="C1499" t="s">
        <v>915</v>
      </c>
      <c r="D1499" t="s">
        <v>915</v>
      </c>
      <c r="E1499" t="s">
        <v>916</v>
      </c>
      <c r="F1499" s="2">
        <v>22523</v>
      </c>
      <c r="G1499">
        <v>109</v>
      </c>
      <c r="H1499">
        <v>32</v>
      </c>
      <c r="I1499">
        <v>0.23133690859930933</v>
      </c>
      <c r="J1499">
        <f t="shared" si="46"/>
        <v>0.29357798165137616</v>
      </c>
      <c r="K1499">
        <f t="shared" si="47"/>
        <v>6.7915422708054118E-2</v>
      </c>
    </row>
    <row r="1500" spans="1:11" x14ac:dyDescent="0.25">
      <c r="A1500" t="s">
        <v>14</v>
      </c>
      <c r="B1500" t="s">
        <v>1528</v>
      </c>
      <c r="C1500" t="s">
        <v>915</v>
      </c>
      <c r="D1500" t="s">
        <v>915</v>
      </c>
      <c r="E1500" t="s">
        <v>916</v>
      </c>
      <c r="F1500" s="2">
        <v>22691</v>
      </c>
      <c r="G1500">
        <v>177</v>
      </c>
      <c r="H1500">
        <v>0</v>
      </c>
      <c r="I1500">
        <v>0.23152049646185602</v>
      </c>
      <c r="J1500">
        <f t="shared" si="46"/>
        <v>0</v>
      </c>
      <c r="K1500">
        <f t="shared" si="47"/>
        <v>0</v>
      </c>
    </row>
    <row r="1501" spans="1:11" x14ac:dyDescent="0.25">
      <c r="A1501" t="s">
        <v>14</v>
      </c>
      <c r="B1501" t="s">
        <v>1490</v>
      </c>
      <c r="C1501" t="s">
        <v>915</v>
      </c>
      <c r="D1501" t="s">
        <v>915</v>
      </c>
      <c r="E1501" t="s">
        <v>916</v>
      </c>
      <c r="F1501" s="3">
        <v>22001</v>
      </c>
      <c r="G1501">
        <v>0</v>
      </c>
      <c r="H1501">
        <v>0</v>
      </c>
      <c r="I1501">
        <v>0.23104262805493303</v>
      </c>
      <c r="J1501">
        <f t="shared" si="46"/>
        <v>0</v>
      </c>
      <c r="K1501">
        <f t="shared" si="47"/>
        <v>0</v>
      </c>
    </row>
    <row r="1502" spans="1:11" x14ac:dyDescent="0.25">
      <c r="A1502" t="s">
        <v>14</v>
      </c>
      <c r="B1502" t="s">
        <v>1490</v>
      </c>
      <c r="C1502" t="s">
        <v>915</v>
      </c>
      <c r="D1502" t="s">
        <v>915</v>
      </c>
      <c r="E1502" t="s">
        <v>916</v>
      </c>
      <c r="F1502" s="2">
        <v>22002</v>
      </c>
      <c r="G1502">
        <v>0</v>
      </c>
      <c r="H1502">
        <v>0</v>
      </c>
      <c r="I1502">
        <v>0.23104262805493303</v>
      </c>
      <c r="J1502">
        <f t="shared" si="46"/>
        <v>0</v>
      </c>
      <c r="K1502">
        <f t="shared" si="47"/>
        <v>0</v>
      </c>
    </row>
    <row r="1503" spans="1:11" x14ac:dyDescent="0.25">
      <c r="A1503" t="s">
        <v>14</v>
      </c>
      <c r="B1503" t="s">
        <v>1529</v>
      </c>
      <c r="C1503" t="s">
        <v>915</v>
      </c>
      <c r="D1503" t="s">
        <v>915</v>
      </c>
      <c r="E1503" t="s">
        <v>916</v>
      </c>
      <c r="F1503" s="2">
        <v>22435</v>
      </c>
      <c r="G1503">
        <v>1439</v>
      </c>
      <c r="H1503">
        <v>45</v>
      </c>
      <c r="I1503">
        <v>0.23492767120500188</v>
      </c>
      <c r="J1503">
        <f t="shared" si="46"/>
        <v>3.1271716469770672E-2</v>
      </c>
      <c r="K1503">
        <f t="shared" si="47"/>
        <v>7.3465915248263269E-3</v>
      </c>
    </row>
    <row r="1504" spans="1:11" x14ac:dyDescent="0.25">
      <c r="A1504" t="s">
        <v>14</v>
      </c>
      <c r="B1504" t="s">
        <v>1530</v>
      </c>
      <c r="C1504" t="s">
        <v>915</v>
      </c>
      <c r="D1504" t="s">
        <v>915</v>
      </c>
      <c r="E1504" t="s">
        <v>916</v>
      </c>
      <c r="F1504" s="3">
        <v>22651</v>
      </c>
      <c r="G1504">
        <v>1568</v>
      </c>
      <c r="H1504">
        <v>135</v>
      </c>
      <c r="I1504">
        <v>0.23527594817953895</v>
      </c>
      <c r="J1504">
        <f t="shared" si="46"/>
        <v>8.6096938775510209E-2</v>
      </c>
      <c r="K1504">
        <f t="shared" si="47"/>
        <v>2.0256538905763878E-2</v>
      </c>
    </row>
    <row r="1505" spans="1:11" x14ac:dyDescent="0.25">
      <c r="A1505" t="s">
        <v>14</v>
      </c>
      <c r="B1505" t="s">
        <v>1531</v>
      </c>
      <c r="C1505" t="s">
        <v>918</v>
      </c>
      <c r="D1505" t="s">
        <v>918</v>
      </c>
      <c r="E1505" t="s">
        <v>919</v>
      </c>
      <c r="F1505" s="2">
        <v>37362</v>
      </c>
      <c r="G1505">
        <v>32</v>
      </c>
      <c r="H1505">
        <v>0</v>
      </c>
      <c r="I1505">
        <v>0.2311290223431903</v>
      </c>
      <c r="J1505">
        <f t="shared" si="46"/>
        <v>0</v>
      </c>
      <c r="K1505">
        <f t="shared" si="47"/>
        <v>0</v>
      </c>
    </row>
    <row r="1506" spans="1:11" x14ac:dyDescent="0.25">
      <c r="A1506" t="s">
        <v>14</v>
      </c>
      <c r="B1506" t="s">
        <v>1490</v>
      </c>
      <c r="C1506" t="s">
        <v>918</v>
      </c>
      <c r="D1506" t="s">
        <v>918</v>
      </c>
      <c r="E1506" t="s">
        <v>919</v>
      </c>
      <c r="F1506" s="2">
        <v>37001</v>
      </c>
      <c r="G1506">
        <v>0</v>
      </c>
      <c r="H1506">
        <v>0</v>
      </c>
      <c r="I1506">
        <v>0.23104262805493303</v>
      </c>
      <c r="J1506">
        <f t="shared" si="46"/>
        <v>0</v>
      </c>
      <c r="K1506">
        <f t="shared" si="47"/>
        <v>0</v>
      </c>
    </row>
    <row r="1507" spans="1:11" x14ac:dyDescent="0.25">
      <c r="A1507" t="s">
        <v>14</v>
      </c>
      <c r="B1507" t="s">
        <v>1490</v>
      </c>
      <c r="C1507" t="s">
        <v>918</v>
      </c>
      <c r="D1507" t="s">
        <v>918</v>
      </c>
      <c r="E1507" t="s">
        <v>919</v>
      </c>
      <c r="F1507" s="3">
        <v>37002</v>
      </c>
      <c r="G1507">
        <v>0</v>
      </c>
      <c r="H1507">
        <v>0</v>
      </c>
      <c r="I1507">
        <v>0.23104262805493303</v>
      </c>
      <c r="J1507">
        <f t="shared" si="46"/>
        <v>0</v>
      </c>
      <c r="K1507">
        <f t="shared" si="47"/>
        <v>0</v>
      </c>
    </row>
    <row r="1508" spans="1:11" x14ac:dyDescent="0.25">
      <c r="A1508" t="s">
        <v>14</v>
      </c>
      <c r="B1508" t="s">
        <v>1490</v>
      </c>
      <c r="C1508" t="s">
        <v>918</v>
      </c>
      <c r="D1508" t="s">
        <v>918</v>
      </c>
      <c r="E1508" t="s">
        <v>919</v>
      </c>
      <c r="F1508" s="2">
        <v>37003</v>
      </c>
      <c r="G1508">
        <v>0</v>
      </c>
      <c r="H1508">
        <v>0</v>
      </c>
      <c r="I1508">
        <v>0.23104262805493303</v>
      </c>
      <c r="J1508">
        <f t="shared" si="46"/>
        <v>0</v>
      </c>
      <c r="K1508">
        <f t="shared" si="47"/>
        <v>0</v>
      </c>
    </row>
    <row r="1509" spans="1:11" x14ac:dyDescent="0.25">
      <c r="A1509" t="s">
        <v>14</v>
      </c>
      <c r="B1509" t="s">
        <v>1490</v>
      </c>
      <c r="C1509" t="s">
        <v>918</v>
      </c>
      <c r="D1509" t="s">
        <v>918</v>
      </c>
      <c r="E1509" t="s">
        <v>919</v>
      </c>
      <c r="F1509" s="3">
        <v>37004</v>
      </c>
      <c r="G1509">
        <v>0</v>
      </c>
      <c r="H1509">
        <v>0</v>
      </c>
      <c r="I1509">
        <v>0.23104262805493303</v>
      </c>
      <c r="J1509">
        <f t="shared" si="46"/>
        <v>0</v>
      </c>
      <c r="K1509">
        <f t="shared" si="47"/>
        <v>0</v>
      </c>
    </row>
    <row r="1510" spans="1:11" x14ac:dyDescent="0.25">
      <c r="A1510" t="s">
        <v>14</v>
      </c>
      <c r="B1510" t="s">
        <v>1490</v>
      </c>
      <c r="C1510" t="s">
        <v>918</v>
      </c>
      <c r="D1510" t="s">
        <v>918</v>
      </c>
      <c r="E1510" t="s">
        <v>919</v>
      </c>
      <c r="F1510" s="2">
        <v>37005</v>
      </c>
      <c r="G1510">
        <v>0</v>
      </c>
      <c r="H1510">
        <v>0</v>
      </c>
      <c r="I1510">
        <v>0.23104262805493303</v>
      </c>
      <c r="J1510">
        <f t="shared" si="46"/>
        <v>0</v>
      </c>
      <c r="K1510">
        <f t="shared" si="47"/>
        <v>0</v>
      </c>
    </row>
    <row r="1511" spans="1:11" x14ac:dyDescent="0.25">
      <c r="A1511" t="s">
        <v>14</v>
      </c>
      <c r="B1511" t="s">
        <v>1490</v>
      </c>
      <c r="C1511" t="s">
        <v>918</v>
      </c>
      <c r="D1511" t="s">
        <v>918</v>
      </c>
      <c r="E1511" t="s">
        <v>919</v>
      </c>
      <c r="F1511" s="3">
        <v>37006</v>
      </c>
      <c r="G1511">
        <v>0</v>
      </c>
      <c r="H1511">
        <v>0</v>
      </c>
      <c r="I1511">
        <v>0.23104262805493303</v>
      </c>
      <c r="J1511">
        <f t="shared" si="46"/>
        <v>0</v>
      </c>
      <c r="K1511">
        <f t="shared" si="47"/>
        <v>0</v>
      </c>
    </row>
    <row r="1512" spans="1:11" x14ac:dyDescent="0.25">
      <c r="A1512" t="s">
        <v>14</v>
      </c>
      <c r="B1512" t="s">
        <v>1532</v>
      </c>
      <c r="C1512" t="s">
        <v>918</v>
      </c>
      <c r="D1512" t="s">
        <v>918</v>
      </c>
      <c r="E1512" t="s">
        <v>919</v>
      </c>
      <c r="F1512" s="3">
        <v>37389</v>
      </c>
      <c r="G1512">
        <v>0</v>
      </c>
      <c r="H1512">
        <v>0</v>
      </c>
      <c r="I1512">
        <v>0.23104262805493303</v>
      </c>
      <c r="J1512">
        <f t="shared" si="46"/>
        <v>0</v>
      </c>
      <c r="K1512">
        <f t="shared" si="47"/>
        <v>0</v>
      </c>
    </row>
    <row r="1513" spans="1:11" x14ac:dyDescent="0.25">
      <c r="A1513" t="s">
        <v>14</v>
      </c>
      <c r="B1513" t="s">
        <v>1533</v>
      </c>
      <c r="C1513" t="s">
        <v>918</v>
      </c>
      <c r="D1513" t="s">
        <v>918</v>
      </c>
      <c r="E1513" t="s">
        <v>919</v>
      </c>
      <c r="F1513" s="2">
        <v>37314</v>
      </c>
      <c r="G1513">
        <v>127</v>
      </c>
      <c r="H1513">
        <v>0</v>
      </c>
      <c r="I1513">
        <v>0.23138550538645405</v>
      </c>
      <c r="J1513">
        <f t="shared" si="46"/>
        <v>0</v>
      </c>
      <c r="K1513">
        <f t="shared" si="47"/>
        <v>0</v>
      </c>
    </row>
    <row r="1514" spans="1:11" x14ac:dyDescent="0.25">
      <c r="A1514" t="s">
        <v>14</v>
      </c>
      <c r="B1514" t="s">
        <v>1534</v>
      </c>
      <c r="C1514" t="s">
        <v>918</v>
      </c>
      <c r="D1514" t="s">
        <v>918</v>
      </c>
      <c r="E1514" t="s">
        <v>919</v>
      </c>
      <c r="F1514" s="3">
        <v>37385</v>
      </c>
      <c r="G1514">
        <v>0</v>
      </c>
      <c r="H1514">
        <v>0</v>
      </c>
      <c r="I1514">
        <v>0.23104262805493303</v>
      </c>
      <c r="J1514">
        <f t="shared" si="46"/>
        <v>0</v>
      </c>
      <c r="K1514">
        <f t="shared" si="47"/>
        <v>0</v>
      </c>
    </row>
    <row r="1515" spans="1:11" x14ac:dyDescent="0.25">
      <c r="A1515" t="s">
        <v>14</v>
      </c>
      <c r="B1515" t="s">
        <v>1535</v>
      </c>
      <c r="C1515" t="s">
        <v>918</v>
      </c>
      <c r="D1515" t="s">
        <v>918</v>
      </c>
      <c r="E1515" t="s">
        <v>919</v>
      </c>
      <c r="F1515" s="2">
        <v>37360</v>
      </c>
      <c r="G1515">
        <v>495</v>
      </c>
      <c r="H1515">
        <v>14</v>
      </c>
      <c r="I1515">
        <v>0.23237903970141258</v>
      </c>
      <c r="J1515">
        <f t="shared" si="46"/>
        <v>2.8282828282828285E-2</v>
      </c>
      <c r="K1515">
        <f t="shared" si="47"/>
        <v>6.5723364764035883E-3</v>
      </c>
    </row>
    <row r="1516" spans="1:11" x14ac:dyDescent="0.25">
      <c r="A1516" t="s">
        <v>14</v>
      </c>
      <c r="B1516" t="s">
        <v>1536</v>
      </c>
      <c r="C1516" t="s">
        <v>918</v>
      </c>
      <c r="D1516" t="s">
        <v>918</v>
      </c>
      <c r="E1516" t="s">
        <v>919</v>
      </c>
      <c r="F1516" s="3">
        <v>37383</v>
      </c>
      <c r="G1516">
        <v>127</v>
      </c>
      <c r="H1516">
        <v>0</v>
      </c>
      <c r="I1516">
        <v>0.23138550538645405</v>
      </c>
      <c r="J1516">
        <f t="shared" si="46"/>
        <v>0</v>
      </c>
      <c r="K1516">
        <f t="shared" si="47"/>
        <v>0</v>
      </c>
    </row>
    <row r="1517" spans="1:11" x14ac:dyDescent="0.25">
      <c r="A1517" t="s">
        <v>14</v>
      </c>
      <c r="B1517" t="s">
        <v>1537</v>
      </c>
      <c r="C1517" t="s">
        <v>918</v>
      </c>
      <c r="D1517" t="s">
        <v>918</v>
      </c>
      <c r="E1517" t="s">
        <v>919</v>
      </c>
      <c r="F1517" s="2">
        <v>37353</v>
      </c>
      <c r="G1517">
        <v>95</v>
      </c>
      <c r="H1517">
        <v>0</v>
      </c>
      <c r="I1517">
        <v>0.23129911109819679</v>
      </c>
      <c r="J1517">
        <f t="shared" si="46"/>
        <v>0</v>
      </c>
      <c r="K1517">
        <f t="shared" si="47"/>
        <v>0</v>
      </c>
    </row>
    <row r="1518" spans="1:11" x14ac:dyDescent="0.25">
      <c r="A1518" t="s">
        <v>14</v>
      </c>
      <c r="B1518" t="s">
        <v>1538</v>
      </c>
      <c r="C1518" t="s">
        <v>937</v>
      </c>
      <c r="D1518" t="s">
        <v>937</v>
      </c>
      <c r="E1518" t="s">
        <v>937</v>
      </c>
      <c r="F1518" s="3">
        <v>71115</v>
      </c>
      <c r="G1518">
        <v>0</v>
      </c>
      <c r="H1518">
        <v>0</v>
      </c>
      <c r="I1518">
        <v>0.23104262805493303</v>
      </c>
      <c r="J1518">
        <f t="shared" si="46"/>
        <v>0</v>
      </c>
      <c r="K1518">
        <f t="shared" si="47"/>
        <v>0</v>
      </c>
    </row>
    <row r="1519" spans="1:11" x14ac:dyDescent="0.25">
      <c r="A1519" t="s">
        <v>14</v>
      </c>
      <c r="B1519" t="s">
        <v>1539</v>
      </c>
      <c r="C1519" t="s">
        <v>937</v>
      </c>
      <c r="D1519" t="s">
        <v>937</v>
      </c>
      <c r="E1519" t="s">
        <v>937</v>
      </c>
      <c r="F1519" s="2">
        <v>71251</v>
      </c>
      <c r="G1519">
        <v>18</v>
      </c>
      <c r="H1519">
        <v>0</v>
      </c>
      <c r="I1519">
        <v>0.23109122484207775</v>
      </c>
      <c r="J1519">
        <f t="shared" si="46"/>
        <v>0</v>
      </c>
      <c r="K1519">
        <f t="shared" si="47"/>
        <v>0</v>
      </c>
    </row>
    <row r="1520" spans="1:11" x14ac:dyDescent="0.25">
      <c r="A1520" t="s">
        <v>14</v>
      </c>
      <c r="B1520" t="s">
        <v>1540</v>
      </c>
      <c r="C1520" t="s">
        <v>937</v>
      </c>
      <c r="D1520" t="s">
        <v>937</v>
      </c>
      <c r="E1520" t="s">
        <v>937</v>
      </c>
      <c r="F1520" s="3">
        <v>71354</v>
      </c>
      <c r="G1520">
        <v>48</v>
      </c>
      <c r="H1520">
        <v>0</v>
      </c>
      <c r="I1520">
        <v>0.23117221948731892</v>
      </c>
      <c r="J1520">
        <f t="shared" si="46"/>
        <v>0</v>
      </c>
      <c r="K1520">
        <f t="shared" si="47"/>
        <v>0</v>
      </c>
    </row>
    <row r="1521" spans="1:11" x14ac:dyDescent="0.25">
      <c r="A1521" t="s">
        <v>14</v>
      </c>
      <c r="B1521" t="s">
        <v>1541</v>
      </c>
      <c r="C1521" t="s">
        <v>937</v>
      </c>
      <c r="D1521" t="s">
        <v>937</v>
      </c>
      <c r="E1521" t="s">
        <v>937</v>
      </c>
      <c r="F1521" s="2">
        <v>71386</v>
      </c>
      <c r="G1521">
        <v>27</v>
      </c>
      <c r="H1521">
        <v>0</v>
      </c>
      <c r="I1521">
        <v>0.2311155232356501</v>
      </c>
      <c r="J1521">
        <f t="shared" si="46"/>
        <v>0</v>
      </c>
      <c r="K1521">
        <f t="shared" si="47"/>
        <v>0</v>
      </c>
    </row>
    <row r="1522" spans="1:11" x14ac:dyDescent="0.25">
      <c r="A1522" t="s">
        <v>14</v>
      </c>
      <c r="B1522" t="s">
        <v>1542</v>
      </c>
      <c r="C1522" t="s">
        <v>937</v>
      </c>
      <c r="D1522" t="s">
        <v>937</v>
      </c>
      <c r="E1522" t="s">
        <v>937</v>
      </c>
      <c r="F1522" s="3">
        <v>71341</v>
      </c>
      <c r="G1522">
        <v>35</v>
      </c>
      <c r="H1522">
        <v>0</v>
      </c>
      <c r="I1522">
        <v>0.23113712180771442</v>
      </c>
      <c r="J1522">
        <f t="shared" si="46"/>
        <v>0</v>
      </c>
      <c r="K1522">
        <f t="shared" si="47"/>
        <v>0</v>
      </c>
    </row>
    <row r="1523" spans="1:11" x14ac:dyDescent="0.25">
      <c r="A1523" t="s">
        <v>14</v>
      </c>
      <c r="B1523" t="s">
        <v>1543</v>
      </c>
      <c r="C1523" t="s">
        <v>937</v>
      </c>
      <c r="D1523" t="s">
        <v>937</v>
      </c>
      <c r="E1523" t="s">
        <v>937</v>
      </c>
      <c r="F1523" s="2">
        <v>71357</v>
      </c>
      <c r="G1523">
        <v>46</v>
      </c>
      <c r="H1523">
        <v>0</v>
      </c>
      <c r="I1523">
        <v>0.23116681984430285</v>
      </c>
      <c r="J1523">
        <f t="shared" si="46"/>
        <v>0</v>
      </c>
      <c r="K1523">
        <f t="shared" si="47"/>
        <v>0</v>
      </c>
    </row>
    <row r="1524" spans="1:11" x14ac:dyDescent="0.25">
      <c r="A1524" t="s">
        <v>14</v>
      </c>
      <c r="B1524" t="s">
        <v>1544</v>
      </c>
      <c r="C1524" t="s">
        <v>937</v>
      </c>
      <c r="D1524" t="s">
        <v>937</v>
      </c>
      <c r="E1524" t="s">
        <v>937</v>
      </c>
      <c r="F1524" s="3">
        <v>71314</v>
      </c>
      <c r="G1524">
        <v>160</v>
      </c>
      <c r="H1524">
        <v>0</v>
      </c>
      <c r="I1524">
        <v>0.23147459949621935</v>
      </c>
      <c r="J1524">
        <f t="shared" si="46"/>
        <v>0</v>
      </c>
      <c r="K1524">
        <f t="shared" si="47"/>
        <v>0</v>
      </c>
    </row>
    <row r="1525" spans="1:11" x14ac:dyDescent="0.25">
      <c r="A1525" t="s">
        <v>14</v>
      </c>
      <c r="B1525" t="s">
        <v>1545</v>
      </c>
      <c r="C1525" t="s">
        <v>937</v>
      </c>
      <c r="D1525" t="s">
        <v>937</v>
      </c>
      <c r="E1525" t="s">
        <v>937</v>
      </c>
      <c r="F1525" s="2">
        <v>71384</v>
      </c>
      <c r="G1525">
        <v>0</v>
      </c>
      <c r="H1525">
        <v>0</v>
      </c>
      <c r="I1525">
        <v>0.23104262805493303</v>
      </c>
      <c r="J1525">
        <f t="shared" si="46"/>
        <v>0</v>
      </c>
      <c r="K1525">
        <f t="shared" si="47"/>
        <v>0</v>
      </c>
    </row>
    <row r="1526" spans="1:11" x14ac:dyDescent="0.25">
      <c r="A1526" t="s">
        <v>14</v>
      </c>
      <c r="B1526" t="s">
        <v>1546</v>
      </c>
      <c r="C1526" t="s">
        <v>937</v>
      </c>
      <c r="D1526" t="s">
        <v>937</v>
      </c>
      <c r="E1526" t="s">
        <v>937</v>
      </c>
      <c r="F1526" s="3">
        <v>71241</v>
      </c>
      <c r="G1526">
        <v>26</v>
      </c>
      <c r="H1526">
        <v>0</v>
      </c>
      <c r="I1526">
        <v>0.23111282341414205</v>
      </c>
      <c r="J1526">
        <f t="shared" si="46"/>
        <v>0</v>
      </c>
      <c r="K1526">
        <f t="shared" si="47"/>
        <v>0</v>
      </c>
    </row>
    <row r="1527" spans="1:11" x14ac:dyDescent="0.25">
      <c r="A1527" t="s">
        <v>14</v>
      </c>
      <c r="B1527" t="s">
        <v>1547</v>
      </c>
      <c r="C1527" t="s">
        <v>1280</v>
      </c>
      <c r="D1527" t="s">
        <v>1280</v>
      </c>
      <c r="E1527" t="s">
        <v>937</v>
      </c>
      <c r="F1527" s="2" t="s">
        <v>1548</v>
      </c>
      <c r="G1527">
        <v>0</v>
      </c>
      <c r="H1527">
        <v>0</v>
      </c>
      <c r="I1527">
        <v>0.23104262805493303</v>
      </c>
      <c r="J1527">
        <f t="shared" si="46"/>
        <v>0</v>
      </c>
      <c r="K1527">
        <f t="shared" si="47"/>
        <v>0</v>
      </c>
    </row>
    <row r="1528" spans="1:11" x14ac:dyDescent="0.25">
      <c r="A1528" t="s">
        <v>14</v>
      </c>
      <c r="B1528" t="s">
        <v>1549</v>
      </c>
      <c r="C1528" t="s">
        <v>1295</v>
      </c>
      <c r="D1528" t="s">
        <v>1295</v>
      </c>
      <c r="E1528" t="s">
        <v>916</v>
      </c>
      <c r="F1528" s="3">
        <v>26214</v>
      </c>
      <c r="G1528">
        <v>79</v>
      </c>
      <c r="H1528">
        <v>1935</v>
      </c>
      <c r="I1528">
        <v>0.23125591395406814</v>
      </c>
      <c r="J1528">
        <f t="shared" si="46"/>
        <v>24.49367088607595</v>
      </c>
      <c r="K1528">
        <f t="shared" si="47"/>
        <v>5.6643062468496437</v>
      </c>
    </row>
    <row r="1529" spans="1:11" x14ac:dyDescent="0.25">
      <c r="A1529" t="s">
        <v>14</v>
      </c>
      <c r="B1529" t="s">
        <v>1550</v>
      </c>
      <c r="C1529" t="s">
        <v>1295</v>
      </c>
      <c r="D1529" t="s">
        <v>1295</v>
      </c>
      <c r="E1529" t="s">
        <v>916</v>
      </c>
      <c r="F1529" s="2">
        <v>26374</v>
      </c>
      <c r="G1529">
        <v>60</v>
      </c>
      <c r="H1529">
        <v>0</v>
      </c>
      <c r="I1529">
        <v>0.23120461734541539</v>
      </c>
      <c r="J1529">
        <f t="shared" si="46"/>
        <v>0</v>
      </c>
      <c r="K1529">
        <f t="shared" si="47"/>
        <v>0</v>
      </c>
    </row>
    <row r="1530" spans="1:11" x14ac:dyDescent="0.25">
      <c r="A1530" t="s">
        <v>14</v>
      </c>
      <c r="B1530" t="s">
        <v>1551</v>
      </c>
      <c r="C1530" t="s">
        <v>1295</v>
      </c>
      <c r="D1530" t="s">
        <v>1295</v>
      </c>
      <c r="E1530" t="s">
        <v>916</v>
      </c>
      <c r="F1530" s="3">
        <v>26392</v>
      </c>
      <c r="G1530">
        <v>84</v>
      </c>
      <c r="H1530">
        <v>0</v>
      </c>
      <c r="I1530">
        <v>0.23126941306160834</v>
      </c>
      <c r="J1530">
        <f t="shared" si="46"/>
        <v>0</v>
      </c>
      <c r="K1530">
        <f t="shared" si="47"/>
        <v>0</v>
      </c>
    </row>
    <row r="1531" spans="1:11" x14ac:dyDescent="0.25">
      <c r="A1531" t="s">
        <v>14</v>
      </c>
      <c r="B1531" t="s">
        <v>1552</v>
      </c>
      <c r="C1531" t="s">
        <v>1295</v>
      </c>
      <c r="D1531" t="s">
        <v>1295</v>
      </c>
      <c r="E1531" t="s">
        <v>916</v>
      </c>
      <c r="F1531" s="2">
        <v>26237</v>
      </c>
      <c r="G1531">
        <v>117</v>
      </c>
      <c r="H1531">
        <v>100</v>
      </c>
      <c r="I1531">
        <v>0.23135850717137366</v>
      </c>
      <c r="J1531">
        <f t="shared" si="46"/>
        <v>0.85470085470085466</v>
      </c>
      <c r="K1531">
        <f t="shared" si="47"/>
        <v>0.19774231382168689</v>
      </c>
    </row>
    <row r="1532" spans="1:11" x14ac:dyDescent="0.25">
      <c r="A1532" t="s">
        <v>14</v>
      </c>
      <c r="B1532" t="s">
        <v>1553</v>
      </c>
      <c r="C1532" t="s">
        <v>1295</v>
      </c>
      <c r="D1532" t="s">
        <v>1295</v>
      </c>
      <c r="E1532" t="s">
        <v>916</v>
      </c>
      <c r="F1532" s="3">
        <v>26283</v>
      </c>
      <c r="G1532">
        <v>54</v>
      </c>
      <c r="H1532">
        <v>51</v>
      </c>
      <c r="I1532">
        <v>0.23118841841636717</v>
      </c>
      <c r="J1532">
        <f t="shared" si="46"/>
        <v>0.94444444444444442</v>
      </c>
      <c r="K1532">
        <f t="shared" si="47"/>
        <v>0.21834461739323566</v>
      </c>
    </row>
    <row r="1533" spans="1:11" x14ac:dyDescent="0.25">
      <c r="A1533" t="s">
        <v>14</v>
      </c>
      <c r="B1533" t="s">
        <v>1554</v>
      </c>
      <c r="C1533" t="s">
        <v>1295</v>
      </c>
      <c r="D1533" t="s">
        <v>1295</v>
      </c>
      <c r="E1533" t="s">
        <v>916</v>
      </c>
      <c r="F1533" s="2">
        <v>26354</v>
      </c>
      <c r="G1533">
        <v>2</v>
      </c>
      <c r="H1533">
        <v>59</v>
      </c>
      <c r="I1533">
        <v>0.2310480276979491</v>
      </c>
      <c r="J1533">
        <f t="shared" si="46"/>
        <v>29.5</v>
      </c>
      <c r="K1533">
        <f t="shared" si="47"/>
        <v>6.8159168170894988</v>
      </c>
    </row>
    <row r="1534" spans="1:11" x14ac:dyDescent="0.25">
      <c r="A1534" t="s">
        <v>14</v>
      </c>
      <c r="B1534" t="s">
        <v>1490</v>
      </c>
      <c r="C1534" t="s">
        <v>1295</v>
      </c>
      <c r="D1534" t="s">
        <v>1295</v>
      </c>
      <c r="E1534" t="s">
        <v>916</v>
      </c>
      <c r="F1534" s="3">
        <v>26001</v>
      </c>
      <c r="G1534">
        <v>0</v>
      </c>
      <c r="H1534">
        <v>0</v>
      </c>
      <c r="I1534">
        <v>0.23104262805493303</v>
      </c>
      <c r="J1534">
        <f t="shared" si="46"/>
        <v>0</v>
      </c>
      <c r="K1534">
        <f t="shared" si="47"/>
        <v>0</v>
      </c>
    </row>
    <row r="1535" spans="1:11" x14ac:dyDescent="0.25">
      <c r="A1535" t="s">
        <v>14</v>
      </c>
      <c r="B1535" t="s">
        <v>1490</v>
      </c>
      <c r="C1535" t="s">
        <v>1295</v>
      </c>
      <c r="D1535" t="s">
        <v>1295</v>
      </c>
      <c r="E1535" t="s">
        <v>916</v>
      </c>
      <c r="F1535" s="2">
        <v>26002</v>
      </c>
      <c r="G1535">
        <v>0</v>
      </c>
      <c r="H1535">
        <v>0</v>
      </c>
      <c r="I1535">
        <v>0.23104262805493303</v>
      </c>
      <c r="J1535">
        <f t="shared" si="46"/>
        <v>0</v>
      </c>
      <c r="K1535">
        <f t="shared" si="47"/>
        <v>0</v>
      </c>
    </row>
    <row r="1536" spans="1:11" x14ac:dyDescent="0.25">
      <c r="A1536" t="s">
        <v>14</v>
      </c>
      <c r="B1536" t="s">
        <v>1490</v>
      </c>
      <c r="C1536" t="s">
        <v>1295</v>
      </c>
      <c r="D1536" t="s">
        <v>1295</v>
      </c>
      <c r="E1536" t="s">
        <v>916</v>
      </c>
      <c r="F1536" s="3">
        <v>26003</v>
      </c>
      <c r="G1536">
        <v>0</v>
      </c>
      <c r="H1536">
        <v>0</v>
      </c>
      <c r="I1536">
        <v>0.23104262805493303</v>
      </c>
      <c r="J1536">
        <f t="shared" si="46"/>
        <v>0</v>
      </c>
      <c r="K1536">
        <f t="shared" si="47"/>
        <v>0</v>
      </c>
    </row>
    <row r="1537" spans="1:11" x14ac:dyDescent="0.25">
      <c r="A1537" t="s">
        <v>14</v>
      </c>
      <c r="B1537" t="s">
        <v>1490</v>
      </c>
      <c r="C1537" t="s">
        <v>1295</v>
      </c>
      <c r="D1537" t="s">
        <v>1295</v>
      </c>
      <c r="E1537" t="s">
        <v>916</v>
      </c>
      <c r="F1537" s="2">
        <v>26004</v>
      </c>
      <c r="G1537">
        <v>0</v>
      </c>
      <c r="H1537">
        <v>0</v>
      </c>
      <c r="I1537">
        <v>0.23104262805493303</v>
      </c>
      <c r="J1537">
        <f t="shared" si="46"/>
        <v>0</v>
      </c>
      <c r="K1537">
        <f t="shared" si="47"/>
        <v>0</v>
      </c>
    </row>
    <row r="1538" spans="1:11" x14ac:dyDescent="0.25">
      <c r="A1538" t="s">
        <v>14</v>
      </c>
      <c r="B1538" t="s">
        <v>1490</v>
      </c>
      <c r="C1538" t="s">
        <v>1295</v>
      </c>
      <c r="D1538" t="s">
        <v>1295</v>
      </c>
      <c r="E1538" t="s">
        <v>916</v>
      </c>
      <c r="F1538" s="3">
        <v>26005</v>
      </c>
      <c r="G1538">
        <v>0</v>
      </c>
      <c r="H1538">
        <v>0</v>
      </c>
      <c r="I1538">
        <v>0.23104262805493303</v>
      </c>
      <c r="J1538">
        <f t="shared" si="46"/>
        <v>0</v>
      </c>
      <c r="K1538">
        <f t="shared" si="47"/>
        <v>0</v>
      </c>
    </row>
    <row r="1539" spans="1:11" x14ac:dyDescent="0.25">
      <c r="A1539" t="s">
        <v>14</v>
      </c>
      <c r="B1539" t="s">
        <v>1490</v>
      </c>
      <c r="C1539" t="s">
        <v>1295</v>
      </c>
      <c r="D1539" t="s">
        <v>1295</v>
      </c>
      <c r="E1539" t="s">
        <v>916</v>
      </c>
      <c r="F1539" s="2">
        <v>26006</v>
      </c>
      <c r="G1539">
        <v>0</v>
      </c>
      <c r="H1539">
        <v>0</v>
      </c>
      <c r="I1539">
        <v>0.23104262805493303</v>
      </c>
      <c r="J1539">
        <f t="shared" ref="J1539:J1602" si="48">IF(G1539=0,0,H1539/G1539)</f>
        <v>0</v>
      </c>
      <c r="K1539">
        <f t="shared" ref="K1539:K1602" si="49">J1539*I1539</f>
        <v>0</v>
      </c>
    </row>
    <row r="1540" spans="1:11" x14ac:dyDescent="0.25">
      <c r="A1540" t="s">
        <v>14</v>
      </c>
      <c r="B1540" t="s">
        <v>1490</v>
      </c>
      <c r="C1540" t="s">
        <v>1295</v>
      </c>
      <c r="D1540" t="s">
        <v>1295</v>
      </c>
      <c r="E1540" t="s">
        <v>916</v>
      </c>
      <c r="F1540" s="3">
        <v>26007</v>
      </c>
      <c r="G1540">
        <v>0</v>
      </c>
      <c r="H1540">
        <v>0</v>
      </c>
      <c r="I1540">
        <v>0.23104262805493303</v>
      </c>
      <c r="J1540">
        <f t="shared" si="48"/>
        <v>0</v>
      </c>
      <c r="K1540">
        <f t="shared" si="49"/>
        <v>0</v>
      </c>
    </row>
    <row r="1541" spans="1:11" x14ac:dyDescent="0.25">
      <c r="A1541" t="s">
        <v>14</v>
      </c>
      <c r="B1541" t="s">
        <v>1490</v>
      </c>
      <c r="C1541" t="s">
        <v>1295</v>
      </c>
      <c r="D1541" t="s">
        <v>1295</v>
      </c>
      <c r="E1541" t="s">
        <v>916</v>
      </c>
      <c r="F1541" s="2">
        <v>26009</v>
      </c>
      <c r="G1541">
        <v>0</v>
      </c>
      <c r="H1541">
        <v>0</v>
      </c>
      <c r="I1541">
        <v>0.23104262805493303</v>
      </c>
      <c r="J1541">
        <f t="shared" si="48"/>
        <v>0</v>
      </c>
      <c r="K1541">
        <f t="shared" si="49"/>
        <v>0</v>
      </c>
    </row>
    <row r="1542" spans="1:11" x14ac:dyDescent="0.25">
      <c r="A1542" t="s">
        <v>14</v>
      </c>
      <c r="B1542" t="s">
        <v>1555</v>
      </c>
      <c r="C1542" t="s">
        <v>1295</v>
      </c>
      <c r="D1542" t="s">
        <v>1295</v>
      </c>
      <c r="E1542" t="s">
        <v>916</v>
      </c>
      <c r="F1542" s="3">
        <v>26324</v>
      </c>
      <c r="G1542">
        <v>125</v>
      </c>
      <c r="H1542">
        <v>0</v>
      </c>
      <c r="I1542">
        <v>0.23138010574343798</v>
      </c>
      <c r="J1542">
        <f t="shared" si="48"/>
        <v>0</v>
      </c>
      <c r="K1542">
        <f t="shared" si="49"/>
        <v>0</v>
      </c>
    </row>
    <row r="1543" spans="1:11" x14ac:dyDescent="0.25">
      <c r="A1543" t="s">
        <v>14</v>
      </c>
      <c r="B1543" t="s">
        <v>1556</v>
      </c>
      <c r="C1543" t="s">
        <v>1295</v>
      </c>
      <c r="D1543" t="s">
        <v>1295</v>
      </c>
      <c r="E1543" t="s">
        <v>916</v>
      </c>
      <c r="F1543" s="2">
        <v>26390</v>
      </c>
      <c r="G1543">
        <v>0</v>
      </c>
      <c r="H1543">
        <v>0</v>
      </c>
      <c r="I1543">
        <v>0.23104262805493303</v>
      </c>
      <c r="J1543">
        <f t="shared" si="48"/>
        <v>0</v>
      </c>
      <c r="K1543">
        <f t="shared" si="49"/>
        <v>0</v>
      </c>
    </row>
    <row r="1544" spans="1:11" x14ac:dyDescent="0.25">
      <c r="A1544" t="s">
        <v>14</v>
      </c>
      <c r="B1544" t="s">
        <v>1557</v>
      </c>
      <c r="C1544" t="s">
        <v>1295</v>
      </c>
      <c r="D1544" t="s">
        <v>1295</v>
      </c>
      <c r="E1544" t="s">
        <v>916</v>
      </c>
      <c r="F1544" s="3">
        <v>26236</v>
      </c>
      <c r="G1544">
        <v>99</v>
      </c>
      <c r="H1544">
        <v>9</v>
      </c>
      <c r="I1544">
        <v>0.23130991038422893</v>
      </c>
      <c r="J1544">
        <f t="shared" si="48"/>
        <v>9.0909090909090912E-2</v>
      </c>
      <c r="K1544">
        <f t="shared" si="49"/>
        <v>2.1028173671293539E-2</v>
      </c>
    </row>
    <row r="1545" spans="1:11" x14ac:dyDescent="0.25">
      <c r="A1545" t="s">
        <v>14</v>
      </c>
      <c r="B1545" t="s">
        <v>1558</v>
      </c>
      <c r="C1545" t="s">
        <v>1295</v>
      </c>
      <c r="D1545" t="s">
        <v>1295</v>
      </c>
      <c r="E1545" t="s">
        <v>916</v>
      </c>
      <c r="F1545" s="2">
        <v>26314</v>
      </c>
      <c r="G1545">
        <v>111</v>
      </c>
      <c r="H1545">
        <v>0</v>
      </c>
      <c r="I1545">
        <v>0.23134230824232541</v>
      </c>
      <c r="J1545">
        <f t="shared" si="48"/>
        <v>0</v>
      </c>
      <c r="K1545">
        <f t="shared" si="49"/>
        <v>0</v>
      </c>
    </row>
    <row r="1546" spans="1:11" x14ac:dyDescent="0.25">
      <c r="A1546" t="s">
        <v>14</v>
      </c>
      <c r="B1546" t="s">
        <v>1559</v>
      </c>
      <c r="C1546" t="s">
        <v>1295</v>
      </c>
      <c r="D1546" t="s">
        <v>1295</v>
      </c>
      <c r="E1546" t="s">
        <v>916</v>
      </c>
      <c r="F1546" s="3">
        <v>26213</v>
      </c>
      <c r="G1546">
        <v>70</v>
      </c>
      <c r="H1546">
        <v>0</v>
      </c>
      <c r="I1546">
        <v>0.23123161556049579</v>
      </c>
      <c r="J1546">
        <f t="shared" si="48"/>
        <v>0</v>
      </c>
      <c r="K1546">
        <f t="shared" si="49"/>
        <v>0</v>
      </c>
    </row>
    <row r="1547" spans="1:11" x14ac:dyDescent="0.25">
      <c r="A1547" t="s">
        <v>14</v>
      </c>
      <c r="B1547" t="s">
        <v>1560</v>
      </c>
      <c r="C1547" t="s">
        <v>1295</v>
      </c>
      <c r="D1547" t="s">
        <v>1295</v>
      </c>
      <c r="E1547" t="s">
        <v>916</v>
      </c>
      <c r="F1547" s="2">
        <v>26254</v>
      </c>
      <c r="G1547">
        <v>0</v>
      </c>
      <c r="H1547">
        <v>0</v>
      </c>
      <c r="I1547">
        <v>0.23104262805493303</v>
      </c>
      <c r="J1547">
        <f t="shared" si="48"/>
        <v>0</v>
      </c>
      <c r="K1547">
        <f t="shared" si="49"/>
        <v>0</v>
      </c>
    </row>
    <row r="1548" spans="1:11" x14ac:dyDescent="0.25">
      <c r="A1548" t="s">
        <v>14</v>
      </c>
      <c r="B1548" t="s">
        <v>1561</v>
      </c>
      <c r="C1548" t="s">
        <v>1295</v>
      </c>
      <c r="D1548" t="s">
        <v>1295</v>
      </c>
      <c r="E1548" t="s">
        <v>916</v>
      </c>
      <c r="F1548" s="3">
        <v>26344</v>
      </c>
      <c r="G1548">
        <v>10</v>
      </c>
      <c r="H1548">
        <v>0</v>
      </c>
      <c r="I1548">
        <v>0.23106962627001343</v>
      </c>
      <c r="J1548">
        <f t="shared" si="48"/>
        <v>0</v>
      </c>
      <c r="K1548">
        <f t="shared" si="49"/>
        <v>0</v>
      </c>
    </row>
    <row r="1549" spans="1:11" x14ac:dyDescent="0.25">
      <c r="A1549" t="s">
        <v>14</v>
      </c>
      <c r="B1549" t="s">
        <v>1562</v>
      </c>
      <c r="C1549" t="s">
        <v>1332</v>
      </c>
      <c r="D1549" t="s">
        <v>1332</v>
      </c>
      <c r="E1549" t="s">
        <v>1270</v>
      </c>
      <c r="F1549" s="2">
        <v>63174</v>
      </c>
      <c r="G1549">
        <v>21</v>
      </c>
      <c r="H1549">
        <v>0</v>
      </c>
      <c r="I1549">
        <v>0.23109932430660185</v>
      </c>
      <c r="J1549">
        <f t="shared" si="48"/>
        <v>0</v>
      </c>
      <c r="K1549">
        <f t="shared" si="49"/>
        <v>0</v>
      </c>
    </row>
    <row r="1550" spans="1:11" x14ac:dyDescent="0.25">
      <c r="A1550" t="s">
        <v>14</v>
      </c>
      <c r="B1550" t="s">
        <v>1563</v>
      </c>
      <c r="C1550" t="s">
        <v>1332</v>
      </c>
      <c r="D1550" t="s">
        <v>1332</v>
      </c>
      <c r="E1550" t="s">
        <v>1270</v>
      </c>
      <c r="F1550" s="3">
        <v>63347</v>
      </c>
      <c r="G1550">
        <v>0</v>
      </c>
      <c r="H1550">
        <v>0</v>
      </c>
      <c r="I1550">
        <v>0.23104262805493303</v>
      </c>
      <c r="J1550">
        <f t="shared" si="48"/>
        <v>0</v>
      </c>
      <c r="K1550">
        <f t="shared" si="49"/>
        <v>0</v>
      </c>
    </row>
    <row r="1551" spans="1:11" x14ac:dyDescent="0.25">
      <c r="A1551" t="s">
        <v>14</v>
      </c>
      <c r="B1551" t="s">
        <v>1490</v>
      </c>
      <c r="C1551" t="s">
        <v>1332</v>
      </c>
      <c r="D1551" t="s">
        <v>1332</v>
      </c>
      <c r="E1551" t="s">
        <v>1270</v>
      </c>
      <c r="F1551" s="2">
        <v>63001</v>
      </c>
      <c r="G1551">
        <v>0</v>
      </c>
      <c r="H1551">
        <v>0</v>
      </c>
      <c r="I1551">
        <v>0.23104262805493303</v>
      </c>
      <c r="J1551">
        <f t="shared" si="48"/>
        <v>0</v>
      </c>
      <c r="K1551">
        <f t="shared" si="49"/>
        <v>0</v>
      </c>
    </row>
    <row r="1552" spans="1:11" x14ac:dyDescent="0.25">
      <c r="A1552" t="s">
        <v>14</v>
      </c>
      <c r="B1552" t="s">
        <v>1490</v>
      </c>
      <c r="C1552" t="s">
        <v>1332</v>
      </c>
      <c r="D1552" t="s">
        <v>1332</v>
      </c>
      <c r="E1552" t="s">
        <v>1270</v>
      </c>
      <c r="F1552" s="3">
        <v>63002</v>
      </c>
      <c r="G1552">
        <v>0</v>
      </c>
      <c r="H1552">
        <v>0</v>
      </c>
      <c r="I1552">
        <v>0.23104262805493303</v>
      </c>
      <c r="J1552">
        <f t="shared" si="48"/>
        <v>0</v>
      </c>
      <c r="K1552">
        <f t="shared" si="49"/>
        <v>0</v>
      </c>
    </row>
    <row r="1553" spans="1:11" x14ac:dyDescent="0.25">
      <c r="A1553" t="s">
        <v>14</v>
      </c>
      <c r="B1553" t="s">
        <v>1490</v>
      </c>
      <c r="C1553" t="s">
        <v>1332</v>
      </c>
      <c r="D1553" t="s">
        <v>1332</v>
      </c>
      <c r="E1553" t="s">
        <v>1270</v>
      </c>
      <c r="F1553" s="2">
        <v>63003</v>
      </c>
      <c r="G1553">
        <v>0</v>
      </c>
      <c r="H1553">
        <v>0</v>
      </c>
      <c r="I1553">
        <v>0.23104262805493303</v>
      </c>
      <c r="J1553">
        <f t="shared" si="48"/>
        <v>0</v>
      </c>
      <c r="K1553">
        <f t="shared" si="49"/>
        <v>0</v>
      </c>
    </row>
    <row r="1554" spans="1:11" x14ac:dyDescent="0.25">
      <c r="A1554" t="s">
        <v>14</v>
      </c>
      <c r="B1554" t="s">
        <v>1564</v>
      </c>
      <c r="C1554" t="s">
        <v>1332</v>
      </c>
      <c r="D1554" t="s">
        <v>1332</v>
      </c>
      <c r="E1554" t="s">
        <v>1270</v>
      </c>
      <c r="F1554" s="3">
        <v>63257</v>
      </c>
      <c r="G1554">
        <v>16</v>
      </c>
      <c r="H1554">
        <v>0</v>
      </c>
      <c r="I1554">
        <v>0.23108582519906165</v>
      </c>
      <c r="J1554">
        <f t="shared" si="48"/>
        <v>0</v>
      </c>
      <c r="K1554">
        <f t="shared" si="49"/>
        <v>0</v>
      </c>
    </row>
    <row r="1555" spans="1:11" x14ac:dyDescent="0.25">
      <c r="A1555" t="s">
        <v>14</v>
      </c>
      <c r="B1555" t="s">
        <v>1565</v>
      </c>
      <c r="C1555" t="s">
        <v>1332</v>
      </c>
      <c r="D1555" t="s">
        <v>1332</v>
      </c>
      <c r="E1555" t="s">
        <v>1270</v>
      </c>
      <c r="F1555" s="2">
        <v>63379</v>
      </c>
      <c r="G1555">
        <v>27</v>
      </c>
      <c r="H1555">
        <v>0</v>
      </c>
      <c r="I1555">
        <v>0.2311155232356501</v>
      </c>
      <c r="J1555">
        <f t="shared" si="48"/>
        <v>0</v>
      </c>
      <c r="K1555">
        <f t="shared" si="49"/>
        <v>0</v>
      </c>
    </row>
    <row r="1556" spans="1:11" x14ac:dyDescent="0.25">
      <c r="A1556" t="s">
        <v>14</v>
      </c>
      <c r="B1556" t="s">
        <v>1566</v>
      </c>
      <c r="C1556" t="s">
        <v>1332</v>
      </c>
      <c r="D1556" t="s">
        <v>1332</v>
      </c>
      <c r="E1556" t="s">
        <v>1270</v>
      </c>
      <c r="F1556" s="3">
        <v>63281</v>
      </c>
      <c r="G1556">
        <v>232</v>
      </c>
      <c r="H1556">
        <v>8</v>
      </c>
      <c r="I1556">
        <v>0.23166898664479818</v>
      </c>
      <c r="J1556">
        <f t="shared" si="48"/>
        <v>3.4482758620689655E-2</v>
      </c>
      <c r="K1556">
        <f t="shared" si="49"/>
        <v>7.9885857463723505E-3</v>
      </c>
    </row>
    <row r="1557" spans="1:11" x14ac:dyDescent="0.25">
      <c r="A1557" t="s">
        <v>14</v>
      </c>
      <c r="B1557" t="s">
        <v>1567</v>
      </c>
      <c r="C1557" t="s">
        <v>1332</v>
      </c>
      <c r="D1557" t="s">
        <v>1332</v>
      </c>
      <c r="E1557" t="s">
        <v>1270</v>
      </c>
      <c r="F1557" s="2">
        <v>63164</v>
      </c>
      <c r="G1557">
        <v>4</v>
      </c>
      <c r="H1557">
        <v>0</v>
      </c>
      <c r="I1557">
        <v>0.23105342734096518</v>
      </c>
      <c r="J1557">
        <f t="shared" si="48"/>
        <v>0</v>
      </c>
      <c r="K1557">
        <f t="shared" si="49"/>
        <v>0</v>
      </c>
    </row>
    <row r="1558" spans="1:11" x14ac:dyDescent="0.25">
      <c r="A1558" t="s">
        <v>14</v>
      </c>
      <c r="B1558" t="s">
        <v>1568</v>
      </c>
      <c r="C1558" t="s">
        <v>1332</v>
      </c>
      <c r="D1558" t="s">
        <v>1332</v>
      </c>
      <c r="E1558" t="s">
        <v>1270</v>
      </c>
      <c r="F1558" s="3">
        <v>63371</v>
      </c>
      <c r="G1558">
        <v>16</v>
      </c>
      <c r="H1558">
        <v>0</v>
      </c>
      <c r="I1558">
        <v>0.23108582519906165</v>
      </c>
      <c r="J1558">
        <f t="shared" si="48"/>
        <v>0</v>
      </c>
      <c r="K1558">
        <f t="shared" si="49"/>
        <v>0</v>
      </c>
    </row>
    <row r="1559" spans="1:11" x14ac:dyDescent="0.25">
      <c r="A1559" t="s">
        <v>14</v>
      </c>
      <c r="B1559" t="s">
        <v>1569</v>
      </c>
      <c r="C1559" t="s">
        <v>1332</v>
      </c>
      <c r="D1559" t="s">
        <v>1332</v>
      </c>
      <c r="E1559" t="s">
        <v>1270</v>
      </c>
      <c r="F1559" s="2">
        <v>63323</v>
      </c>
      <c r="G1559">
        <v>1</v>
      </c>
      <c r="H1559">
        <v>0</v>
      </c>
      <c r="I1559">
        <v>0.23104532787644108</v>
      </c>
      <c r="J1559">
        <f t="shared" si="48"/>
        <v>0</v>
      </c>
      <c r="K1559">
        <f t="shared" si="49"/>
        <v>0</v>
      </c>
    </row>
    <row r="1560" spans="1:11" x14ac:dyDescent="0.25">
      <c r="A1560" t="s">
        <v>14</v>
      </c>
      <c r="B1560" t="s">
        <v>1570</v>
      </c>
      <c r="C1560" t="s">
        <v>1332</v>
      </c>
      <c r="D1560" t="s">
        <v>1332</v>
      </c>
      <c r="E1560" t="s">
        <v>1270</v>
      </c>
      <c r="F1560" s="3">
        <v>63367</v>
      </c>
      <c r="G1560">
        <v>0</v>
      </c>
      <c r="H1560">
        <v>0</v>
      </c>
      <c r="I1560">
        <v>0.23104262805493303</v>
      </c>
      <c r="J1560">
        <f t="shared" si="48"/>
        <v>0</v>
      </c>
      <c r="K1560">
        <f t="shared" si="49"/>
        <v>0</v>
      </c>
    </row>
    <row r="1561" spans="1:11" x14ac:dyDescent="0.25">
      <c r="A1561" t="s">
        <v>14</v>
      </c>
      <c r="B1561" t="s">
        <v>1571</v>
      </c>
      <c r="C1561" t="s">
        <v>1332</v>
      </c>
      <c r="D1561" t="s">
        <v>1332</v>
      </c>
      <c r="E1561" t="s">
        <v>1270</v>
      </c>
      <c r="F1561" s="2">
        <v>63194</v>
      </c>
      <c r="G1561">
        <v>10</v>
      </c>
      <c r="H1561">
        <v>23</v>
      </c>
      <c r="I1561">
        <v>0.23106962627001343</v>
      </c>
      <c r="J1561">
        <f t="shared" si="48"/>
        <v>2.2999999999999998</v>
      </c>
      <c r="K1561">
        <f t="shared" si="49"/>
        <v>0.53146014042103085</v>
      </c>
    </row>
    <row r="1562" spans="1:11" x14ac:dyDescent="0.25">
      <c r="A1562" t="s">
        <v>14</v>
      </c>
      <c r="B1562" t="s">
        <v>1572</v>
      </c>
      <c r="C1562" t="s">
        <v>1332</v>
      </c>
      <c r="D1562" t="s">
        <v>1332</v>
      </c>
      <c r="E1562" t="s">
        <v>1270</v>
      </c>
      <c r="F1562" s="3">
        <v>63348</v>
      </c>
      <c r="G1562">
        <v>0</v>
      </c>
      <c r="H1562">
        <v>0</v>
      </c>
      <c r="I1562">
        <v>0.23104262805493303</v>
      </c>
      <c r="J1562">
        <f t="shared" si="48"/>
        <v>0</v>
      </c>
      <c r="K1562">
        <f t="shared" si="49"/>
        <v>0</v>
      </c>
    </row>
    <row r="1563" spans="1:11" x14ac:dyDescent="0.25">
      <c r="A1563" t="s">
        <v>14</v>
      </c>
      <c r="B1563" t="s">
        <v>1573</v>
      </c>
      <c r="C1563" t="s">
        <v>1332</v>
      </c>
      <c r="D1563" t="s">
        <v>1332</v>
      </c>
      <c r="E1563" t="s">
        <v>1270</v>
      </c>
      <c r="F1563" s="2">
        <v>63339</v>
      </c>
      <c r="G1563">
        <v>0</v>
      </c>
      <c r="H1563">
        <v>0</v>
      </c>
      <c r="I1563">
        <v>0.23104262805493303</v>
      </c>
      <c r="J1563">
        <f t="shared" si="48"/>
        <v>0</v>
      </c>
      <c r="K1563">
        <f t="shared" si="49"/>
        <v>0</v>
      </c>
    </row>
    <row r="1564" spans="1:11" x14ac:dyDescent="0.25">
      <c r="A1564" t="s">
        <v>14</v>
      </c>
      <c r="B1564" t="s">
        <v>1574</v>
      </c>
      <c r="C1564" t="s">
        <v>1332</v>
      </c>
      <c r="D1564" t="s">
        <v>1332</v>
      </c>
      <c r="E1564" t="s">
        <v>1270</v>
      </c>
      <c r="F1564" s="3">
        <v>63383</v>
      </c>
      <c r="G1564">
        <v>0</v>
      </c>
      <c r="H1564">
        <v>0</v>
      </c>
      <c r="I1564">
        <v>0.23104262805493303</v>
      </c>
      <c r="J1564">
        <f t="shared" si="48"/>
        <v>0</v>
      </c>
      <c r="K1564">
        <f t="shared" si="49"/>
        <v>0</v>
      </c>
    </row>
    <row r="1565" spans="1:11" x14ac:dyDescent="0.25">
      <c r="A1565" t="s">
        <v>14</v>
      </c>
      <c r="B1565" t="s">
        <v>1575</v>
      </c>
      <c r="C1565" t="s">
        <v>1332</v>
      </c>
      <c r="D1565" t="s">
        <v>1332</v>
      </c>
      <c r="E1565" t="s">
        <v>1270</v>
      </c>
      <c r="F1565" s="2">
        <v>63343</v>
      </c>
      <c r="G1565">
        <v>0</v>
      </c>
      <c r="H1565">
        <v>0</v>
      </c>
      <c r="I1565">
        <v>0.23104262805493303</v>
      </c>
      <c r="J1565">
        <f t="shared" si="48"/>
        <v>0</v>
      </c>
      <c r="K1565">
        <f t="shared" si="49"/>
        <v>0</v>
      </c>
    </row>
    <row r="1566" spans="1:11" x14ac:dyDescent="0.25">
      <c r="A1566" t="s">
        <v>14</v>
      </c>
      <c r="B1566" t="s">
        <v>1576</v>
      </c>
      <c r="C1566" t="s">
        <v>1332</v>
      </c>
      <c r="D1566" t="s">
        <v>1332</v>
      </c>
      <c r="E1566" t="s">
        <v>1270</v>
      </c>
      <c r="F1566" s="3">
        <v>63363</v>
      </c>
      <c r="G1566">
        <v>1</v>
      </c>
      <c r="H1566">
        <v>0</v>
      </c>
      <c r="I1566">
        <v>0.23104532787644108</v>
      </c>
      <c r="J1566">
        <f t="shared" si="48"/>
        <v>0</v>
      </c>
      <c r="K1566">
        <f t="shared" si="49"/>
        <v>0</v>
      </c>
    </row>
    <row r="1567" spans="1:11" x14ac:dyDescent="0.25">
      <c r="A1567" t="s">
        <v>14</v>
      </c>
      <c r="B1567" t="s">
        <v>1577</v>
      </c>
      <c r="C1567" t="s">
        <v>1332</v>
      </c>
      <c r="D1567" t="s">
        <v>1332</v>
      </c>
      <c r="E1567" t="s">
        <v>1270</v>
      </c>
      <c r="F1567" s="2">
        <v>63117</v>
      </c>
      <c r="G1567">
        <v>4</v>
      </c>
      <c r="H1567">
        <v>0</v>
      </c>
      <c r="I1567">
        <v>0.23105342734096518</v>
      </c>
      <c r="J1567">
        <f t="shared" si="48"/>
        <v>0</v>
      </c>
      <c r="K1567">
        <f t="shared" si="49"/>
        <v>0</v>
      </c>
    </row>
    <row r="1568" spans="1:11" x14ac:dyDescent="0.25">
      <c r="A1568" t="s">
        <v>14</v>
      </c>
      <c r="B1568" t="s">
        <v>1578</v>
      </c>
      <c r="C1568" t="s">
        <v>1332</v>
      </c>
      <c r="D1568" t="s">
        <v>1332</v>
      </c>
      <c r="E1568" t="s">
        <v>1270</v>
      </c>
      <c r="F1568" s="3">
        <v>63154</v>
      </c>
      <c r="G1568">
        <v>4</v>
      </c>
      <c r="H1568">
        <v>0</v>
      </c>
      <c r="I1568">
        <v>0.23105342734096518</v>
      </c>
      <c r="J1568">
        <f t="shared" si="48"/>
        <v>0</v>
      </c>
      <c r="K1568">
        <f t="shared" si="49"/>
        <v>0</v>
      </c>
    </row>
    <row r="1569" spans="1:11" x14ac:dyDescent="0.25">
      <c r="A1569" t="s">
        <v>14</v>
      </c>
      <c r="B1569" t="s">
        <v>1490</v>
      </c>
      <c r="C1569" t="s">
        <v>1307</v>
      </c>
      <c r="D1569" t="s">
        <v>1307</v>
      </c>
      <c r="E1569" t="s">
        <v>916</v>
      </c>
      <c r="F1569" s="2">
        <v>25001</v>
      </c>
      <c r="G1569">
        <v>0</v>
      </c>
      <c r="H1569">
        <v>0</v>
      </c>
      <c r="I1569">
        <v>0.23104262805493303</v>
      </c>
      <c r="J1569">
        <f t="shared" si="48"/>
        <v>0</v>
      </c>
      <c r="K1569">
        <f t="shared" si="49"/>
        <v>0</v>
      </c>
    </row>
    <row r="1570" spans="1:11" x14ac:dyDescent="0.25">
      <c r="A1570" t="s">
        <v>14</v>
      </c>
      <c r="B1570" t="s">
        <v>1490</v>
      </c>
      <c r="C1570" t="s">
        <v>1307</v>
      </c>
      <c r="D1570" t="s">
        <v>1307</v>
      </c>
      <c r="E1570" t="s">
        <v>916</v>
      </c>
      <c r="F1570" s="3">
        <v>25002</v>
      </c>
      <c r="G1570">
        <v>0</v>
      </c>
      <c r="H1570">
        <v>0</v>
      </c>
      <c r="I1570">
        <v>0.23104262805493303</v>
      </c>
      <c r="J1570">
        <f t="shared" si="48"/>
        <v>0</v>
      </c>
      <c r="K1570">
        <f t="shared" si="49"/>
        <v>0</v>
      </c>
    </row>
    <row r="1571" spans="1:11" x14ac:dyDescent="0.25">
      <c r="A1571" t="s">
        <v>14</v>
      </c>
      <c r="B1571" t="s">
        <v>1490</v>
      </c>
      <c r="C1571" t="s">
        <v>1307</v>
      </c>
      <c r="D1571" t="s">
        <v>1307</v>
      </c>
      <c r="E1571" t="s">
        <v>916</v>
      </c>
      <c r="F1571" s="2">
        <v>25003</v>
      </c>
      <c r="G1571">
        <v>0</v>
      </c>
      <c r="H1571">
        <v>0</v>
      </c>
      <c r="I1571">
        <v>0.23104262805493303</v>
      </c>
      <c r="J1571">
        <f t="shared" si="48"/>
        <v>0</v>
      </c>
      <c r="K1571">
        <f t="shared" si="49"/>
        <v>0</v>
      </c>
    </row>
    <row r="1572" spans="1:11" x14ac:dyDescent="0.25">
      <c r="A1572" t="s">
        <v>14</v>
      </c>
      <c r="B1572" t="s">
        <v>1490</v>
      </c>
      <c r="C1572" t="s">
        <v>1307</v>
      </c>
      <c r="D1572" t="s">
        <v>1307</v>
      </c>
      <c r="E1572" t="s">
        <v>916</v>
      </c>
      <c r="F1572" s="3">
        <v>26008</v>
      </c>
      <c r="G1572">
        <v>0</v>
      </c>
      <c r="H1572">
        <v>0</v>
      </c>
      <c r="I1572">
        <v>0.23104262805493303</v>
      </c>
      <c r="J1572">
        <f t="shared" si="48"/>
        <v>0</v>
      </c>
      <c r="K1572">
        <f t="shared" si="49"/>
        <v>0</v>
      </c>
    </row>
    <row r="1573" spans="1:11" x14ac:dyDescent="0.25">
      <c r="A1573" t="s">
        <v>14</v>
      </c>
      <c r="B1573" t="s">
        <v>1579</v>
      </c>
      <c r="C1573" t="s">
        <v>1307</v>
      </c>
      <c r="D1573" t="s">
        <v>1307</v>
      </c>
      <c r="E1573" t="s">
        <v>916</v>
      </c>
      <c r="F1573" s="2">
        <v>25335</v>
      </c>
      <c r="G1573">
        <v>0</v>
      </c>
      <c r="H1573">
        <v>0</v>
      </c>
      <c r="I1573">
        <v>0.23104262805493303</v>
      </c>
      <c r="J1573">
        <f t="shared" si="48"/>
        <v>0</v>
      </c>
      <c r="K1573">
        <f t="shared" si="49"/>
        <v>0</v>
      </c>
    </row>
    <row r="1574" spans="1:11" x14ac:dyDescent="0.25">
      <c r="A1574" t="s">
        <v>14</v>
      </c>
      <c r="B1574" t="s">
        <v>1580</v>
      </c>
      <c r="C1574" t="s">
        <v>1307</v>
      </c>
      <c r="D1574" t="s">
        <v>1307</v>
      </c>
      <c r="E1574" t="s">
        <v>916</v>
      </c>
      <c r="F1574" s="3">
        <v>25359</v>
      </c>
      <c r="G1574">
        <v>50</v>
      </c>
      <c r="H1574">
        <v>0</v>
      </c>
      <c r="I1574">
        <v>0.23117761913033499</v>
      </c>
      <c r="J1574">
        <f t="shared" si="48"/>
        <v>0</v>
      </c>
      <c r="K1574">
        <f t="shared" si="49"/>
        <v>0</v>
      </c>
    </row>
    <row r="1575" spans="1:11" x14ac:dyDescent="0.25">
      <c r="A1575" t="s">
        <v>14</v>
      </c>
      <c r="B1575" t="s">
        <v>1581</v>
      </c>
      <c r="C1575" t="s">
        <v>1307</v>
      </c>
      <c r="D1575" t="s">
        <v>1307</v>
      </c>
      <c r="E1575" t="s">
        <v>916</v>
      </c>
      <c r="F1575" s="2">
        <v>25447</v>
      </c>
      <c r="G1575">
        <v>25</v>
      </c>
      <c r="H1575">
        <v>0</v>
      </c>
      <c r="I1575">
        <v>0.23111012359263403</v>
      </c>
      <c r="J1575">
        <f t="shared" si="48"/>
        <v>0</v>
      </c>
      <c r="K1575">
        <f t="shared" si="49"/>
        <v>0</v>
      </c>
    </row>
    <row r="1576" spans="1:11" x14ac:dyDescent="0.25">
      <c r="A1576" t="s">
        <v>14</v>
      </c>
      <c r="B1576" t="s">
        <v>1582</v>
      </c>
      <c r="C1576" t="s">
        <v>1307</v>
      </c>
      <c r="D1576" t="s">
        <v>1307</v>
      </c>
      <c r="E1576" t="s">
        <v>916</v>
      </c>
      <c r="F1576" s="3">
        <v>25419</v>
      </c>
      <c r="G1576">
        <v>198</v>
      </c>
      <c r="H1576">
        <v>0</v>
      </c>
      <c r="I1576">
        <v>0.23157719271352484</v>
      </c>
      <c r="J1576">
        <f t="shared" si="48"/>
        <v>0</v>
      </c>
      <c r="K1576">
        <f t="shared" si="49"/>
        <v>0</v>
      </c>
    </row>
    <row r="1577" spans="1:11" x14ac:dyDescent="0.25">
      <c r="A1577" t="s">
        <v>14</v>
      </c>
      <c r="B1577" t="s">
        <v>1583</v>
      </c>
      <c r="C1577" t="s">
        <v>1307</v>
      </c>
      <c r="D1577" t="s">
        <v>1307</v>
      </c>
      <c r="E1577" t="s">
        <v>916</v>
      </c>
      <c r="F1577" s="2">
        <v>25488</v>
      </c>
      <c r="G1577">
        <v>0</v>
      </c>
      <c r="H1577">
        <v>0</v>
      </c>
      <c r="I1577">
        <v>0.23104262805493303</v>
      </c>
      <c r="J1577">
        <f t="shared" si="48"/>
        <v>0</v>
      </c>
      <c r="K1577">
        <f t="shared" si="49"/>
        <v>0</v>
      </c>
    </row>
    <row r="1578" spans="1:11" x14ac:dyDescent="0.25">
      <c r="A1578" t="s">
        <v>14</v>
      </c>
      <c r="B1578" t="s">
        <v>1584</v>
      </c>
      <c r="C1578" t="s">
        <v>1307</v>
      </c>
      <c r="D1578" t="s">
        <v>1307</v>
      </c>
      <c r="E1578" t="s">
        <v>916</v>
      </c>
      <c r="F1578" s="3">
        <v>25467</v>
      </c>
      <c r="G1578">
        <v>2</v>
      </c>
      <c r="H1578">
        <v>0</v>
      </c>
      <c r="I1578">
        <v>0.2310480276979491</v>
      </c>
      <c r="J1578">
        <f t="shared" si="48"/>
        <v>0</v>
      </c>
      <c r="K1578">
        <f t="shared" si="49"/>
        <v>0</v>
      </c>
    </row>
    <row r="1579" spans="1:11" x14ac:dyDescent="0.25">
      <c r="A1579" t="s">
        <v>14</v>
      </c>
      <c r="B1579" t="s">
        <v>1585</v>
      </c>
      <c r="C1579" t="s">
        <v>1307</v>
      </c>
      <c r="D1579" t="s">
        <v>1307</v>
      </c>
      <c r="E1579" t="s">
        <v>916</v>
      </c>
      <c r="F1579" s="2">
        <v>25141</v>
      </c>
      <c r="G1579">
        <v>2174</v>
      </c>
      <c r="H1579">
        <v>540</v>
      </c>
      <c r="I1579">
        <v>0.2369120400134109</v>
      </c>
      <c r="J1579">
        <f t="shared" si="48"/>
        <v>0.24839006439742412</v>
      </c>
      <c r="K1579">
        <f t="shared" si="49"/>
        <v>5.884659687545625E-2</v>
      </c>
    </row>
    <row r="1580" spans="1:11" x14ac:dyDescent="0.25">
      <c r="A1580" t="s">
        <v>14</v>
      </c>
      <c r="B1580" t="s">
        <v>1490</v>
      </c>
      <c r="C1580" t="s">
        <v>1278</v>
      </c>
      <c r="D1580" t="s">
        <v>1278</v>
      </c>
      <c r="E1580" t="s">
        <v>937</v>
      </c>
      <c r="F1580" s="3" t="s">
        <v>1586</v>
      </c>
      <c r="G1580">
        <v>0</v>
      </c>
      <c r="H1580">
        <v>0</v>
      </c>
      <c r="I1580">
        <v>0.23104262805493303</v>
      </c>
      <c r="J1580">
        <f t="shared" si="48"/>
        <v>0</v>
      </c>
      <c r="K1580">
        <f t="shared" si="49"/>
        <v>0</v>
      </c>
    </row>
    <row r="1581" spans="1:11" x14ac:dyDescent="0.25">
      <c r="A1581" t="s">
        <v>14</v>
      </c>
      <c r="B1581" t="s">
        <v>1587</v>
      </c>
      <c r="C1581" t="s">
        <v>1278</v>
      </c>
      <c r="D1581" t="s">
        <v>1278</v>
      </c>
      <c r="E1581" t="s">
        <v>937</v>
      </c>
      <c r="F1581" s="2">
        <v>73183</v>
      </c>
      <c r="G1581">
        <v>33</v>
      </c>
      <c r="H1581">
        <v>0</v>
      </c>
      <c r="I1581">
        <v>0.23113172216469832</v>
      </c>
      <c r="J1581">
        <f t="shared" si="48"/>
        <v>0</v>
      </c>
      <c r="K1581">
        <f t="shared" si="49"/>
        <v>0</v>
      </c>
    </row>
    <row r="1582" spans="1:11" x14ac:dyDescent="0.25">
      <c r="A1582" t="s">
        <v>14</v>
      </c>
      <c r="B1582" t="s">
        <v>1588</v>
      </c>
      <c r="C1582" t="s">
        <v>1278</v>
      </c>
      <c r="D1582" t="s">
        <v>1278</v>
      </c>
      <c r="E1582" t="s">
        <v>937</v>
      </c>
      <c r="F1582" s="3">
        <v>73143</v>
      </c>
      <c r="G1582">
        <v>0</v>
      </c>
      <c r="H1582">
        <v>0</v>
      </c>
      <c r="I1582">
        <v>0.23104262805493303</v>
      </c>
      <c r="J1582">
        <f t="shared" si="48"/>
        <v>0</v>
      </c>
      <c r="K1582">
        <f t="shared" si="49"/>
        <v>0</v>
      </c>
    </row>
    <row r="1583" spans="1:11" x14ac:dyDescent="0.25">
      <c r="A1583" t="s">
        <v>14</v>
      </c>
      <c r="B1583" t="s">
        <v>1490</v>
      </c>
      <c r="C1583" t="s">
        <v>1291</v>
      </c>
      <c r="D1583" t="s">
        <v>1291</v>
      </c>
      <c r="E1583" t="s">
        <v>1260</v>
      </c>
      <c r="F1583" s="2">
        <v>55001</v>
      </c>
      <c r="G1583">
        <v>0</v>
      </c>
      <c r="H1583">
        <v>0</v>
      </c>
      <c r="I1583">
        <v>0.23104262805493303</v>
      </c>
      <c r="J1583">
        <f t="shared" si="48"/>
        <v>0</v>
      </c>
      <c r="K1583">
        <f t="shared" si="49"/>
        <v>0</v>
      </c>
    </row>
    <row r="1584" spans="1:11" x14ac:dyDescent="0.25">
      <c r="A1584" t="s">
        <v>14</v>
      </c>
      <c r="B1584" t="s">
        <v>1490</v>
      </c>
      <c r="C1584" t="s">
        <v>1291</v>
      </c>
      <c r="D1584" t="s">
        <v>1291</v>
      </c>
      <c r="E1584" t="s">
        <v>1260</v>
      </c>
      <c r="F1584" s="3">
        <v>55002</v>
      </c>
      <c r="G1584">
        <v>0</v>
      </c>
      <c r="H1584">
        <v>0</v>
      </c>
      <c r="I1584">
        <v>0.23104262805493303</v>
      </c>
      <c r="J1584">
        <f t="shared" si="48"/>
        <v>0</v>
      </c>
      <c r="K1584">
        <f t="shared" si="49"/>
        <v>0</v>
      </c>
    </row>
    <row r="1585" spans="1:11" x14ac:dyDescent="0.25">
      <c r="A1585" t="s">
        <v>14</v>
      </c>
      <c r="B1585" t="s">
        <v>1490</v>
      </c>
      <c r="C1585" t="s">
        <v>1291</v>
      </c>
      <c r="D1585" t="s">
        <v>1291</v>
      </c>
      <c r="E1585" t="s">
        <v>1260</v>
      </c>
      <c r="F1585" s="2">
        <v>55003</v>
      </c>
      <c r="G1585">
        <v>0</v>
      </c>
      <c r="H1585">
        <v>0</v>
      </c>
      <c r="I1585">
        <v>0.23104262805493303</v>
      </c>
      <c r="J1585">
        <f t="shared" si="48"/>
        <v>0</v>
      </c>
      <c r="K1585">
        <f t="shared" si="49"/>
        <v>0</v>
      </c>
    </row>
    <row r="1586" spans="1:11" x14ac:dyDescent="0.25">
      <c r="A1586" t="s">
        <v>14</v>
      </c>
      <c r="B1586" t="s">
        <v>1490</v>
      </c>
      <c r="C1586" t="s">
        <v>1291</v>
      </c>
      <c r="D1586" t="s">
        <v>1291</v>
      </c>
      <c r="E1586" t="s">
        <v>1260</v>
      </c>
      <c r="F1586" s="3">
        <v>55004</v>
      </c>
      <c r="G1586">
        <v>0</v>
      </c>
      <c r="H1586">
        <v>0</v>
      </c>
      <c r="I1586">
        <v>0.23104262805493303</v>
      </c>
      <c r="J1586">
        <f t="shared" si="48"/>
        <v>0</v>
      </c>
      <c r="K1586">
        <f t="shared" si="49"/>
        <v>0</v>
      </c>
    </row>
    <row r="1587" spans="1:11" x14ac:dyDescent="0.25">
      <c r="A1587" t="s">
        <v>14</v>
      </c>
      <c r="B1587" t="s">
        <v>1490</v>
      </c>
      <c r="C1587" t="s">
        <v>1291</v>
      </c>
      <c r="D1587" t="s">
        <v>1291</v>
      </c>
      <c r="E1587" t="s">
        <v>1260</v>
      </c>
      <c r="F1587" s="2">
        <v>55005</v>
      </c>
      <c r="G1587">
        <v>0</v>
      </c>
      <c r="H1587">
        <v>0</v>
      </c>
      <c r="I1587">
        <v>0.23104262805493303</v>
      </c>
      <c r="J1587">
        <f t="shared" si="48"/>
        <v>0</v>
      </c>
      <c r="K1587">
        <f t="shared" si="49"/>
        <v>0</v>
      </c>
    </row>
    <row r="1588" spans="1:11" x14ac:dyDescent="0.25">
      <c r="A1588" t="s">
        <v>14</v>
      </c>
      <c r="B1588" t="s">
        <v>1490</v>
      </c>
      <c r="C1588" t="s">
        <v>1291</v>
      </c>
      <c r="D1588" t="s">
        <v>1291</v>
      </c>
      <c r="E1588" t="s">
        <v>1260</v>
      </c>
      <c r="F1588" s="3">
        <v>55006</v>
      </c>
      <c r="G1588">
        <v>0</v>
      </c>
      <c r="H1588">
        <v>0</v>
      </c>
      <c r="I1588">
        <v>0.23104262805493303</v>
      </c>
      <c r="J1588">
        <f t="shared" si="48"/>
        <v>0</v>
      </c>
      <c r="K1588">
        <f t="shared" si="49"/>
        <v>0</v>
      </c>
    </row>
    <row r="1589" spans="1:11" x14ac:dyDescent="0.25">
      <c r="A1589" t="s">
        <v>14</v>
      </c>
      <c r="B1589" t="s">
        <v>1490</v>
      </c>
      <c r="C1589" t="s">
        <v>1291</v>
      </c>
      <c r="D1589" t="s">
        <v>1291</v>
      </c>
      <c r="E1589" t="s">
        <v>1260</v>
      </c>
      <c r="F1589" s="2">
        <v>55007</v>
      </c>
      <c r="G1589">
        <v>0</v>
      </c>
      <c r="H1589">
        <v>0</v>
      </c>
      <c r="I1589">
        <v>0.23104262805493303</v>
      </c>
      <c r="J1589">
        <f t="shared" si="48"/>
        <v>0</v>
      </c>
      <c r="K1589">
        <f t="shared" si="49"/>
        <v>0</v>
      </c>
    </row>
    <row r="1590" spans="1:11" x14ac:dyDescent="0.25">
      <c r="A1590" t="s">
        <v>14</v>
      </c>
      <c r="B1590" t="s">
        <v>1490</v>
      </c>
      <c r="C1590" t="s">
        <v>1291</v>
      </c>
      <c r="D1590" t="s">
        <v>1291</v>
      </c>
      <c r="E1590" t="s">
        <v>1260</v>
      </c>
      <c r="F1590" s="3">
        <v>55008</v>
      </c>
      <c r="G1590">
        <v>0</v>
      </c>
      <c r="H1590">
        <v>0</v>
      </c>
      <c r="I1590">
        <v>0.23104262805493303</v>
      </c>
      <c r="J1590">
        <f t="shared" si="48"/>
        <v>0</v>
      </c>
      <c r="K1590">
        <f t="shared" si="49"/>
        <v>0</v>
      </c>
    </row>
    <row r="1591" spans="1:11" x14ac:dyDescent="0.25">
      <c r="A1591" t="s">
        <v>14</v>
      </c>
      <c r="B1591" t="s">
        <v>1490</v>
      </c>
      <c r="C1591" t="s">
        <v>1291</v>
      </c>
      <c r="D1591" t="s">
        <v>1291</v>
      </c>
      <c r="E1591" t="s">
        <v>1260</v>
      </c>
      <c r="F1591" s="2">
        <v>55009</v>
      </c>
      <c r="G1591">
        <v>0</v>
      </c>
      <c r="H1591">
        <v>0</v>
      </c>
      <c r="I1591">
        <v>0.23104262805493303</v>
      </c>
      <c r="J1591">
        <f t="shared" si="48"/>
        <v>0</v>
      </c>
      <c r="K1591">
        <f t="shared" si="49"/>
        <v>0</v>
      </c>
    </row>
    <row r="1592" spans="1:11" x14ac:dyDescent="0.25">
      <c r="A1592" t="s">
        <v>14</v>
      </c>
      <c r="B1592" t="s">
        <v>1490</v>
      </c>
      <c r="C1592" t="s">
        <v>1291</v>
      </c>
      <c r="D1592" t="s">
        <v>1291</v>
      </c>
      <c r="E1592" t="s">
        <v>1260</v>
      </c>
      <c r="F1592" s="3">
        <v>55010</v>
      </c>
      <c r="G1592">
        <v>0</v>
      </c>
      <c r="H1592">
        <v>0</v>
      </c>
      <c r="I1592">
        <v>0.23104262805493303</v>
      </c>
      <c r="J1592">
        <f t="shared" si="48"/>
        <v>0</v>
      </c>
      <c r="K1592">
        <f t="shared" si="49"/>
        <v>0</v>
      </c>
    </row>
    <row r="1593" spans="1:11" x14ac:dyDescent="0.25">
      <c r="A1593" t="s">
        <v>14</v>
      </c>
      <c r="B1593" t="s">
        <v>1490</v>
      </c>
      <c r="C1593" t="s">
        <v>1291</v>
      </c>
      <c r="D1593" t="s">
        <v>1291</v>
      </c>
      <c r="E1593" t="s">
        <v>1260</v>
      </c>
      <c r="F1593" s="2" t="s">
        <v>1589</v>
      </c>
      <c r="G1593">
        <v>0</v>
      </c>
      <c r="H1593">
        <v>0</v>
      </c>
      <c r="I1593">
        <v>0.23104262805493303</v>
      </c>
      <c r="J1593">
        <f t="shared" si="48"/>
        <v>0</v>
      </c>
      <c r="K1593">
        <f t="shared" si="49"/>
        <v>0</v>
      </c>
    </row>
    <row r="1594" spans="1:11" x14ac:dyDescent="0.25">
      <c r="A1594" t="s">
        <v>14</v>
      </c>
      <c r="B1594" t="s">
        <v>1490</v>
      </c>
      <c r="C1594" t="s">
        <v>1291</v>
      </c>
      <c r="D1594" t="s">
        <v>1291</v>
      </c>
      <c r="E1594" t="s">
        <v>1260</v>
      </c>
      <c r="F1594" s="3" t="s">
        <v>1590</v>
      </c>
      <c r="G1594">
        <v>0</v>
      </c>
      <c r="H1594">
        <v>0</v>
      </c>
      <c r="I1594">
        <v>0.23104262805493303</v>
      </c>
      <c r="J1594">
        <f t="shared" si="48"/>
        <v>0</v>
      </c>
      <c r="K1594">
        <f t="shared" si="49"/>
        <v>0</v>
      </c>
    </row>
    <row r="1595" spans="1:11" x14ac:dyDescent="0.25">
      <c r="A1595" t="s">
        <v>14</v>
      </c>
      <c r="B1595" t="s">
        <v>1490</v>
      </c>
      <c r="C1595" t="s">
        <v>1291</v>
      </c>
      <c r="D1595" t="s">
        <v>1291</v>
      </c>
      <c r="E1595" t="s">
        <v>1260</v>
      </c>
      <c r="F1595" s="2" t="s">
        <v>1591</v>
      </c>
      <c r="G1595">
        <v>0</v>
      </c>
      <c r="H1595">
        <v>0</v>
      </c>
      <c r="I1595">
        <v>0.23104262805493303</v>
      </c>
      <c r="J1595">
        <f t="shared" si="48"/>
        <v>0</v>
      </c>
      <c r="K1595">
        <f t="shared" si="49"/>
        <v>0</v>
      </c>
    </row>
    <row r="1596" spans="1:11" x14ac:dyDescent="0.25">
      <c r="A1596" t="s">
        <v>14</v>
      </c>
      <c r="B1596" t="s">
        <v>1592</v>
      </c>
      <c r="C1596" t="s">
        <v>1291</v>
      </c>
      <c r="D1596" t="s">
        <v>1291</v>
      </c>
      <c r="E1596" t="s">
        <v>1260</v>
      </c>
      <c r="F1596" s="3">
        <v>55199</v>
      </c>
      <c r="G1596">
        <v>34</v>
      </c>
      <c r="H1596">
        <v>90</v>
      </c>
      <c r="I1596">
        <v>0.23113442198620637</v>
      </c>
      <c r="J1596">
        <f t="shared" si="48"/>
        <v>2.6470588235294117</v>
      </c>
      <c r="K1596">
        <f t="shared" si="49"/>
        <v>0.61182641113995806</v>
      </c>
    </row>
    <row r="1597" spans="1:11" x14ac:dyDescent="0.25">
      <c r="A1597" t="s">
        <v>14</v>
      </c>
      <c r="B1597" t="s">
        <v>1490</v>
      </c>
      <c r="C1597" t="s">
        <v>1288</v>
      </c>
      <c r="D1597" t="s">
        <v>1288</v>
      </c>
      <c r="E1597" t="s">
        <v>1270</v>
      </c>
      <c r="F1597" s="2">
        <v>61001</v>
      </c>
      <c r="G1597">
        <v>0</v>
      </c>
      <c r="H1597">
        <v>0</v>
      </c>
      <c r="I1597">
        <v>0.23104262805493303</v>
      </c>
      <c r="J1597">
        <f t="shared" si="48"/>
        <v>0</v>
      </c>
      <c r="K1597">
        <f t="shared" si="49"/>
        <v>0</v>
      </c>
    </row>
    <row r="1598" spans="1:11" x14ac:dyDescent="0.25">
      <c r="A1598" t="s">
        <v>14</v>
      </c>
      <c r="B1598" t="s">
        <v>1593</v>
      </c>
      <c r="C1598" t="s">
        <v>1288</v>
      </c>
      <c r="D1598" t="s">
        <v>1288</v>
      </c>
      <c r="E1598" t="s">
        <v>1270</v>
      </c>
      <c r="F1598" s="3">
        <v>61423</v>
      </c>
      <c r="G1598">
        <v>16</v>
      </c>
      <c r="H1598">
        <v>0</v>
      </c>
      <c r="I1598">
        <v>0.23108582519906165</v>
      </c>
      <c r="J1598">
        <f t="shared" si="48"/>
        <v>0</v>
      </c>
      <c r="K1598">
        <f t="shared" si="49"/>
        <v>0</v>
      </c>
    </row>
    <row r="1599" spans="1:11" x14ac:dyDescent="0.25">
      <c r="A1599" t="s">
        <v>14</v>
      </c>
      <c r="B1599" t="s">
        <v>1594</v>
      </c>
      <c r="C1599" t="s">
        <v>1288</v>
      </c>
      <c r="D1599" t="s">
        <v>1288</v>
      </c>
      <c r="E1599" t="s">
        <v>1270</v>
      </c>
      <c r="F1599" s="2">
        <v>61467</v>
      </c>
      <c r="G1599">
        <v>658</v>
      </c>
      <c r="H1599">
        <v>81</v>
      </c>
      <c r="I1599">
        <v>0.23281911060722302</v>
      </c>
      <c r="J1599">
        <f t="shared" si="48"/>
        <v>0.12310030395136778</v>
      </c>
      <c r="K1599">
        <f t="shared" si="49"/>
        <v>2.8660103281436269E-2</v>
      </c>
    </row>
    <row r="1600" spans="1:11" x14ac:dyDescent="0.25">
      <c r="A1600" t="s">
        <v>14</v>
      </c>
      <c r="B1600" t="s">
        <v>1595</v>
      </c>
      <c r="C1600" t="s">
        <v>1288</v>
      </c>
      <c r="D1600" t="s">
        <v>1288</v>
      </c>
      <c r="E1600" t="s">
        <v>1270</v>
      </c>
      <c r="F1600" s="3">
        <v>61473</v>
      </c>
      <c r="G1600">
        <v>11</v>
      </c>
      <c r="H1600">
        <v>0</v>
      </c>
      <c r="I1600">
        <v>0.23107232609152145</v>
      </c>
      <c r="J1600">
        <f t="shared" si="48"/>
        <v>0</v>
      </c>
      <c r="K1600">
        <f t="shared" si="49"/>
        <v>0</v>
      </c>
    </row>
    <row r="1601" spans="1:11" x14ac:dyDescent="0.25">
      <c r="A1601" t="s">
        <v>14</v>
      </c>
      <c r="B1601" t="s">
        <v>1596</v>
      </c>
      <c r="C1601" t="s">
        <v>1288</v>
      </c>
      <c r="D1601" t="s">
        <v>1288</v>
      </c>
      <c r="E1601" t="s">
        <v>1270</v>
      </c>
      <c r="F1601" s="2">
        <v>61424</v>
      </c>
      <c r="G1601">
        <v>1</v>
      </c>
      <c r="H1601">
        <v>0</v>
      </c>
      <c r="I1601">
        <v>0.23104532787644108</v>
      </c>
      <c r="J1601">
        <f t="shared" si="48"/>
        <v>0</v>
      </c>
      <c r="K1601">
        <f t="shared" si="49"/>
        <v>0</v>
      </c>
    </row>
    <row r="1602" spans="1:11" x14ac:dyDescent="0.25">
      <c r="A1602" t="s">
        <v>14</v>
      </c>
      <c r="B1602" t="s">
        <v>1597</v>
      </c>
      <c r="C1602" t="s">
        <v>1288</v>
      </c>
      <c r="D1602" t="s">
        <v>1288</v>
      </c>
      <c r="E1602" t="s">
        <v>1270</v>
      </c>
      <c r="F1602" s="3">
        <v>61433</v>
      </c>
      <c r="G1602">
        <v>15</v>
      </c>
      <c r="H1602">
        <v>0</v>
      </c>
      <c r="I1602">
        <v>0.23108312537755363</v>
      </c>
      <c r="J1602">
        <f t="shared" si="48"/>
        <v>0</v>
      </c>
      <c r="K1602">
        <f t="shared" si="49"/>
        <v>0</v>
      </c>
    </row>
    <row r="1603" spans="1:11" x14ac:dyDescent="0.25">
      <c r="A1603" t="s">
        <v>14</v>
      </c>
      <c r="B1603" t="s">
        <v>1598</v>
      </c>
      <c r="C1603" t="s">
        <v>1288</v>
      </c>
      <c r="D1603" t="s">
        <v>1288</v>
      </c>
      <c r="E1603" t="s">
        <v>1270</v>
      </c>
      <c r="F1603" s="2">
        <v>61429</v>
      </c>
      <c r="G1603">
        <v>27</v>
      </c>
      <c r="H1603">
        <v>0</v>
      </c>
      <c r="I1603">
        <v>0.2311155232356501</v>
      </c>
      <c r="J1603">
        <f t="shared" ref="J1603:J1628" si="50">IF(G1603=0,0,H1603/G1603)</f>
        <v>0</v>
      </c>
      <c r="K1603">
        <f t="shared" ref="K1603:K1628" si="51">J1603*I1603</f>
        <v>0</v>
      </c>
    </row>
    <row r="1604" spans="1:11" x14ac:dyDescent="0.25">
      <c r="A1604" t="s">
        <v>14</v>
      </c>
      <c r="B1604" t="s">
        <v>1599</v>
      </c>
      <c r="C1604" t="s">
        <v>1288</v>
      </c>
      <c r="D1604" t="s">
        <v>1288</v>
      </c>
      <c r="E1604" t="s">
        <v>1270</v>
      </c>
      <c r="F1604" s="3">
        <v>61457</v>
      </c>
      <c r="G1604">
        <v>11</v>
      </c>
      <c r="H1604">
        <v>0</v>
      </c>
      <c r="I1604">
        <v>0.23107232609152145</v>
      </c>
      <c r="J1604">
        <f t="shared" si="50"/>
        <v>0</v>
      </c>
      <c r="K1604">
        <f t="shared" si="51"/>
        <v>0</v>
      </c>
    </row>
    <row r="1605" spans="1:11" x14ac:dyDescent="0.25">
      <c r="A1605" t="s">
        <v>14</v>
      </c>
      <c r="B1605" t="s">
        <v>1600</v>
      </c>
      <c r="C1605" t="s">
        <v>1288</v>
      </c>
      <c r="D1605" t="s">
        <v>1288</v>
      </c>
      <c r="E1605" t="s">
        <v>1270</v>
      </c>
      <c r="F1605" s="2">
        <v>61484</v>
      </c>
      <c r="G1605">
        <v>1456</v>
      </c>
      <c r="H1605">
        <v>0</v>
      </c>
      <c r="I1605">
        <v>0.23497356817063855</v>
      </c>
      <c r="J1605">
        <f t="shared" si="50"/>
        <v>0</v>
      </c>
      <c r="K1605">
        <f t="shared" si="51"/>
        <v>0</v>
      </c>
    </row>
    <row r="1606" spans="1:11" x14ac:dyDescent="0.25">
      <c r="A1606" t="s">
        <v>14</v>
      </c>
      <c r="B1606" t="s">
        <v>1601</v>
      </c>
      <c r="C1606" t="s">
        <v>1288</v>
      </c>
      <c r="D1606" t="s">
        <v>1288</v>
      </c>
      <c r="E1606" t="s">
        <v>1270</v>
      </c>
      <c r="F1606" s="3">
        <v>61497</v>
      </c>
      <c r="G1606">
        <v>0</v>
      </c>
      <c r="H1606">
        <v>0</v>
      </c>
      <c r="I1606">
        <v>0.23104262805493303</v>
      </c>
      <c r="J1606">
        <f t="shared" si="50"/>
        <v>0</v>
      </c>
      <c r="K1606">
        <f t="shared" si="51"/>
        <v>0</v>
      </c>
    </row>
    <row r="1607" spans="1:11" x14ac:dyDescent="0.25">
      <c r="A1607" t="s">
        <v>14</v>
      </c>
      <c r="B1607" t="s">
        <v>1602</v>
      </c>
      <c r="C1607" t="s">
        <v>1269</v>
      </c>
      <c r="D1607" t="s">
        <v>1269</v>
      </c>
      <c r="E1607" t="s">
        <v>1270</v>
      </c>
      <c r="F1607" s="2">
        <v>62242</v>
      </c>
      <c r="G1607">
        <v>537</v>
      </c>
      <c r="H1607">
        <v>0</v>
      </c>
      <c r="I1607">
        <v>0.23249243220475024</v>
      </c>
      <c r="J1607">
        <f t="shared" si="50"/>
        <v>0</v>
      </c>
      <c r="K1607">
        <f t="shared" si="51"/>
        <v>0</v>
      </c>
    </row>
    <row r="1608" spans="1:11" x14ac:dyDescent="0.25">
      <c r="A1608" t="s">
        <v>14</v>
      </c>
      <c r="B1608" t="s">
        <v>1603</v>
      </c>
      <c r="C1608" t="s">
        <v>1269</v>
      </c>
      <c r="D1608" t="s">
        <v>1269</v>
      </c>
      <c r="E1608" t="s">
        <v>1270</v>
      </c>
      <c r="F1608" s="3">
        <v>62319</v>
      </c>
      <c r="G1608">
        <v>84</v>
      </c>
      <c r="H1608">
        <v>0</v>
      </c>
      <c r="I1608">
        <v>0.23126941306160834</v>
      </c>
      <c r="J1608">
        <f t="shared" si="50"/>
        <v>0</v>
      </c>
      <c r="K1608">
        <f t="shared" si="51"/>
        <v>0</v>
      </c>
    </row>
    <row r="1609" spans="1:11" x14ac:dyDescent="0.25">
      <c r="A1609" t="s">
        <v>14</v>
      </c>
      <c r="B1609" t="s">
        <v>1604</v>
      </c>
      <c r="C1609" t="s">
        <v>1269</v>
      </c>
      <c r="D1609" t="s">
        <v>1269</v>
      </c>
      <c r="E1609" t="s">
        <v>1270</v>
      </c>
      <c r="F1609" s="2">
        <v>62331</v>
      </c>
      <c r="G1609">
        <v>187</v>
      </c>
      <c r="H1609">
        <v>0</v>
      </c>
      <c r="I1609">
        <v>0.23154749467693642</v>
      </c>
      <c r="J1609">
        <f t="shared" si="50"/>
        <v>0</v>
      </c>
      <c r="K1609">
        <f t="shared" si="51"/>
        <v>0</v>
      </c>
    </row>
    <row r="1610" spans="1:11" x14ac:dyDescent="0.25">
      <c r="A1610" t="s">
        <v>14</v>
      </c>
      <c r="B1610" t="s">
        <v>1605</v>
      </c>
      <c r="C1610" t="s">
        <v>1269</v>
      </c>
      <c r="D1610" t="s">
        <v>1269</v>
      </c>
      <c r="E1610" t="s">
        <v>1270</v>
      </c>
      <c r="F1610" s="3">
        <v>62314</v>
      </c>
      <c r="G1610">
        <v>11</v>
      </c>
      <c r="H1610">
        <v>0</v>
      </c>
      <c r="I1610">
        <v>0.23107232609152145</v>
      </c>
      <c r="J1610">
        <f t="shared" si="50"/>
        <v>0</v>
      </c>
      <c r="K1610">
        <f t="shared" si="51"/>
        <v>0</v>
      </c>
    </row>
    <row r="1611" spans="1:11" x14ac:dyDescent="0.25">
      <c r="A1611" t="s">
        <v>14</v>
      </c>
      <c r="B1611" t="s">
        <v>1606</v>
      </c>
      <c r="C1611" t="s">
        <v>1269</v>
      </c>
      <c r="D1611" t="s">
        <v>1269</v>
      </c>
      <c r="E1611" t="s">
        <v>1270</v>
      </c>
      <c r="F1611" s="2">
        <v>62284</v>
      </c>
      <c r="G1611">
        <v>5</v>
      </c>
      <c r="H1611">
        <v>0</v>
      </c>
      <c r="I1611">
        <v>0.23105612716247323</v>
      </c>
      <c r="J1611">
        <f t="shared" si="50"/>
        <v>0</v>
      </c>
      <c r="K1611">
        <f t="shared" si="51"/>
        <v>0</v>
      </c>
    </row>
    <row r="1612" spans="1:11" x14ac:dyDescent="0.25">
      <c r="A1612" t="s">
        <v>14</v>
      </c>
      <c r="B1612" t="s">
        <v>1607</v>
      </c>
      <c r="C1612" t="s">
        <v>1269</v>
      </c>
      <c r="D1612" t="s">
        <v>1269</v>
      </c>
      <c r="E1612" t="s">
        <v>1270</v>
      </c>
      <c r="F1612" s="3">
        <v>62281</v>
      </c>
      <c r="G1612">
        <v>0</v>
      </c>
      <c r="H1612">
        <v>0</v>
      </c>
      <c r="I1612">
        <v>0.23104262805493303</v>
      </c>
      <c r="J1612">
        <f t="shared" si="50"/>
        <v>0</v>
      </c>
      <c r="K1612">
        <f t="shared" si="51"/>
        <v>0</v>
      </c>
    </row>
    <row r="1613" spans="1:11" x14ac:dyDescent="0.25">
      <c r="A1613" t="s">
        <v>14</v>
      </c>
      <c r="B1613" t="s">
        <v>1608</v>
      </c>
      <c r="C1613" t="s">
        <v>1269</v>
      </c>
      <c r="D1613" t="s">
        <v>1269</v>
      </c>
      <c r="E1613" t="s">
        <v>1270</v>
      </c>
      <c r="F1613" s="2">
        <v>62257</v>
      </c>
      <c r="G1613">
        <v>300</v>
      </c>
      <c r="H1613">
        <v>0</v>
      </c>
      <c r="I1613">
        <v>0.23185257450734487</v>
      </c>
      <c r="J1613">
        <f t="shared" si="50"/>
        <v>0</v>
      </c>
      <c r="K1613">
        <f t="shared" si="51"/>
        <v>0</v>
      </c>
    </row>
    <row r="1614" spans="1:11" x14ac:dyDescent="0.25">
      <c r="A1614" t="s">
        <v>14</v>
      </c>
      <c r="B1614" t="s">
        <v>1609</v>
      </c>
      <c r="C1614" t="s">
        <v>1269</v>
      </c>
      <c r="D1614" t="s">
        <v>1269</v>
      </c>
      <c r="E1614" t="s">
        <v>1270</v>
      </c>
      <c r="F1614" s="3">
        <v>62273</v>
      </c>
      <c r="G1614">
        <v>42</v>
      </c>
      <c r="H1614">
        <v>0</v>
      </c>
      <c r="I1614">
        <v>0.2311560205582707</v>
      </c>
      <c r="J1614">
        <f t="shared" si="50"/>
        <v>0</v>
      </c>
      <c r="K1614">
        <f t="shared" si="51"/>
        <v>0</v>
      </c>
    </row>
    <row r="1615" spans="1:11" x14ac:dyDescent="0.25">
      <c r="A1615" t="s">
        <v>14</v>
      </c>
      <c r="B1615" t="s">
        <v>1490</v>
      </c>
      <c r="C1615" t="s">
        <v>1323</v>
      </c>
      <c r="D1615" t="s">
        <v>1323</v>
      </c>
      <c r="E1615" t="s">
        <v>1260</v>
      </c>
      <c r="F1615" s="2">
        <v>52001</v>
      </c>
      <c r="G1615">
        <v>0</v>
      </c>
      <c r="H1615">
        <v>0</v>
      </c>
      <c r="I1615">
        <v>0.23104262805493303</v>
      </c>
      <c r="J1615">
        <f t="shared" si="50"/>
        <v>0</v>
      </c>
      <c r="K1615">
        <f t="shared" si="51"/>
        <v>0</v>
      </c>
    </row>
    <row r="1616" spans="1:11" x14ac:dyDescent="0.25">
      <c r="A1616" t="s">
        <v>14</v>
      </c>
      <c r="B1616" t="s">
        <v>1490</v>
      </c>
      <c r="C1616" t="s">
        <v>1323</v>
      </c>
      <c r="D1616" t="s">
        <v>1323</v>
      </c>
      <c r="E1616" t="s">
        <v>1260</v>
      </c>
      <c r="F1616" s="3">
        <v>52002</v>
      </c>
      <c r="G1616">
        <v>0</v>
      </c>
      <c r="H1616">
        <v>0</v>
      </c>
      <c r="I1616">
        <v>0.23104262805493303</v>
      </c>
      <c r="J1616">
        <f t="shared" si="50"/>
        <v>0</v>
      </c>
      <c r="K1616">
        <f t="shared" si="51"/>
        <v>0</v>
      </c>
    </row>
    <row r="1617" spans="1:11" x14ac:dyDescent="0.25">
      <c r="A1617" t="s">
        <v>14</v>
      </c>
      <c r="B1617" t="s">
        <v>1490</v>
      </c>
      <c r="C1617" t="s">
        <v>1323</v>
      </c>
      <c r="D1617" t="s">
        <v>1323</v>
      </c>
      <c r="E1617" t="s">
        <v>1260</v>
      </c>
      <c r="F1617" s="2">
        <v>52003</v>
      </c>
      <c r="G1617">
        <v>0</v>
      </c>
      <c r="H1617">
        <v>0</v>
      </c>
      <c r="I1617">
        <v>0.23104262805493303</v>
      </c>
      <c r="J1617">
        <f t="shared" si="50"/>
        <v>0</v>
      </c>
      <c r="K1617">
        <f t="shared" si="51"/>
        <v>0</v>
      </c>
    </row>
    <row r="1618" spans="1:11" x14ac:dyDescent="0.25">
      <c r="A1618" t="s">
        <v>14</v>
      </c>
      <c r="B1618" t="s">
        <v>1610</v>
      </c>
      <c r="C1618" t="s">
        <v>1323</v>
      </c>
      <c r="D1618" t="s">
        <v>1323</v>
      </c>
      <c r="E1618" t="s">
        <v>1260</v>
      </c>
      <c r="F1618" s="3">
        <v>52131</v>
      </c>
      <c r="G1618">
        <v>62</v>
      </c>
      <c r="H1618">
        <v>54</v>
      </c>
      <c r="I1618">
        <v>0.23121001698843147</v>
      </c>
      <c r="J1618">
        <f t="shared" si="50"/>
        <v>0.87096774193548387</v>
      </c>
      <c r="K1618">
        <f t="shared" si="51"/>
        <v>0.20137646640927903</v>
      </c>
    </row>
    <row r="1619" spans="1:11" x14ac:dyDescent="0.25">
      <c r="A1619" t="s">
        <v>14</v>
      </c>
      <c r="B1619" t="s">
        <v>1611</v>
      </c>
      <c r="C1619" t="s">
        <v>1323</v>
      </c>
      <c r="D1619" t="s">
        <v>1323</v>
      </c>
      <c r="E1619" t="s">
        <v>1260</v>
      </c>
      <c r="F1619" s="2">
        <v>52257</v>
      </c>
      <c r="G1619">
        <v>154</v>
      </c>
      <c r="H1619">
        <v>24</v>
      </c>
      <c r="I1619">
        <v>0.23145840056717112</v>
      </c>
      <c r="J1619">
        <f t="shared" si="50"/>
        <v>0.15584415584415584</v>
      </c>
      <c r="K1619">
        <f t="shared" si="51"/>
        <v>3.6071439049429263E-2</v>
      </c>
    </row>
    <row r="1620" spans="1:11" x14ac:dyDescent="0.25">
      <c r="A1620" t="s">
        <v>14</v>
      </c>
      <c r="B1620" t="s">
        <v>1612</v>
      </c>
      <c r="C1620" t="s">
        <v>1259</v>
      </c>
      <c r="D1620" t="s">
        <v>1259</v>
      </c>
      <c r="E1620" t="s">
        <v>1260</v>
      </c>
      <c r="F1620" s="3">
        <v>51247</v>
      </c>
      <c r="G1620">
        <v>31</v>
      </c>
      <c r="H1620">
        <v>0</v>
      </c>
      <c r="I1620">
        <v>0.23112632252168225</v>
      </c>
      <c r="J1620">
        <f t="shared" si="50"/>
        <v>0</v>
      </c>
      <c r="K1620">
        <f t="shared" si="51"/>
        <v>0</v>
      </c>
    </row>
    <row r="1621" spans="1:11" x14ac:dyDescent="0.25">
      <c r="A1621" t="s">
        <v>14</v>
      </c>
      <c r="B1621" t="s">
        <v>1490</v>
      </c>
      <c r="C1621" t="s">
        <v>1259</v>
      </c>
      <c r="D1621" t="s">
        <v>1259</v>
      </c>
      <c r="E1621" t="s">
        <v>1260</v>
      </c>
      <c r="F1621" s="2">
        <v>51001</v>
      </c>
      <c r="G1621">
        <v>0</v>
      </c>
      <c r="H1621">
        <v>0</v>
      </c>
      <c r="I1621">
        <v>0.23104262805493303</v>
      </c>
      <c r="J1621">
        <f t="shared" si="50"/>
        <v>0</v>
      </c>
      <c r="K1621">
        <f t="shared" si="51"/>
        <v>0</v>
      </c>
    </row>
    <row r="1622" spans="1:11" x14ac:dyDescent="0.25">
      <c r="A1622" t="s">
        <v>14</v>
      </c>
      <c r="B1622" t="s">
        <v>1490</v>
      </c>
      <c r="C1622" t="s">
        <v>1259</v>
      </c>
      <c r="D1622" t="s">
        <v>1259</v>
      </c>
      <c r="E1622" t="s">
        <v>1260</v>
      </c>
      <c r="F1622" s="3" t="s">
        <v>1613</v>
      </c>
      <c r="G1622">
        <v>0</v>
      </c>
      <c r="H1622">
        <v>0</v>
      </c>
      <c r="I1622">
        <v>0.23104262805493303</v>
      </c>
      <c r="J1622">
        <f t="shared" si="50"/>
        <v>0</v>
      </c>
      <c r="K1622">
        <f t="shared" si="51"/>
        <v>0</v>
      </c>
    </row>
    <row r="1623" spans="1:11" x14ac:dyDescent="0.25">
      <c r="A1623" t="s">
        <v>14</v>
      </c>
      <c r="B1623" t="s">
        <v>1614</v>
      </c>
      <c r="C1623" t="s">
        <v>1259</v>
      </c>
      <c r="D1623" t="s">
        <v>1259</v>
      </c>
      <c r="E1623" t="s">
        <v>1260</v>
      </c>
      <c r="F1623" s="2">
        <v>51274</v>
      </c>
      <c r="G1623">
        <v>233</v>
      </c>
      <c r="H1623">
        <v>0</v>
      </c>
      <c r="I1623">
        <v>0.23167168646630623</v>
      </c>
      <c r="J1623">
        <f t="shared" si="50"/>
        <v>0</v>
      </c>
      <c r="K1623">
        <f t="shared" si="51"/>
        <v>0</v>
      </c>
    </row>
    <row r="1624" spans="1:11" x14ac:dyDescent="0.25">
      <c r="A1624" t="s">
        <v>14</v>
      </c>
      <c r="B1624" t="s">
        <v>1615</v>
      </c>
      <c r="C1624" t="s">
        <v>1259</v>
      </c>
      <c r="D1624" t="s">
        <v>1259</v>
      </c>
      <c r="E1624" t="s">
        <v>1260</v>
      </c>
      <c r="F1624" s="3">
        <v>51261</v>
      </c>
      <c r="G1624">
        <v>0</v>
      </c>
      <c r="H1624">
        <v>0</v>
      </c>
      <c r="I1624">
        <v>0.23104262805493303</v>
      </c>
      <c r="J1624">
        <f t="shared" si="50"/>
        <v>0</v>
      </c>
      <c r="K1624">
        <f t="shared" si="51"/>
        <v>0</v>
      </c>
    </row>
    <row r="1625" spans="1:11" x14ac:dyDescent="0.25">
      <c r="A1625" t="s">
        <v>14</v>
      </c>
      <c r="B1625" t="s">
        <v>1616</v>
      </c>
      <c r="C1625" t="s">
        <v>1259</v>
      </c>
      <c r="D1625" t="s">
        <v>1259</v>
      </c>
      <c r="E1625" t="s">
        <v>1260</v>
      </c>
      <c r="F1625" s="2">
        <v>51214</v>
      </c>
      <c r="G1625">
        <v>374</v>
      </c>
      <c r="H1625">
        <v>0</v>
      </c>
      <c r="I1625">
        <v>0.2320523612989398</v>
      </c>
      <c r="J1625">
        <f t="shared" si="50"/>
        <v>0</v>
      </c>
      <c r="K1625">
        <f t="shared" si="51"/>
        <v>0</v>
      </c>
    </row>
    <row r="1626" spans="1:11" x14ac:dyDescent="0.25">
      <c r="A1626" t="s">
        <v>14</v>
      </c>
      <c r="B1626" t="s">
        <v>1617</v>
      </c>
      <c r="C1626" t="s">
        <v>1297</v>
      </c>
      <c r="D1626" t="s">
        <v>1297</v>
      </c>
      <c r="E1626" t="s">
        <v>919</v>
      </c>
      <c r="F1626" s="3">
        <v>33239</v>
      </c>
      <c r="G1626">
        <v>200</v>
      </c>
      <c r="H1626">
        <v>0</v>
      </c>
      <c r="I1626">
        <v>0.23158259235654094</v>
      </c>
      <c r="J1626">
        <f t="shared" si="50"/>
        <v>0</v>
      </c>
      <c r="K1626">
        <f t="shared" si="51"/>
        <v>0</v>
      </c>
    </row>
    <row r="1627" spans="1:11" x14ac:dyDescent="0.25">
      <c r="A1627" t="s">
        <v>14</v>
      </c>
      <c r="B1627" t="s">
        <v>1618</v>
      </c>
      <c r="C1627" t="s">
        <v>1297</v>
      </c>
      <c r="D1627" t="s">
        <v>1297</v>
      </c>
      <c r="E1627" t="s">
        <v>919</v>
      </c>
      <c r="F1627" s="2">
        <v>33127</v>
      </c>
      <c r="G1627">
        <v>0</v>
      </c>
      <c r="H1627">
        <v>0</v>
      </c>
      <c r="I1627">
        <v>0.23104262805493303</v>
      </c>
      <c r="J1627">
        <f t="shared" si="50"/>
        <v>0</v>
      </c>
      <c r="K1627">
        <f t="shared" si="51"/>
        <v>0</v>
      </c>
    </row>
    <row r="1628" spans="1:11" x14ac:dyDescent="0.25">
      <c r="A1628" t="s">
        <v>14</v>
      </c>
      <c r="B1628" t="s">
        <v>1619</v>
      </c>
      <c r="C1628" t="s">
        <v>1297</v>
      </c>
      <c r="D1628" t="s">
        <v>1297</v>
      </c>
      <c r="E1628" t="s">
        <v>919</v>
      </c>
      <c r="F1628" s="3">
        <v>33135</v>
      </c>
      <c r="G1628">
        <v>0</v>
      </c>
      <c r="H1628">
        <v>0</v>
      </c>
      <c r="I1628">
        <v>0.23104262805493303</v>
      </c>
      <c r="J1628">
        <f t="shared" si="50"/>
        <v>0</v>
      </c>
      <c r="K1628">
        <f t="shared" si="51"/>
        <v>0</v>
      </c>
    </row>
  </sheetData>
  <autoFilter ref="A1:N1" xr:uid="{FD10768A-7F80-461B-8AF7-3578E6D07A10}"/>
  <conditionalFormatting sqref="F2:F888">
    <cfRule type="duplicateValues" dxfId="4" priority="2"/>
  </conditionalFormatting>
  <conditionalFormatting sqref="F889:F1628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E4B4-6840-4CE7-83A1-B574EF02DC00}">
  <dimension ref="A1:G27"/>
  <sheetViews>
    <sheetView tabSelected="1" workbookViewId="0">
      <selection activeCell="A2" sqref="A2"/>
    </sheetView>
  </sheetViews>
  <sheetFormatPr defaultRowHeight="15" x14ac:dyDescent="0.25"/>
  <cols>
    <col min="1" max="2" width="17.42578125" customWidth="1"/>
    <col min="3" max="3" width="40.140625" customWidth="1"/>
    <col min="4" max="4" width="35" customWidth="1"/>
    <col min="5" max="5" width="32" customWidth="1"/>
    <col min="6" max="6" width="47.5703125" customWidth="1"/>
    <col min="7" max="7" width="39.140625" customWidth="1"/>
  </cols>
  <sheetData>
    <row r="1" spans="1:7" x14ac:dyDescent="0.25">
      <c r="A1" t="s">
        <v>2</v>
      </c>
      <c r="B1" t="s">
        <v>2522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t="s">
        <v>991</v>
      </c>
      <c r="B2" t="s">
        <v>991</v>
      </c>
      <c r="C2">
        <v>2866.2616279069766</v>
      </c>
      <c r="D2">
        <v>91.854651162790702</v>
      </c>
      <c r="E2">
        <v>0.20116407772068237</v>
      </c>
      <c r="F2">
        <v>4.31413760737408E-2</v>
      </c>
      <c r="G2">
        <v>8.7632853010341169E-3</v>
      </c>
    </row>
    <row r="3" spans="1:7" x14ac:dyDescent="0.25">
      <c r="A3" t="s">
        <v>1282</v>
      </c>
      <c r="B3" t="s">
        <v>1282</v>
      </c>
      <c r="C3">
        <v>3735.8690476190477</v>
      </c>
      <c r="D3">
        <v>1632.1071428571429</v>
      </c>
      <c r="E3">
        <v>0.30162653539784023</v>
      </c>
      <c r="F3">
        <v>0.46151215779633742</v>
      </c>
      <c r="G3">
        <v>0.14564807269665109</v>
      </c>
    </row>
    <row r="4" spans="1:7" x14ac:dyDescent="0.25">
      <c r="A4" t="s">
        <v>1275</v>
      </c>
      <c r="B4" t="s">
        <v>1275</v>
      </c>
      <c r="C4">
        <v>9389.1803278688531</v>
      </c>
      <c r="D4">
        <v>580.70491803278685</v>
      </c>
      <c r="E4">
        <v>0.34485305606264538</v>
      </c>
      <c r="F4">
        <v>0.35540818348338388</v>
      </c>
      <c r="G4">
        <v>9.4085699748269663E-2</v>
      </c>
    </row>
    <row r="5" spans="1:7" x14ac:dyDescent="0.25">
      <c r="A5" t="s">
        <v>1266</v>
      </c>
      <c r="B5" t="s">
        <v>1266</v>
      </c>
      <c r="C5">
        <v>3730.2574257425745</v>
      </c>
      <c r="D5">
        <v>103.35643564356435</v>
      </c>
      <c r="E5">
        <v>0.18435370199017312</v>
      </c>
      <c r="F5">
        <v>7.4708805856696925E-2</v>
      </c>
      <c r="G5">
        <v>1.3789887345550408E-2</v>
      </c>
    </row>
    <row r="6" spans="1:7" x14ac:dyDescent="0.25">
      <c r="A6" t="s">
        <v>982</v>
      </c>
      <c r="B6" t="s">
        <v>982</v>
      </c>
      <c r="C6">
        <v>962</v>
      </c>
      <c r="D6">
        <v>20.130434782608695</v>
      </c>
      <c r="E6">
        <v>0.14893639366755879</v>
      </c>
      <c r="F6">
        <v>3.9998859163413177E-2</v>
      </c>
      <c r="G6">
        <v>8.5150868814220394E-3</v>
      </c>
    </row>
    <row r="7" spans="1:7" x14ac:dyDescent="0.25">
      <c r="A7" t="s">
        <v>1315</v>
      </c>
      <c r="B7" t="s">
        <v>2525</v>
      </c>
      <c r="C7">
        <v>23308.461538461539</v>
      </c>
      <c r="D7">
        <v>12625.923076923076</v>
      </c>
      <c r="E7">
        <v>0.61319320483483342</v>
      </c>
      <c r="F7">
        <v>0.97586842757141978</v>
      </c>
      <c r="G7">
        <v>0.59471623290010245</v>
      </c>
    </row>
    <row r="8" spans="1:7" x14ac:dyDescent="0.25">
      <c r="A8" t="s">
        <v>1514</v>
      </c>
      <c r="B8" t="s">
        <v>2524</v>
      </c>
      <c r="C8">
        <v>1756.7105263157894</v>
      </c>
      <c r="D8">
        <v>2.6578947368421053</v>
      </c>
      <c r="E8">
        <v>9.9711940032415305E-2</v>
      </c>
      <c r="F8">
        <v>9.3620475753397017E-4</v>
      </c>
      <c r="G8">
        <v>1.8760549968590293E-4</v>
      </c>
    </row>
    <row r="9" spans="1:7" x14ac:dyDescent="0.25">
      <c r="A9" t="s">
        <v>921</v>
      </c>
      <c r="B9" t="s">
        <v>921</v>
      </c>
      <c r="C9">
        <v>2628.7777777777778</v>
      </c>
      <c r="D9">
        <v>1143.2323232323233</v>
      </c>
      <c r="E9">
        <v>0.26185194396319483</v>
      </c>
      <c r="F9">
        <v>0.31107465834412773</v>
      </c>
      <c r="G9">
        <v>9.0263515935299479E-2</v>
      </c>
    </row>
    <row r="10" spans="1:7" x14ac:dyDescent="0.25">
      <c r="A10" t="s">
        <v>931</v>
      </c>
      <c r="B10" t="s">
        <v>935</v>
      </c>
      <c r="C10">
        <v>912.22535211267609</v>
      </c>
      <c r="D10">
        <v>103.04225352112677</v>
      </c>
      <c r="E10">
        <v>0.21874089538590172</v>
      </c>
      <c r="F10">
        <v>0.14456845191369766</v>
      </c>
      <c r="G10">
        <v>3.0107366163564426E-2</v>
      </c>
    </row>
    <row r="11" spans="1:7" x14ac:dyDescent="0.25">
      <c r="A11" t="s">
        <v>1200</v>
      </c>
      <c r="B11" t="s">
        <v>1632</v>
      </c>
      <c r="C11">
        <v>4051.2857142857142</v>
      </c>
      <c r="D11">
        <v>117.78571428571429</v>
      </c>
      <c r="E11">
        <v>0.2213298454741417</v>
      </c>
      <c r="F11">
        <v>0.10905219988497493</v>
      </c>
      <c r="G11">
        <v>1.4322792061157113E-2</v>
      </c>
    </row>
    <row r="12" spans="1:7" x14ac:dyDescent="0.25">
      <c r="A12" t="s">
        <v>934</v>
      </c>
      <c r="B12" t="s">
        <v>2526</v>
      </c>
      <c r="C12">
        <v>2139.5749999999998</v>
      </c>
      <c r="D12">
        <v>126.45</v>
      </c>
      <c r="E12">
        <v>0.29229831784192639</v>
      </c>
      <c r="F12">
        <v>0.20933588277771889</v>
      </c>
      <c r="G12">
        <v>6.108953913601297E-2</v>
      </c>
    </row>
    <row r="13" spans="1:7" x14ac:dyDescent="0.25">
      <c r="A13" t="s">
        <v>915</v>
      </c>
      <c r="B13" t="s">
        <v>2527</v>
      </c>
      <c r="C13">
        <v>4860.8247422680415</v>
      </c>
      <c r="D13">
        <v>200.46391752577318</v>
      </c>
      <c r="E13">
        <v>0.3825047421690117</v>
      </c>
      <c r="F13">
        <v>5.1980219800952854E-2</v>
      </c>
      <c r="G13">
        <v>1.9314588824214659E-2</v>
      </c>
    </row>
    <row r="14" spans="1:7" x14ac:dyDescent="0.25">
      <c r="A14" t="s">
        <v>918</v>
      </c>
      <c r="B14" t="s">
        <v>2528</v>
      </c>
      <c r="C14">
        <v>1999.8644067796611</v>
      </c>
      <c r="D14">
        <v>136.42372881355934</v>
      </c>
      <c r="E14">
        <v>0.14252842485428488</v>
      </c>
      <c r="F14">
        <v>4.4348921752269045E-2</v>
      </c>
      <c r="G14">
        <v>4.9180028376353416E-3</v>
      </c>
    </row>
    <row r="15" spans="1:7" x14ac:dyDescent="0.25">
      <c r="A15" t="s">
        <v>937</v>
      </c>
      <c r="B15" t="s">
        <v>2529</v>
      </c>
      <c r="C15">
        <v>4374.1020408163267</v>
      </c>
      <c r="D15">
        <v>45.102040816326529</v>
      </c>
      <c r="E15">
        <v>0.15802335871697665</v>
      </c>
      <c r="F15">
        <v>1.7870179175422628E-2</v>
      </c>
      <c r="G15">
        <v>3.6909704011973766E-3</v>
      </c>
    </row>
    <row r="16" spans="1:7" x14ac:dyDescent="0.25">
      <c r="A16" t="s">
        <v>1280</v>
      </c>
      <c r="B16" t="s">
        <v>1286</v>
      </c>
      <c r="C16">
        <v>1224.25</v>
      </c>
      <c r="D16">
        <v>68.666666666666671</v>
      </c>
      <c r="E16">
        <v>0.2181595890498795</v>
      </c>
      <c r="F16">
        <v>6.2277765995047168E-2</v>
      </c>
      <c r="G16">
        <v>2.3040948737460574E-2</v>
      </c>
    </row>
    <row r="17" spans="1:7" x14ac:dyDescent="0.25">
      <c r="A17" t="s">
        <v>1295</v>
      </c>
      <c r="B17" t="s">
        <v>2530</v>
      </c>
      <c r="C17">
        <v>1230.6822429906542</v>
      </c>
      <c r="D17">
        <v>223.12149532710279</v>
      </c>
      <c r="E17">
        <v>0.2231505717649937</v>
      </c>
      <c r="F17">
        <v>1.6489430563120626</v>
      </c>
      <c r="G17">
        <v>0.27880008022638847</v>
      </c>
    </row>
    <row r="18" spans="1:7" x14ac:dyDescent="0.25">
      <c r="A18" t="s">
        <v>1332</v>
      </c>
      <c r="B18" t="s">
        <v>1332</v>
      </c>
      <c r="C18">
        <v>397.77777777777777</v>
      </c>
      <c r="D18">
        <v>83.419753086419746</v>
      </c>
      <c r="E18">
        <v>0.2735407552061756</v>
      </c>
      <c r="F18">
        <v>0.32606668965431679</v>
      </c>
      <c r="G18">
        <v>0.11879905976017821</v>
      </c>
    </row>
    <row r="19" spans="1:7" x14ac:dyDescent="0.25">
      <c r="A19" t="s">
        <v>1307</v>
      </c>
      <c r="B19" t="s">
        <v>2531</v>
      </c>
      <c r="C19">
        <v>3176.0853658536585</v>
      </c>
      <c r="D19">
        <v>197.92682926829269</v>
      </c>
      <c r="E19">
        <v>0.23739081054766314</v>
      </c>
      <c r="F19">
        <v>8.5975594264801558E-2</v>
      </c>
      <c r="G19">
        <v>1.5919345504835952E-2</v>
      </c>
    </row>
    <row r="20" spans="1:7" x14ac:dyDescent="0.25">
      <c r="A20" t="s">
        <v>1278</v>
      </c>
      <c r="B20" t="s">
        <v>2532</v>
      </c>
      <c r="C20">
        <v>1016.8378378378378</v>
      </c>
      <c r="D20">
        <v>9.1351351351351351</v>
      </c>
      <c r="E20">
        <v>0.18747955431511582</v>
      </c>
      <c r="F20">
        <v>1.5172500992543808E-2</v>
      </c>
      <c r="G20">
        <v>5.8041329366857559E-3</v>
      </c>
    </row>
    <row r="21" spans="1:7" x14ac:dyDescent="0.25">
      <c r="A21" t="s">
        <v>1291</v>
      </c>
      <c r="B21" t="s">
        <v>1290</v>
      </c>
      <c r="C21">
        <v>859.69047619047615</v>
      </c>
      <c r="D21">
        <v>73.238095238095241</v>
      </c>
      <c r="E21">
        <v>0.18476342748021701</v>
      </c>
      <c r="F21">
        <v>0.10579429273718451</v>
      </c>
      <c r="G21">
        <v>2.3916383804450842E-2</v>
      </c>
    </row>
    <row r="22" spans="1:7" x14ac:dyDescent="0.25">
      <c r="A22" t="s">
        <v>1288</v>
      </c>
      <c r="B22" t="s">
        <v>1288</v>
      </c>
      <c r="C22">
        <v>4508.5128205128203</v>
      </c>
      <c r="D22">
        <v>939.33333333333337</v>
      </c>
      <c r="E22">
        <v>0.23557082584484618</v>
      </c>
      <c r="F22">
        <v>0.14011129810692444</v>
      </c>
      <c r="G22">
        <v>4.4719336853889957E-2</v>
      </c>
    </row>
    <row r="23" spans="1:7" x14ac:dyDescent="0.25">
      <c r="A23" t="s">
        <v>1269</v>
      </c>
      <c r="B23" t="s">
        <v>1269</v>
      </c>
      <c r="C23">
        <v>3573.1282051282051</v>
      </c>
      <c r="D23">
        <v>182.38461538461539</v>
      </c>
      <c r="E23">
        <v>0.12804661709627579</v>
      </c>
      <c r="F23">
        <v>2.9725464032590789E-3</v>
      </c>
      <c r="G23">
        <v>1.8826573315314759E-3</v>
      </c>
    </row>
    <row r="24" spans="1:7" x14ac:dyDescent="0.25">
      <c r="A24" t="s">
        <v>1255</v>
      </c>
      <c r="B24" t="s">
        <v>1255</v>
      </c>
      <c r="C24">
        <v>18057.4375</v>
      </c>
      <c r="D24">
        <v>308.5</v>
      </c>
      <c r="E24">
        <v>0.23559109642317413</v>
      </c>
      <c r="F24">
        <v>8.4207867779780825E-3</v>
      </c>
      <c r="G24">
        <v>6.128058296680502E-4</v>
      </c>
    </row>
    <row r="25" spans="1:7" x14ac:dyDescent="0.25">
      <c r="A25" t="s">
        <v>1323</v>
      </c>
      <c r="B25" t="s">
        <v>2523</v>
      </c>
      <c r="C25">
        <v>2870.0454545454545</v>
      </c>
      <c r="D25">
        <v>67.318181818181813</v>
      </c>
      <c r="E25">
        <v>0.25747689870489493</v>
      </c>
      <c r="F25">
        <v>0.65877263452522239</v>
      </c>
      <c r="G25">
        <v>0.15546255034832793</v>
      </c>
    </row>
    <row r="26" spans="1:7" x14ac:dyDescent="0.25">
      <c r="A26" t="s">
        <v>1259</v>
      </c>
      <c r="B26" t="s">
        <v>1259</v>
      </c>
      <c r="C26">
        <v>4487.3538461538465</v>
      </c>
      <c r="D26">
        <v>252.66153846153847</v>
      </c>
      <c r="E26">
        <v>0.40546511951128689</v>
      </c>
      <c r="F26">
        <v>4.7273036652315893E-2</v>
      </c>
      <c r="G26">
        <v>2.1604490711593306E-2</v>
      </c>
    </row>
    <row r="27" spans="1:7" x14ac:dyDescent="0.25">
      <c r="A27" t="s">
        <v>1297</v>
      </c>
      <c r="B27" t="s">
        <v>1297</v>
      </c>
      <c r="C27">
        <v>1714.3269230769231</v>
      </c>
      <c r="D27">
        <v>68.557692307692307</v>
      </c>
      <c r="E27">
        <v>0.20934752780139398</v>
      </c>
      <c r="F27">
        <v>4.6930621026831494E-2</v>
      </c>
      <c r="G27">
        <v>1.0375918196397993E-2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8"/>
  <sheetViews>
    <sheetView workbookViewId="0">
      <selection sqref="A1:K1048576"/>
    </sheetView>
  </sheetViews>
  <sheetFormatPr defaultRowHeight="15" x14ac:dyDescent="0.25"/>
  <cols>
    <col min="2" max="2" width="11" bestFit="1" customWidth="1"/>
    <col min="3" max="3" width="14.28515625" bestFit="1" customWidth="1"/>
    <col min="4" max="4" width="15.5703125" customWidth="1"/>
    <col min="5" max="5" width="6.7109375" customWidth="1"/>
    <col min="6" max="6" width="20.7109375" bestFit="1" customWidth="1"/>
    <col min="7" max="7" width="21.7109375" bestFit="1" customWidth="1"/>
    <col min="8" max="8" width="15.42578125" bestFit="1" customWidth="1"/>
    <col min="9" max="9" width="25.140625" bestFit="1" customWidth="1"/>
    <col min="10" max="10" width="2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1620</v>
      </c>
      <c r="N1">
        <f>COUNTIF(H:H,"#N/A")</f>
        <v>0</v>
      </c>
    </row>
    <row r="2" spans="1:16" x14ac:dyDescent="0.25">
      <c r="A2" t="s">
        <v>10</v>
      </c>
      <c r="B2" t="s">
        <v>11</v>
      </c>
      <c r="C2" t="s">
        <v>12</v>
      </c>
      <c r="D2" t="s">
        <v>12</v>
      </c>
      <c r="E2">
        <v>10110</v>
      </c>
      <c r="F2">
        <v>4550</v>
      </c>
      <c r="H2">
        <v>0.65991016694512528</v>
      </c>
      <c r="I2">
        <f>IF(F2=0,0,G2/F2)</f>
        <v>0</v>
      </c>
      <c r="J2">
        <f>I2*H2</f>
        <v>0</v>
      </c>
      <c r="K2">
        <v>1264</v>
      </c>
      <c r="M2" t="s">
        <v>10</v>
      </c>
      <c r="N2">
        <f>COUNTIF(A:A,M2)</f>
        <v>1216</v>
      </c>
    </row>
    <row r="3" spans="1:16" x14ac:dyDescent="0.25">
      <c r="A3" t="s">
        <v>10</v>
      </c>
      <c r="B3" t="s">
        <v>13</v>
      </c>
      <c r="C3" t="s">
        <v>12</v>
      </c>
      <c r="D3" t="s">
        <v>12</v>
      </c>
      <c r="E3">
        <v>10150</v>
      </c>
      <c r="F3">
        <v>37706</v>
      </c>
      <c r="H3">
        <v>0.53190598645560305</v>
      </c>
      <c r="K3">
        <v>8110</v>
      </c>
      <c r="M3" t="s">
        <v>14</v>
      </c>
      <c r="N3">
        <f>COUNTIF(A:A,M3)</f>
        <v>411</v>
      </c>
      <c r="O3">
        <v>0</v>
      </c>
      <c r="P3">
        <f>COUNTIFS(A:A,M3,F:F,O3)</f>
        <v>113</v>
      </c>
    </row>
    <row r="4" spans="1:16" x14ac:dyDescent="0.25">
      <c r="A4" t="s">
        <v>10</v>
      </c>
      <c r="B4" t="s">
        <v>15</v>
      </c>
      <c r="C4" t="s">
        <v>12</v>
      </c>
      <c r="D4" t="s">
        <v>12</v>
      </c>
      <c r="E4">
        <v>10210</v>
      </c>
      <c r="F4">
        <v>66330</v>
      </c>
      <c r="H4">
        <v>0.5986279779716368</v>
      </c>
      <c r="K4">
        <v>10641</v>
      </c>
      <c r="O4">
        <v>1</v>
      </c>
      <c r="P4">
        <f>N3-P3</f>
        <v>298</v>
      </c>
    </row>
    <row r="5" spans="1:16" x14ac:dyDescent="0.25">
      <c r="A5" t="s">
        <v>10</v>
      </c>
      <c r="B5" t="s">
        <v>16</v>
      </c>
      <c r="C5" t="s">
        <v>12</v>
      </c>
      <c r="D5" t="s">
        <v>12</v>
      </c>
      <c r="E5">
        <v>10250</v>
      </c>
      <c r="F5">
        <v>1524</v>
      </c>
      <c r="H5">
        <v>0.83693546478094127</v>
      </c>
      <c r="K5">
        <v>2366</v>
      </c>
    </row>
    <row r="6" spans="1:16" x14ac:dyDescent="0.25">
      <c r="A6" t="s">
        <v>10</v>
      </c>
      <c r="B6" t="s">
        <v>17</v>
      </c>
      <c r="C6" t="s">
        <v>12</v>
      </c>
      <c r="D6" t="s">
        <v>12</v>
      </c>
      <c r="E6">
        <v>10310</v>
      </c>
      <c r="F6">
        <v>88885</v>
      </c>
      <c r="H6">
        <v>0.27341793917354673</v>
      </c>
      <c r="K6">
        <v>9377</v>
      </c>
    </row>
    <row r="7" spans="1:16" x14ac:dyDescent="0.25">
      <c r="A7" t="s">
        <v>10</v>
      </c>
      <c r="B7" t="s">
        <v>18</v>
      </c>
      <c r="C7" t="s">
        <v>12</v>
      </c>
      <c r="D7" t="s">
        <v>12</v>
      </c>
      <c r="E7">
        <v>10350</v>
      </c>
      <c r="F7">
        <v>16218</v>
      </c>
      <c r="H7">
        <v>0.58627379449899486</v>
      </c>
      <c r="K7">
        <v>5516</v>
      </c>
    </row>
    <row r="8" spans="1:16" x14ac:dyDescent="0.25">
      <c r="A8" t="s">
        <v>10</v>
      </c>
      <c r="B8" t="s">
        <v>19</v>
      </c>
      <c r="C8" t="s">
        <v>12</v>
      </c>
      <c r="D8" t="s">
        <v>12</v>
      </c>
      <c r="E8">
        <v>10410</v>
      </c>
      <c r="F8">
        <v>10658</v>
      </c>
      <c r="H8">
        <v>0.56572694749915153</v>
      </c>
      <c r="K8">
        <v>7819</v>
      </c>
    </row>
    <row r="9" spans="1:16" x14ac:dyDescent="0.25">
      <c r="A9" t="s">
        <v>10</v>
      </c>
      <c r="B9" t="s">
        <v>20</v>
      </c>
      <c r="C9" t="s">
        <v>12</v>
      </c>
      <c r="D9" t="s">
        <v>12</v>
      </c>
      <c r="E9">
        <v>10450</v>
      </c>
      <c r="F9">
        <v>151</v>
      </c>
      <c r="H9">
        <v>0.54555406877191359</v>
      </c>
      <c r="K9">
        <v>0</v>
      </c>
    </row>
    <row r="10" spans="1:16" x14ac:dyDescent="0.25">
      <c r="A10" t="s">
        <v>10</v>
      </c>
      <c r="B10" t="s">
        <v>21</v>
      </c>
      <c r="C10" t="s">
        <v>12</v>
      </c>
      <c r="D10" t="s">
        <v>12</v>
      </c>
      <c r="E10">
        <v>10510</v>
      </c>
      <c r="F10">
        <v>2152</v>
      </c>
      <c r="H10">
        <v>0.80288474874255289</v>
      </c>
      <c r="K10">
        <v>195</v>
      </c>
    </row>
    <row r="11" spans="1:16" x14ac:dyDescent="0.25">
      <c r="A11" t="s">
        <v>10</v>
      </c>
      <c r="B11" t="s">
        <v>22</v>
      </c>
      <c r="C11" t="s">
        <v>12</v>
      </c>
      <c r="D11" t="s">
        <v>12</v>
      </c>
      <c r="E11">
        <v>10550</v>
      </c>
      <c r="F11">
        <v>21978</v>
      </c>
      <c r="H11">
        <v>0.80288474874255289</v>
      </c>
      <c r="K11">
        <v>0</v>
      </c>
    </row>
    <row r="12" spans="1:16" x14ac:dyDescent="0.25">
      <c r="A12" t="s">
        <v>10</v>
      </c>
      <c r="B12" t="s">
        <v>23</v>
      </c>
      <c r="C12" t="s">
        <v>12</v>
      </c>
      <c r="D12" t="s">
        <v>12</v>
      </c>
      <c r="E12">
        <v>10610</v>
      </c>
      <c r="F12">
        <v>4151</v>
      </c>
      <c r="H12">
        <v>0.67796400467908402</v>
      </c>
      <c r="K12">
        <v>940</v>
      </c>
    </row>
    <row r="13" spans="1:16" x14ac:dyDescent="0.25">
      <c r="A13" t="s">
        <v>10</v>
      </c>
      <c r="B13" t="s">
        <v>24</v>
      </c>
      <c r="C13" t="s">
        <v>12</v>
      </c>
      <c r="D13" t="s">
        <v>12</v>
      </c>
      <c r="E13">
        <v>10650</v>
      </c>
      <c r="F13">
        <v>48435</v>
      </c>
      <c r="H13">
        <v>0.85764883508661161</v>
      </c>
      <c r="K13">
        <v>431</v>
      </c>
    </row>
    <row r="14" spans="1:16" x14ac:dyDescent="0.25">
      <c r="A14" t="s">
        <v>10</v>
      </c>
      <c r="B14" t="s">
        <v>25</v>
      </c>
      <c r="C14" t="s">
        <v>26</v>
      </c>
      <c r="D14" t="s">
        <v>27</v>
      </c>
      <c r="E14">
        <v>21111</v>
      </c>
      <c r="F14">
        <v>239203</v>
      </c>
      <c r="H14">
        <v>0.61645563809847903</v>
      </c>
      <c r="K14">
        <v>3749</v>
      </c>
    </row>
    <row r="15" spans="1:16" x14ac:dyDescent="0.25">
      <c r="A15" t="s">
        <v>10</v>
      </c>
      <c r="B15" t="s">
        <v>28</v>
      </c>
      <c r="C15" t="s">
        <v>26</v>
      </c>
      <c r="D15" t="s">
        <v>27</v>
      </c>
      <c r="E15">
        <v>21144</v>
      </c>
      <c r="F15">
        <v>62844</v>
      </c>
      <c r="H15">
        <v>0.633992629105671</v>
      </c>
      <c r="K15">
        <v>0</v>
      </c>
    </row>
    <row r="16" spans="1:16" x14ac:dyDescent="0.25">
      <c r="A16" t="s">
        <v>10</v>
      </c>
      <c r="B16" t="s">
        <v>29</v>
      </c>
      <c r="C16" t="s">
        <v>26</v>
      </c>
      <c r="D16" t="s">
        <v>27</v>
      </c>
      <c r="E16">
        <v>21166</v>
      </c>
      <c r="F16">
        <v>11078</v>
      </c>
      <c r="H16">
        <v>0.35640495932398064</v>
      </c>
      <c r="K16">
        <v>0</v>
      </c>
    </row>
    <row r="17" spans="1:11" x14ac:dyDescent="0.25">
      <c r="A17" t="s">
        <v>10</v>
      </c>
      <c r="B17" t="s">
        <v>30</v>
      </c>
      <c r="C17" t="s">
        <v>26</v>
      </c>
      <c r="D17" t="s">
        <v>27</v>
      </c>
      <c r="E17">
        <v>21177</v>
      </c>
      <c r="F17">
        <v>130641</v>
      </c>
      <c r="H17">
        <v>0.21915432416645619</v>
      </c>
      <c r="K17">
        <v>0</v>
      </c>
    </row>
    <row r="18" spans="1:11" x14ac:dyDescent="0.25">
      <c r="A18" t="s">
        <v>10</v>
      </c>
      <c r="B18" t="s">
        <v>31</v>
      </c>
      <c r="C18" t="s">
        <v>26</v>
      </c>
      <c r="D18" t="s">
        <v>27</v>
      </c>
      <c r="E18">
        <v>21188</v>
      </c>
      <c r="F18">
        <v>7707</v>
      </c>
      <c r="H18">
        <v>0.73484024431315609</v>
      </c>
      <c r="K18">
        <v>0</v>
      </c>
    </row>
    <row r="19" spans="1:11" x14ac:dyDescent="0.25">
      <c r="A19" t="s">
        <v>10</v>
      </c>
      <c r="B19" t="s">
        <v>26</v>
      </c>
      <c r="C19" t="s">
        <v>26</v>
      </c>
      <c r="D19" t="s">
        <v>27</v>
      </c>
      <c r="E19">
        <v>21211</v>
      </c>
      <c r="F19">
        <v>29382</v>
      </c>
      <c r="H19">
        <v>0.63778092842461565</v>
      </c>
      <c r="K19">
        <v>677</v>
      </c>
    </row>
    <row r="20" spans="1:11" x14ac:dyDescent="0.25">
      <c r="A20" t="s">
        <v>10</v>
      </c>
      <c r="B20" t="s">
        <v>32</v>
      </c>
      <c r="C20" t="s">
        <v>26</v>
      </c>
      <c r="D20" t="s">
        <v>27</v>
      </c>
      <c r="E20">
        <v>21219</v>
      </c>
      <c r="F20">
        <v>21705</v>
      </c>
      <c r="H20">
        <v>0.62159552002960439</v>
      </c>
      <c r="K20">
        <v>136</v>
      </c>
    </row>
    <row r="21" spans="1:11" x14ac:dyDescent="0.25">
      <c r="A21" t="s">
        <v>10</v>
      </c>
      <c r="B21" t="s">
        <v>33</v>
      </c>
      <c r="C21" t="s">
        <v>26</v>
      </c>
      <c r="D21" t="s">
        <v>27</v>
      </c>
      <c r="E21">
        <v>21227</v>
      </c>
      <c r="F21">
        <v>1133</v>
      </c>
      <c r="H21">
        <v>0.64698117539026634</v>
      </c>
      <c r="K21">
        <v>0</v>
      </c>
    </row>
    <row r="22" spans="1:11" x14ac:dyDescent="0.25">
      <c r="A22" t="s">
        <v>10</v>
      </c>
      <c r="B22" t="s">
        <v>34</v>
      </c>
      <c r="C22" t="s">
        <v>26</v>
      </c>
      <c r="D22" t="s">
        <v>27</v>
      </c>
      <c r="E22">
        <v>21235</v>
      </c>
      <c r="F22">
        <v>281</v>
      </c>
      <c r="H22">
        <v>0.32870681092109866</v>
      </c>
      <c r="K22">
        <v>0</v>
      </c>
    </row>
    <row r="23" spans="1:11" x14ac:dyDescent="0.25">
      <c r="A23" t="s">
        <v>10</v>
      </c>
      <c r="B23" t="s">
        <v>35</v>
      </c>
      <c r="C23" t="s">
        <v>26</v>
      </c>
      <c r="D23" t="s">
        <v>27</v>
      </c>
      <c r="E23">
        <v>21243</v>
      </c>
      <c r="F23">
        <v>2007</v>
      </c>
      <c r="H23">
        <v>0.47666523572637043</v>
      </c>
      <c r="K23">
        <v>0</v>
      </c>
    </row>
    <row r="24" spans="1:11" x14ac:dyDescent="0.25">
      <c r="A24" t="s">
        <v>10</v>
      </c>
      <c r="B24" t="s">
        <v>36</v>
      </c>
      <c r="C24" t="s">
        <v>26</v>
      </c>
      <c r="D24" t="s">
        <v>27</v>
      </c>
      <c r="E24">
        <v>21251</v>
      </c>
      <c r="F24">
        <v>6236</v>
      </c>
      <c r="H24">
        <v>0.67078125162137026</v>
      </c>
      <c r="K24">
        <v>0</v>
      </c>
    </row>
    <row r="25" spans="1:11" x14ac:dyDescent="0.25">
      <c r="A25" t="s">
        <v>10</v>
      </c>
      <c r="B25" t="s">
        <v>37</v>
      </c>
      <c r="C25" t="s">
        <v>26</v>
      </c>
      <c r="D25" t="s">
        <v>27</v>
      </c>
      <c r="E25">
        <v>21259</v>
      </c>
      <c r="F25">
        <v>2214</v>
      </c>
      <c r="H25">
        <v>0.27955917035861477</v>
      </c>
      <c r="K25">
        <v>0</v>
      </c>
    </row>
    <row r="26" spans="1:11" x14ac:dyDescent="0.25">
      <c r="A26" t="s">
        <v>10</v>
      </c>
      <c r="B26" t="s">
        <v>38</v>
      </c>
      <c r="C26" t="s">
        <v>26</v>
      </c>
      <c r="D26" t="s">
        <v>27</v>
      </c>
      <c r="E26">
        <v>21267</v>
      </c>
      <c r="F26">
        <v>2258</v>
      </c>
      <c r="H26">
        <v>0.55219313845954865</v>
      </c>
      <c r="K26">
        <v>0</v>
      </c>
    </row>
    <row r="27" spans="1:11" x14ac:dyDescent="0.25">
      <c r="A27" t="s">
        <v>10</v>
      </c>
      <c r="B27" t="s">
        <v>39</v>
      </c>
      <c r="C27" t="s">
        <v>26</v>
      </c>
      <c r="D27" t="s">
        <v>27</v>
      </c>
      <c r="E27">
        <v>21275</v>
      </c>
      <c r="F27">
        <v>1035</v>
      </c>
      <c r="H27">
        <v>0.18016181620577199</v>
      </c>
      <c r="K27">
        <v>0</v>
      </c>
    </row>
    <row r="28" spans="1:11" x14ac:dyDescent="0.25">
      <c r="A28" t="s">
        <v>10</v>
      </c>
      <c r="B28" t="s">
        <v>40</v>
      </c>
      <c r="C28" t="s">
        <v>26</v>
      </c>
      <c r="D28" t="s">
        <v>27</v>
      </c>
      <c r="E28">
        <v>21311</v>
      </c>
      <c r="F28">
        <v>2358</v>
      </c>
      <c r="H28">
        <v>8.2446025419319668E-2</v>
      </c>
      <c r="K28">
        <v>69</v>
      </c>
    </row>
    <row r="29" spans="1:11" x14ac:dyDescent="0.25">
      <c r="A29" t="s">
        <v>10</v>
      </c>
      <c r="B29" t="s">
        <v>41</v>
      </c>
      <c r="C29" t="s">
        <v>26</v>
      </c>
      <c r="D29" t="s">
        <v>27</v>
      </c>
      <c r="E29">
        <v>21314</v>
      </c>
      <c r="F29">
        <v>15</v>
      </c>
      <c r="H29">
        <v>0.25378667091836737</v>
      </c>
      <c r="K29">
        <v>0</v>
      </c>
    </row>
    <row r="30" spans="1:11" x14ac:dyDescent="0.25">
      <c r="A30" t="s">
        <v>10</v>
      </c>
      <c r="B30" t="s">
        <v>42</v>
      </c>
      <c r="C30" t="s">
        <v>26</v>
      </c>
      <c r="D30" t="s">
        <v>27</v>
      </c>
      <c r="E30">
        <v>21317</v>
      </c>
      <c r="F30">
        <v>822</v>
      </c>
      <c r="H30">
        <v>3.7565512477522933E-2</v>
      </c>
      <c r="K30">
        <v>71</v>
      </c>
    </row>
    <row r="31" spans="1:11" x14ac:dyDescent="0.25">
      <c r="A31" t="s">
        <v>10</v>
      </c>
      <c r="B31" t="s">
        <v>43</v>
      </c>
      <c r="C31" t="s">
        <v>26</v>
      </c>
      <c r="D31" t="s">
        <v>27</v>
      </c>
      <c r="E31">
        <v>21324</v>
      </c>
      <c r="F31">
        <v>375</v>
      </c>
      <c r="H31">
        <v>2.888996096662455E-2</v>
      </c>
      <c r="K31">
        <v>110</v>
      </c>
    </row>
    <row r="32" spans="1:11" x14ac:dyDescent="0.25">
      <c r="A32" t="s">
        <v>10</v>
      </c>
      <c r="B32" t="s">
        <v>44</v>
      </c>
      <c r="C32" t="s">
        <v>26</v>
      </c>
      <c r="D32" t="s">
        <v>27</v>
      </c>
      <c r="E32">
        <v>21327</v>
      </c>
      <c r="F32">
        <v>27</v>
      </c>
      <c r="H32">
        <v>0.18825530160529758</v>
      </c>
      <c r="K32">
        <v>0</v>
      </c>
    </row>
    <row r="33" spans="1:11" x14ac:dyDescent="0.25">
      <c r="A33" t="s">
        <v>10</v>
      </c>
      <c r="B33" t="s">
        <v>45</v>
      </c>
      <c r="C33" t="s">
        <v>26</v>
      </c>
      <c r="D33" t="s">
        <v>27</v>
      </c>
      <c r="E33">
        <v>21331</v>
      </c>
      <c r="F33">
        <v>0</v>
      </c>
      <c r="H33">
        <v>0.5621065215301807</v>
      </c>
      <c r="K33">
        <v>0</v>
      </c>
    </row>
    <row r="34" spans="1:11" x14ac:dyDescent="0.25">
      <c r="A34" t="s">
        <v>10</v>
      </c>
      <c r="B34" t="s">
        <v>46</v>
      </c>
      <c r="C34" t="s">
        <v>26</v>
      </c>
      <c r="D34" t="s">
        <v>27</v>
      </c>
      <c r="E34">
        <v>21334</v>
      </c>
      <c r="F34">
        <v>68</v>
      </c>
      <c r="H34">
        <v>0.22172566117277015</v>
      </c>
      <c r="K34">
        <v>0</v>
      </c>
    </row>
    <row r="35" spans="1:11" x14ac:dyDescent="0.25">
      <c r="A35" t="s">
        <v>10</v>
      </c>
      <c r="B35" t="s">
        <v>47</v>
      </c>
      <c r="C35" t="s">
        <v>26</v>
      </c>
      <c r="D35" t="s">
        <v>27</v>
      </c>
      <c r="E35">
        <v>21337</v>
      </c>
      <c r="F35">
        <v>17</v>
      </c>
      <c r="H35">
        <v>0</v>
      </c>
      <c r="K35">
        <v>0</v>
      </c>
    </row>
    <row r="36" spans="1:11" x14ac:dyDescent="0.25">
      <c r="A36" t="s">
        <v>10</v>
      </c>
      <c r="B36" t="s">
        <v>48</v>
      </c>
      <c r="C36" t="s">
        <v>26</v>
      </c>
      <c r="D36" t="s">
        <v>27</v>
      </c>
      <c r="E36">
        <v>21341</v>
      </c>
      <c r="F36">
        <v>3591</v>
      </c>
      <c r="H36">
        <v>0.60684415720590623</v>
      </c>
      <c r="K36">
        <v>0</v>
      </c>
    </row>
    <row r="37" spans="1:11" x14ac:dyDescent="0.25">
      <c r="A37" t="s">
        <v>10</v>
      </c>
      <c r="B37" t="s">
        <v>49</v>
      </c>
      <c r="C37" t="s">
        <v>26</v>
      </c>
      <c r="D37" t="s">
        <v>27</v>
      </c>
      <c r="E37">
        <v>21344</v>
      </c>
      <c r="F37">
        <v>687</v>
      </c>
      <c r="H37">
        <v>6.7828095425498058E-2</v>
      </c>
      <c r="K37">
        <v>269</v>
      </c>
    </row>
    <row r="38" spans="1:11" x14ac:dyDescent="0.25">
      <c r="A38" t="s">
        <v>10</v>
      </c>
      <c r="B38" t="s">
        <v>50</v>
      </c>
      <c r="C38" t="s">
        <v>26</v>
      </c>
      <c r="D38" t="s">
        <v>27</v>
      </c>
      <c r="E38">
        <v>21351</v>
      </c>
      <c r="F38">
        <v>4221</v>
      </c>
      <c r="H38">
        <v>0.20356158247173117</v>
      </c>
      <c r="K38">
        <v>103</v>
      </c>
    </row>
    <row r="39" spans="1:11" x14ac:dyDescent="0.25">
      <c r="A39" t="s">
        <v>10</v>
      </c>
      <c r="B39" t="s">
        <v>51</v>
      </c>
      <c r="C39" t="s">
        <v>26</v>
      </c>
      <c r="D39" t="s">
        <v>27</v>
      </c>
      <c r="E39">
        <v>21354</v>
      </c>
      <c r="F39">
        <v>869</v>
      </c>
      <c r="H39">
        <v>0.57199842488846864</v>
      </c>
      <c r="K39">
        <v>30</v>
      </c>
    </row>
    <row r="40" spans="1:11" x14ac:dyDescent="0.25">
      <c r="A40" t="s">
        <v>10</v>
      </c>
      <c r="B40" t="s">
        <v>52</v>
      </c>
      <c r="C40" t="s">
        <v>26</v>
      </c>
      <c r="D40" t="s">
        <v>27</v>
      </c>
      <c r="E40">
        <v>21357</v>
      </c>
      <c r="F40">
        <v>2365</v>
      </c>
      <c r="H40">
        <v>0.27235633591832953</v>
      </c>
      <c r="K40">
        <v>0</v>
      </c>
    </row>
    <row r="41" spans="1:11" x14ac:dyDescent="0.25">
      <c r="A41" t="s">
        <v>10</v>
      </c>
      <c r="B41" t="s">
        <v>53</v>
      </c>
      <c r="C41" t="s">
        <v>26</v>
      </c>
      <c r="D41" t="s">
        <v>27</v>
      </c>
      <c r="E41">
        <v>21361</v>
      </c>
      <c r="F41">
        <v>123</v>
      </c>
      <c r="H41">
        <v>0.22625346434870242</v>
      </c>
      <c r="K41">
        <v>0</v>
      </c>
    </row>
    <row r="42" spans="1:11" x14ac:dyDescent="0.25">
      <c r="A42" t="s">
        <v>10</v>
      </c>
      <c r="B42" t="s">
        <v>54</v>
      </c>
      <c r="C42" t="s">
        <v>26</v>
      </c>
      <c r="D42" t="s">
        <v>27</v>
      </c>
      <c r="E42">
        <v>21364</v>
      </c>
      <c r="F42">
        <v>502</v>
      </c>
      <c r="H42">
        <v>0.5382836241544946</v>
      </c>
      <c r="K42">
        <v>0</v>
      </c>
    </row>
    <row r="43" spans="1:11" x14ac:dyDescent="0.25">
      <c r="A43" t="s">
        <v>10</v>
      </c>
      <c r="B43" t="s">
        <v>55</v>
      </c>
      <c r="C43" t="s">
        <v>26</v>
      </c>
      <c r="D43" t="s">
        <v>27</v>
      </c>
      <c r="E43">
        <v>21367</v>
      </c>
      <c r="F43">
        <v>400</v>
      </c>
      <c r="H43">
        <v>0.34386723160412302</v>
      </c>
      <c r="K43">
        <v>0</v>
      </c>
    </row>
    <row r="44" spans="1:11" x14ac:dyDescent="0.25">
      <c r="A44" t="s">
        <v>10</v>
      </c>
      <c r="B44" t="s">
        <v>56</v>
      </c>
      <c r="C44" t="s">
        <v>26</v>
      </c>
      <c r="D44" t="s">
        <v>27</v>
      </c>
      <c r="E44">
        <v>21371</v>
      </c>
      <c r="F44">
        <v>2267</v>
      </c>
      <c r="H44">
        <v>0.28210272654116542</v>
      </c>
      <c r="K44">
        <v>0</v>
      </c>
    </row>
    <row r="45" spans="1:11" x14ac:dyDescent="0.25">
      <c r="A45" t="s">
        <v>10</v>
      </c>
      <c r="B45" t="s">
        <v>57</v>
      </c>
      <c r="C45" t="s">
        <v>26</v>
      </c>
      <c r="D45" t="s">
        <v>27</v>
      </c>
      <c r="E45">
        <v>21374</v>
      </c>
      <c r="F45">
        <v>59</v>
      </c>
      <c r="H45">
        <v>0.16415035401915867</v>
      </c>
      <c r="K45">
        <v>0</v>
      </c>
    </row>
    <row r="46" spans="1:11" x14ac:dyDescent="0.25">
      <c r="A46" t="s">
        <v>10</v>
      </c>
      <c r="B46" t="s">
        <v>58</v>
      </c>
      <c r="C46" t="s">
        <v>26</v>
      </c>
      <c r="D46" t="s">
        <v>27</v>
      </c>
      <c r="E46">
        <v>21377</v>
      </c>
      <c r="F46">
        <v>33</v>
      </c>
      <c r="H46">
        <v>0.2112870655755128</v>
      </c>
      <c r="K46">
        <v>0</v>
      </c>
    </row>
    <row r="47" spans="1:11" x14ac:dyDescent="0.25">
      <c r="A47" t="s">
        <v>10</v>
      </c>
      <c r="B47" t="s">
        <v>59</v>
      </c>
      <c r="C47" t="s">
        <v>26</v>
      </c>
      <c r="D47" t="s">
        <v>27</v>
      </c>
      <c r="E47">
        <v>21381</v>
      </c>
      <c r="F47">
        <v>355</v>
      </c>
      <c r="H47">
        <v>0.2077126761510264</v>
      </c>
      <c r="K47">
        <v>0</v>
      </c>
    </row>
    <row r="48" spans="1:11" x14ac:dyDescent="0.25">
      <c r="A48" t="s">
        <v>10</v>
      </c>
      <c r="B48" t="s">
        <v>60</v>
      </c>
      <c r="C48" t="s">
        <v>26</v>
      </c>
      <c r="D48" t="s">
        <v>27</v>
      </c>
      <c r="E48">
        <v>21391</v>
      </c>
      <c r="F48">
        <v>317</v>
      </c>
      <c r="H48">
        <v>0.25581095041322299</v>
      </c>
      <c r="K48">
        <v>0</v>
      </c>
    </row>
    <row r="49" spans="1:11" x14ac:dyDescent="0.25">
      <c r="A49" t="s">
        <v>10</v>
      </c>
      <c r="B49" t="s">
        <v>61</v>
      </c>
      <c r="C49" t="s">
        <v>26</v>
      </c>
      <c r="D49" t="s">
        <v>27</v>
      </c>
      <c r="E49">
        <v>21394</v>
      </c>
      <c r="F49">
        <v>1430</v>
      </c>
      <c r="H49">
        <v>0.43083756370056747</v>
      </c>
      <c r="K49">
        <v>0</v>
      </c>
    </row>
    <row r="50" spans="1:11" x14ac:dyDescent="0.25">
      <c r="A50" t="s">
        <v>10</v>
      </c>
      <c r="B50" t="s">
        <v>62</v>
      </c>
      <c r="C50" t="s">
        <v>26</v>
      </c>
      <c r="D50" t="s">
        <v>27</v>
      </c>
      <c r="E50">
        <v>21397</v>
      </c>
      <c r="F50">
        <v>281</v>
      </c>
      <c r="H50">
        <v>0.16285580578156189</v>
      </c>
      <c r="K50">
        <v>0</v>
      </c>
    </row>
    <row r="51" spans="1:11" x14ac:dyDescent="0.25">
      <c r="A51" t="s">
        <v>10</v>
      </c>
      <c r="B51" t="s">
        <v>63</v>
      </c>
      <c r="C51" t="s">
        <v>26</v>
      </c>
      <c r="D51" t="s">
        <v>27</v>
      </c>
      <c r="E51">
        <v>21411</v>
      </c>
      <c r="F51">
        <v>3580</v>
      </c>
      <c r="H51">
        <v>0.57779234975060489</v>
      </c>
      <c r="K51">
        <v>146</v>
      </c>
    </row>
    <row r="52" spans="1:11" x14ac:dyDescent="0.25">
      <c r="A52" t="s">
        <v>10</v>
      </c>
      <c r="B52" t="s">
        <v>64</v>
      </c>
      <c r="C52" t="s">
        <v>26</v>
      </c>
      <c r="D52" t="s">
        <v>27</v>
      </c>
      <c r="E52">
        <v>21416</v>
      </c>
      <c r="F52">
        <v>946</v>
      </c>
      <c r="H52">
        <v>7.721891713238449E-3</v>
      </c>
      <c r="K52">
        <v>0</v>
      </c>
    </row>
    <row r="53" spans="1:11" x14ac:dyDescent="0.25">
      <c r="A53" t="s">
        <v>10</v>
      </c>
      <c r="B53" t="s">
        <v>65</v>
      </c>
      <c r="C53" t="s">
        <v>26</v>
      </c>
      <c r="D53" t="s">
        <v>27</v>
      </c>
      <c r="E53">
        <v>21421</v>
      </c>
      <c r="F53">
        <v>396</v>
      </c>
      <c r="H53">
        <v>2.5998894712572551E-2</v>
      </c>
      <c r="K53">
        <v>0</v>
      </c>
    </row>
    <row r="54" spans="1:11" x14ac:dyDescent="0.25">
      <c r="A54" t="s">
        <v>10</v>
      </c>
      <c r="B54" t="s">
        <v>66</v>
      </c>
      <c r="C54" t="s">
        <v>26</v>
      </c>
      <c r="D54" t="s">
        <v>27</v>
      </c>
      <c r="E54">
        <v>21426</v>
      </c>
      <c r="F54">
        <v>1360</v>
      </c>
      <c r="H54">
        <v>0.58856475547009901</v>
      </c>
      <c r="K54">
        <v>0</v>
      </c>
    </row>
    <row r="55" spans="1:11" x14ac:dyDescent="0.25">
      <c r="A55" t="s">
        <v>10</v>
      </c>
      <c r="B55" t="s">
        <v>67</v>
      </c>
      <c r="C55" t="s">
        <v>26</v>
      </c>
      <c r="D55" t="s">
        <v>27</v>
      </c>
      <c r="E55">
        <v>21431</v>
      </c>
      <c r="F55">
        <v>619</v>
      </c>
      <c r="H55">
        <v>3.2460379702431541E-2</v>
      </c>
      <c r="K55">
        <v>0</v>
      </c>
    </row>
    <row r="56" spans="1:11" x14ac:dyDescent="0.25">
      <c r="A56" t="s">
        <v>10</v>
      </c>
      <c r="B56" t="s">
        <v>68</v>
      </c>
      <c r="C56" t="s">
        <v>26</v>
      </c>
      <c r="D56" t="s">
        <v>27</v>
      </c>
      <c r="E56">
        <v>21436</v>
      </c>
      <c r="F56">
        <v>405</v>
      </c>
      <c r="H56">
        <v>0.52933556129669634</v>
      </c>
      <c r="K56">
        <v>0</v>
      </c>
    </row>
    <row r="57" spans="1:11" x14ac:dyDescent="0.25">
      <c r="A57" t="s">
        <v>10</v>
      </c>
      <c r="B57" t="s">
        <v>69</v>
      </c>
      <c r="C57" t="s">
        <v>26</v>
      </c>
      <c r="D57" t="s">
        <v>27</v>
      </c>
      <c r="E57">
        <v>21441</v>
      </c>
      <c r="F57">
        <v>701</v>
      </c>
      <c r="H57">
        <v>2.7821975992613379E-2</v>
      </c>
      <c r="K57">
        <v>68</v>
      </c>
    </row>
    <row r="58" spans="1:11" x14ac:dyDescent="0.25">
      <c r="A58" t="s">
        <v>10</v>
      </c>
      <c r="B58" t="s">
        <v>70</v>
      </c>
      <c r="C58" t="s">
        <v>26</v>
      </c>
      <c r="D58" t="s">
        <v>27</v>
      </c>
      <c r="E58">
        <v>21446</v>
      </c>
      <c r="F58">
        <v>1985</v>
      </c>
      <c r="H58">
        <v>0.5857086198124315</v>
      </c>
      <c r="K58">
        <v>0</v>
      </c>
    </row>
    <row r="59" spans="1:11" x14ac:dyDescent="0.25">
      <c r="A59" t="s">
        <v>10</v>
      </c>
      <c r="B59" t="s">
        <v>71</v>
      </c>
      <c r="C59" t="s">
        <v>26</v>
      </c>
      <c r="D59" t="s">
        <v>27</v>
      </c>
      <c r="E59">
        <v>21451</v>
      </c>
      <c r="F59">
        <v>156</v>
      </c>
      <c r="H59">
        <v>4.3749428440786442E-2</v>
      </c>
      <c r="K59">
        <v>0</v>
      </c>
    </row>
    <row r="60" spans="1:11" x14ac:dyDescent="0.25">
      <c r="A60" t="s">
        <v>10</v>
      </c>
      <c r="B60" t="s">
        <v>72</v>
      </c>
      <c r="C60" t="s">
        <v>26</v>
      </c>
      <c r="D60" t="s">
        <v>27</v>
      </c>
      <c r="E60">
        <v>21456</v>
      </c>
      <c r="F60">
        <v>2909</v>
      </c>
      <c r="H60">
        <v>0.23775131541274952</v>
      </c>
      <c r="K60">
        <v>79</v>
      </c>
    </row>
    <row r="61" spans="1:11" x14ac:dyDescent="0.25">
      <c r="A61" t="s">
        <v>10</v>
      </c>
      <c r="B61" t="s">
        <v>73</v>
      </c>
      <c r="C61" t="s">
        <v>26</v>
      </c>
      <c r="D61" t="s">
        <v>27</v>
      </c>
      <c r="E61">
        <v>21461</v>
      </c>
      <c r="F61">
        <v>186</v>
      </c>
      <c r="H61">
        <v>0.15374979625593876</v>
      </c>
      <c r="K61">
        <v>0</v>
      </c>
    </row>
    <row r="62" spans="1:11" x14ac:dyDescent="0.25">
      <c r="A62" t="s">
        <v>10</v>
      </c>
      <c r="B62" t="s">
        <v>74</v>
      </c>
      <c r="C62" t="s">
        <v>26</v>
      </c>
      <c r="D62" t="s">
        <v>27</v>
      </c>
      <c r="E62">
        <v>21466</v>
      </c>
      <c r="F62">
        <v>979</v>
      </c>
      <c r="H62">
        <v>0.56556253443526172</v>
      </c>
      <c r="K62">
        <v>0</v>
      </c>
    </row>
    <row r="63" spans="1:11" x14ac:dyDescent="0.25">
      <c r="A63" t="s">
        <v>10</v>
      </c>
      <c r="B63" t="s">
        <v>75</v>
      </c>
      <c r="C63" t="s">
        <v>26</v>
      </c>
      <c r="D63" t="s">
        <v>27</v>
      </c>
      <c r="E63">
        <v>21471</v>
      </c>
      <c r="F63">
        <v>271</v>
      </c>
      <c r="H63">
        <v>0.68269502631435364</v>
      </c>
      <c r="K63">
        <v>0</v>
      </c>
    </row>
    <row r="64" spans="1:11" x14ac:dyDescent="0.25">
      <c r="A64" t="s">
        <v>10</v>
      </c>
      <c r="B64" t="s">
        <v>76</v>
      </c>
      <c r="C64" t="s">
        <v>26</v>
      </c>
      <c r="D64" t="s">
        <v>27</v>
      </c>
      <c r="E64">
        <v>21476</v>
      </c>
      <c r="F64">
        <v>1467</v>
      </c>
      <c r="H64">
        <v>0.28657866220923667</v>
      </c>
      <c r="K64">
        <v>103</v>
      </c>
    </row>
    <row r="65" spans="1:11" x14ac:dyDescent="0.25">
      <c r="A65" t="s">
        <v>10</v>
      </c>
      <c r="B65" t="s">
        <v>77</v>
      </c>
      <c r="C65" t="s">
        <v>26</v>
      </c>
      <c r="D65" t="s">
        <v>27</v>
      </c>
      <c r="E65">
        <v>21481</v>
      </c>
      <c r="F65">
        <v>172</v>
      </c>
      <c r="H65">
        <v>0.53149284541025921</v>
      </c>
      <c r="K65">
        <v>0</v>
      </c>
    </row>
    <row r="66" spans="1:11" x14ac:dyDescent="0.25">
      <c r="A66" t="s">
        <v>10</v>
      </c>
      <c r="B66" t="s">
        <v>78</v>
      </c>
      <c r="C66" t="s">
        <v>26</v>
      </c>
      <c r="D66" t="s">
        <v>27</v>
      </c>
      <c r="E66">
        <v>21487</v>
      </c>
      <c r="F66">
        <v>64</v>
      </c>
      <c r="H66">
        <v>0.29861111111111105</v>
      </c>
      <c r="K66">
        <v>0</v>
      </c>
    </row>
    <row r="67" spans="1:11" x14ac:dyDescent="0.25">
      <c r="A67" t="s">
        <v>10</v>
      </c>
      <c r="B67" t="s">
        <v>79</v>
      </c>
      <c r="C67" t="s">
        <v>80</v>
      </c>
      <c r="D67" t="s">
        <v>27</v>
      </c>
      <c r="E67">
        <v>22411</v>
      </c>
      <c r="F67">
        <v>12796</v>
      </c>
      <c r="H67">
        <v>0.52981576810078113</v>
      </c>
      <c r="K67">
        <v>48</v>
      </c>
    </row>
    <row r="68" spans="1:11" x14ac:dyDescent="0.25">
      <c r="A68" t="s">
        <v>10</v>
      </c>
      <c r="B68" t="s">
        <v>81</v>
      </c>
      <c r="C68" t="s">
        <v>82</v>
      </c>
      <c r="D68" t="s">
        <v>83</v>
      </c>
      <c r="E68">
        <v>22443</v>
      </c>
      <c r="F68">
        <v>2449</v>
      </c>
      <c r="H68">
        <v>7.1065046221390205E-2</v>
      </c>
      <c r="K68">
        <v>0</v>
      </c>
    </row>
    <row r="69" spans="1:11" x14ac:dyDescent="0.25">
      <c r="A69" t="s">
        <v>10</v>
      </c>
      <c r="B69" t="s">
        <v>84</v>
      </c>
      <c r="C69" t="s">
        <v>85</v>
      </c>
      <c r="D69" t="s">
        <v>85</v>
      </c>
      <c r="E69">
        <v>22467</v>
      </c>
      <c r="F69">
        <v>8178</v>
      </c>
      <c r="H69">
        <v>0</v>
      </c>
      <c r="K69">
        <v>0</v>
      </c>
    </row>
    <row r="70" spans="1:11" x14ac:dyDescent="0.25">
      <c r="A70" t="s">
        <v>10</v>
      </c>
      <c r="B70" t="s">
        <v>86</v>
      </c>
      <c r="C70" t="s">
        <v>87</v>
      </c>
      <c r="D70" t="s">
        <v>88</v>
      </c>
      <c r="E70">
        <v>22764</v>
      </c>
      <c r="F70">
        <v>651</v>
      </c>
      <c r="H70">
        <v>5.7864049089605518E-2</v>
      </c>
      <c r="K70">
        <v>0</v>
      </c>
    </row>
    <row r="71" spans="1:11" x14ac:dyDescent="0.25">
      <c r="A71" t="s">
        <v>10</v>
      </c>
      <c r="B71" t="s">
        <v>89</v>
      </c>
      <c r="C71" t="s">
        <v>90</v>
      </c>
      <c r="D71" t="s">
        <v>27</v>
      </c>
      <c r="E71">
        <v>22799</v>
      </c>
      <c r="F71">
        <v>26</v>
      </c>
      <c r="H71">
        <v>0.24881589716754549</v>
      </c>
      <c r="K71">
        <v>0</v>
      </c>
    </row>
    <row r="72" spans="1:11" x14ac:dyDescent="0.25">
      <c r="A72" t="s">
        <v>10</v>
      </c>
      <c r="B72" t="s">
        <v>91</v>
      </c>
      <c r="C72" t="s">
        <v>92</v>
      </c>
      <c r="D72" t="s">
        <v>93</v>
      </c>
      <c r="E72">
        <v>23263</v>
      </c>
      <c r="F72">
        <v>126</v>
      </c>
      <c r="H72">
        <v>0.15919657147547328</v>
      </c>
      <c r="K72">
        <v>0</v>
      </c>
    </row>
    <row r="73" spans="1:11" x14ac:dyDescent="0.25">
      <c r="A73" t="s">
        <v>10</v>
      </c>
      <c r="B73" t="s">
        <v>94</v>
      </c>
      <c r="C73" t="s">
        <v>95</v>
      </c>
      <c r="D73" t="s">
        <v>96</v>
      </c>
      <c r="E73">
        <v>23356</v>
      </c>
      <c r="F73">
        <v>101</v>
      </c>
      <c r="H73">
        <v>3.7005792432027285E-2</v>
      </c>
      <c r="K73">
        <v>0</v>
      </c>
    </row>
    <row r="74" spans="1:11" x14ac:dyDescent="0.25">
      <c r="A74" t="s">
        <v>10</v>
      </c>
      <c r="B74" t="s">
        <v>97</v>
      </c>
      <c r="C74" t="s">
        <v>26</v>
      </c>
      <c r="D74" t="s">
        <v>27</v>
      </c>
      <c r="E74">
        <v>23386</v>
      </c>
      <c r="F74">
        <v>1826</v>
      </c>
      <c r="H74">
        <v>0.49316568047337273</v>
      </c>
      <c r="K74">
        <v>148</v>
      </c>
    </row>
    <row r="75" spans="1:11" x14ac:dyDescent="0.25">
      <c r="A75" t="s">
        <v>10</v>
      </c>
      <c r="B75" t="s">
        <v>98</v>
      </c>
      <c r="C75" t="s">
        <v>85</v>
      </c>
      <c r="D75" t="s">
        <v>85</v>
      </c>
      <c r="E75">
        <v>23451</v>
      </c>
      <c r="F75">
        <v>1687</v>
      </c>
      <c r="H75">
        <v>7.336643153374045E-2</v>
      </c>
      <c r="K75">
        <v>0</v>
      </c>
    </row>
    <row r="76" spans="1:11" x14ac:dyDescent="0.25">
      <c r="A76" t="s">
        <v>10</v>
      </c>
      <c r="B76" t="s">
        <v>99</v>
      </c>
      <c r="C76" t="s">
        <v>100</v>
      </c>
      <c r="D76" t="s">
        <v>96</v>
      </c>
      <c r="E76">
        <v>23625</v>
      </c>
      <c r="F76">
        <v>4064</v>
      </c>
      <c r="H76">
        <v>0.67451124732087409</v>
      </c>
      <c r="K76">
        <v>106</v>
      </c>
    </row>
    <row r="77" spans="1:11" x14ac:dyDescent="0.25">
      <c r="A77" t="s">
        <v>10</v>
      </c>
      <c r="B77" t="s">
        <v>101</v>
      </c>
      <c r="C77" t="s">
        <v>26</v>
      </c>
      <c r="D77" t="s">
        <v>27</v>
      </c>
      <c r="E77">
        <v>23643</v>
      </c>
      <c r="F77">
        <v>1742</v>
      </c>
      <c r="H77">
        <v>0.15188233500990711</v>
      </c>
      <c r="K77">
        <v>0</v>
      </c>
    </row>
    <row r="78" spans="1:11" x14ac:dyDescent="0.25">
      <c r="A78" t="s">
        <v>10</v>
      </c>
      <c r="B78" t="s">
        <v>102</v>
      </c>
      <c r="C78" t="s">
        <v>80</v>
      </c>
      <c r="D78" t="s">
        <v>27</v>
      </c>
      <c r="E78">
        <v>24111</v>
      </c>
      <c r="F78">
        <v>98172</v>
      </c>
      <c r="H78">
        <v>0.58764193681026389</v>
      </c>
      <c r="K78">
        <v>0</v>
      </c>
    </row>
    <row r="79" spans="1:11" x14ac:dyDescent="0.25">
      <c r="A79" t="s">
        <v>10</v>
      </c>
      <c r="B79" t="s">
        <v>103</v>
      </c>
      <c r="C79" t="s">
        <v>80</v>
      </c>
      <c r="D79" t="s">
        <v>27</v>
      </c>
      <c r="E79">
        <v>24133</v>
      </c>
      <c r="F79">
        <v>39237</v>
      </c>
      <c r="H79">
        <v>0.60393276186983125</v>
      </c>
      <c r="K79">
        <v>4439</v>
      </c>
    </row>
    <row r="80" spans="1:11" x14ac:dyDescent="0.25">
      <c r="A80" t="s">
        <v>10</v>
      </c>
      <c r="B80" t="s">
        <v>104</v>
      </c>
      <c r="C80" t="s">
        <v>80</v>
      </c>
      <c r="D80" t="s">
        <v>27</v>
      </c>
      <c r="E80">
        <v>24155</v>
      </c>
      <c r="F80">
        <v>7357</v>
      </c>
      <c r="H80">
        <v>0.22964958586052397</v>
      </c>
      <c r="K80">
        <v>1370</v>
      </c>
    </row>
    <row r="81" spans="1:11" x14ac:dyDescent="0.25">
      <c r="A81" t="s">
        <v>10</v>
      </c>
      <c r="B81" t="s">
        <v>105</v>
      </c>
      <c r="C81" t="s">
        <v>80</v>
      </c>
      <c r="D81" t="s">
        <v>27</v>
      </c>
      <c r="E81">
        <v>24177</v>
      </c>
      <c r="F81">
        <v>3233</v>
      </c>
      <c r="H81">
        <v>0.39984978920891368</v>
      </c>
      <c r="K81">
        <v>0</v>
      </c>
    </row>
    <row r="82" spans="1:11" x14ac:dyDescent="0.25">
      <c r="A82" t="s">
        <v>10</v>
      </c>
      <c r="B82" t="s">
        <v>106</v>
      </c>
      <c r="C82" t="s">
        <v>80</v>
      </c>
      <c r="D82" t="s">
        <v>27</v>
      </c>
      <c r="E82">
        <v>24211</v>
      </c>
      <c r="F82">
        <v>20774</v>
      </c>
      <c r="H82">
        <v>0.16942060143932092</v>
      </c>
      <c r="K82">
        <v>273</v>
      </c>
    </row>
    <row r="83" spans="1:11" x14ac:dyDescent="0.25">
      <c r="A83" t="s">
        <v>10</v>
      </c>
      <c r="B83" t="s">
        <v>107</v>
      </c>
      <c r="C83" t="s">
        <v>90</v>
      </c>
      <c r="D83" t="s">
        <v>27</v>
      </c>
      <c r="E83">
        <v>25327</v>
      </c>
      <c r="F83">
        <v>1034</v>
      </c>
      <c r="H83">
        <v>0.18909695027886564</v>
      </c>
      <c r="K83">
        <v>0</v>
      </c>
    </row>
    <row r="84" spans="1:11" x14ac:dyDescent="0.25">
      <c r="A84" t="s">
        <v>10</v>
      </c>
      <c r="B84" t="s">
        <v>108</v>
      </c>
      <c r="C84" t="s">
        <v>80</v>
      </c>
      <c r="D84" t="s">
        <v>27</v>
      </c>
      <c r="E84">
        <v>24219</v>
      </c>
      <c r="F84">
        <v>15</v>
      </c>
      <c r="H84">
        <v>0.21350368402208542</v>
      </c>
      <c r="K84">
        <v>0</v>
      </c>
    </row>
    <row r="85" spans="1:11" x14ac:dyDescent="0.25">
      <c r="A85" t="s">
        <v>10</v>
      </c>
      <c r="B85" t="s">
        <v>109</v>
      </c>
      <c r="C85" t="s">
        <v>80</v>
      </c>
      <c r="D85" t="s">
        <v>27</v>
      </c>
      <c r="E85">
        <v>24227</v>
      </c>
      <c r="F85">
        <v>1218</v>
      </c>
      <c r="H85">
        <v>3.3306051232502076E-2</v>
      </c>
      <c r="K85">
        <v>0</v>
      </c>
    </row>
    <row r="86" spans="1:11" x14ac:dyDescent="0.25">
      <c r="A86" t="s">
        <v>10</v>
      </c>
      <c r="B86" t="s">
        <v>110</v>
      </c>
      <c r="C86" t="s">
        <v>80</v>
      </c>
      <c r="D86" t="s">
        <v>27</v>
      </c>
      <c r="E86">
        <v>24235</v>
      </c>
      <c r="F86">
        <v>978</v>
      </c>
      <c r="H86">
        <v>6.6119839383785628E-2</v>
      </c>
      <c r="K86">
        <v>126</v>
      </c>
    </row>
    <row r="87" spans="1:11" x14ac:dyDescent="0.25">
      <c r="A87" t="s">
        <v>10</v>
      </c>
      <c r="B87" t="s">
        <v>111</v>
      </c>
      <c r="C87" t="s">
        <v>80</v>
      </c>
      <c r="D87" t="s">
        <v>27</v>
      </c>
      <c r="E87">
        <v>24243</v>
      </c>
      <c r="F87">
        <v>13210</v>
      </c>
      <c r="H87">
        <v>0.334129983413195</v>
      </c>
      <c r="K87">
        <v>447</v>
      </c>
    </row>
    <row r="88" spans="1:11" x14ac:dyDescent="0.25">
      <c r="A88" t="s">
        <v>10</v>
      </c>
      <c r="B88" t="s">
        <v>112</v>
      </c>
      <c r="C88" t="s">
        <v>80</v>
      </c>
      <c r="D88" t="s">
        <v>27</v>
      </c>
      <c r="E88">
        <v>24251</v>
      </c>
      <c r="F88">
        <v>242</v>
      </c>
      <c r="H88">
        <v>0.14815659487362065</v>
      </c>
      <c r="K88">
        <v>0</v>
      </c>
    </row>
    <row r="89" spans="1:11" x14ac:dyDescent="0.25">
      <c r="A89" t="s">
        <v>10</v>
      </c>
      <c r="B89" t="s">
        <v>113</v>
      </c>
      <c r="C89" t="s">
        <v>80</v>
      </c>
      <c r="D89" t="s">
        <v>27</v>
      </c>
      <c r="E89">
        <v>24259</v>
      </c>
      <c r="F89">
        <v>3884</v>
      </c>
      <c r="H89">
        <v>0.43880948159738098</v>
      </c>
      <c r="K89">
        <v>217</v>
      </c>
    </row>
    <row r="90" spans="1:11" x14ac:dyDescent="0.25">
      <c r="A90" t="s">
        <v>10</v>
      </c>
      <c r="B90" t="s">
        <v>114</v>
      </c>
      <c r="C90" t="s">
        <v>80</v>
      </c>
      <c r="D90" t="s">
        <v>27</v>
      </c>
      <c r="E90">
        <v>24267</v>
      </c>
      <c r="F90">
        <v>926</v>
      </c>
      <c r="H90">
        <v>0.18499134948096863</v>
      </c>
      <c r="K90">
        <v>0</v>
      </c>
    </row>
    <row r="91" spans="1:11" x14ac:dyDescent="0.25">
      <c r="A91" t="s">
        <v>10</v>
      </c>
      <c r="B91" t="s">
        <v>115</v>
      </c>
      <c r="C91" t="s">
        <v>80</v>
      </c>
      <c r="D91" t="s">
        <v>27</v>
      </c>
      <c r="E91">
        <v>24275</v>
      </c>
      <c r="F91">
        <v>1695</v>
      </c>
      <c r="H91">
        <v>0.21187358210282781</v>
      </c>
      <c r="K91">
        <v>0</v>
      </c>
    </row>
    <row r="92" spans="1:11" x14ac:dyDescent="0.25">
      <c r="A92" t="s">
        <v>10</v>
      </c>
      <c r="B92" t="s">
        <v>116</v>
      </c>
      <c r="C92" t="s">
        <v>80</v>
      </c>
      <c r="D92" t="s">
        <v>27</v>
      </c>
      <c r="E92">
        <v>24283</v>
      </c>
      <c r="F92">
        <v>1942</v>
      </c>
      <c r="H92">
        <v>0.23626658987082549</v>
      </c>
      <c r="K92">
        <v>0</v>
      </c>
    </row>
    <row r="93" spans="1:11" x14ac:dyDescent="0.25">
      <c r="A93" t="s">
        <v>10</v>
      </c>
      <c r="B93" t="s">
        <v>117</v>
      </c>
      <c r="C93" t="s">
        <v>80</v>
      </c>
      <c r="D93" t="s">
        <v>27</v>
      </c>
      <c r="E93">
        <v>24291</v>
      </c>
      <c r="F93">
        <v>1586</v>
      </c>
      <c r="H93">
        <v>0.23425056308875458</v>
      </c>
      <c r="K93">
        <v>0</v>
      </c>
    </row>
    <row r="94" spans="1:11" x14ac:dyDescent="0.25">
      <c r="A94" t="s">
        <v>10</v>
      </c>
      <c r="B94" t="s">
        <v>80</v>
      </c>
      <c r="C94" t="s">
        <v>80</v>
      </c>
      <c r="D94" t="s">
        <v>27</v>
      </c>
      <c r="E94">
        <v>24311</v>
      </c>
      <c r="F94">
        <v>30853</v>
      </c>
      <c r="H94">
        <v>0.50303292683352252</v>
      </c>
      <c r="K94">
        <v>779</v>
      </c>
    </row>
    <row r="95" spans="1:11" x14ac:dyDescent="0.25">
      <c r="A95" t="s">
        <v>10</v>
      </c>
      <c r="B95" t="s">
        <v>118</v>
      </c>
      <c r="C95" t="s">
        <v>80</v>
      </c>
      <c r="D95" t="s">
        <v>27</v>
      </c>
      <c r="E95">
        <v>24313</v>
      </c>
      <c r="F95">
        <v>3238</v>
      </c>
      <c r="H95">
        <v>0.2276838741811954</v>
      </c>
      <c r="K95">
        <v>0</v>
      </c>
    </row>
    <row r="96" spans="1:11" x14ac:dyDescent="0.25">
      <c r="A96" t="s">
        <v>10</v>
      </c>
      <c r="B96" t="s">
        <v>119</v>
      </c>
      <c r="C96" t="s">
        <v>80</v>
      </c>
      <c r="D96" t="s">
        <v>27</v>
      </c>
      <c r="E96">
        <v>24315</v>
      </c>
      <c r="F96">
        <v>5358</v>
      </c>
      <c r="H96">
        <v>0.23471431114984231</v>
      </c>
      <c r="K96">
        <v>467</v>
      </c>
    </row>
    <row r="97" spans="1:11" x14ac:dyDescent="0.25">
      <c r="A97" t="s">
        <v>10</v>
      </c>
      <c r="B97" t="s">
        <v>120</v>
      </c>
      <c r="C97" t="s">
        <v>26</v>
      </c>
      <c r="D97" t="s">
        <v>27</v>
      </c>
      <c r="E97">
        <v>24317</v>
      </c>
      <c r="F97">
        <v>622</v>
      </c>
      <c r="H97">
        <v>0.77935209808027484</v>
      </c>
      <c r="K97">
        <v>0</v>
      </c>
    </row>
    <row r="98" spans="1:11" x14ac:dyDescent="0.25">
      <c r="A98" t="s">
        <v>10</v>
      </c>
      <c r="B98" t="s">
        <v>121</v>
      </c>
      <c r="C98" t="s">
        <v>80</v>
      </c>
      <c r="D98" t="s">
        <v>27</v>
      </c>
      <c r="E98">
        <v>24319</v>
      </c>
      <c r="F98">
        <v>586</v>
      </c>
      <c r="H98">
        <v>0.63447622816439597</v>
      </c>
      <c r="K98">
        <v>0</v>
      </c>
    </row>
    <row r="99" spans="1:11" x14ac:dyDescent="0.25">
      <c r="A99" t="s">
        <v>10</v>
      </c>
      <c r="B99" t="s">
        <v>122</v>
      </c>
      <c r="C99" t="s">
        <v>80</v>
      </c>
      <c r="D99" t="s">
        <v>27</v>
      </c>
      <c r="E99">
        <v>24321</v>
      </c>
      <c r="F99">
        <v>836</v>
      </c>
      <c r="H99">
        <v>0.38863207716303905</v>
      </c>
      <c r="K99">
        <v>0</v>
      </c>
    </row>
    <row r="100" spans="1:11" x14ac:dyDescent="0.25">
      <c r="A100" t="s">
        <v>10</v>
      </c>
      <c r="B100" t="s">
        <v>123</v>
      </c>
      <c r="C100" t="s">
        <v>80</v>
      </c>
      <c r="D100" t="s">
        <v>27</v>
      </c>
      <c r="E100">
        <v>24323</v>
      </c>
      <c r="F100">
        <v>1408</v>
      </c>
      <c r="H100">
        <v>0.33267707859782447</v>
      </c>
      <c r="K100">
        <v>156</v>
      </c>
    </row>
    <row r="101" spans="1:11" x14ac:dyDescent="0.25">
      <c r="A101" t="s">
        <v>10</v>
      </c>
      <c r="B101" t="s">
        <v>124</v>
      </c>
      <c r="C101" t="s">
        <v>80</v>
      </c>
      <c r="D101" t="s">
        <v>27</v>
      </c>
      <c r="E101">
        <v>24325</v>
      </c>
      <c r="F101">
        <v>528</v>
      </c>
      <c r="H101">
        <v>0.45520934362406928</v>
      </c>
      <c r="K101">
        <v>0</v>
      </c>
    </row>
    <row r="102" spans="1:11" x14ac:dyDescent="0.25">
      <c r="A102" t="s">
        <v>10</v>
      </c>
      <c r="B102" t="s">
        <v>125</v>
      </c>
      <c r="C102" t="s">
        <v>80</v>
      </c>
      <c r="D102" t="s">
        <v>27</v>
      </c>
      <c r="E102">
        <v>24327</v>
      </c>
      <c r="F102">
        <v>18</v>
      </c>
      <c r="H102">
        <v>0.17458335943395942</v>
      </c>
      <c r="K102">
        <v>0</v>
      </c>
    </row>
    <row r="103" spans="1:11" x14ac:dyDescent="0.25">
      <c r="A103" t="s">
        <v>10</v>
      </c>
      <c r="B103" t="s">
        <v>126</v>
      </c>
      <c r="C103" t="s">
        <v>80</v>
      </c>
      <c r="D103" t="s">
        <v>27</v>
      </c>
      <c r="E103">
        <v>24329</v>
      </c>
      <c r="F103">
        <v>1776</v>
      </c>
      <c r="H103">
        <v>0.10927977347236495</v>
      </c>
      <c r="K103">
        <v>236</v>
      </c>
    </row>
    <row r="104" spans="1:11" x14ac:dyDescent="0.25">
      <c r="A104" t="s">
        <v>10</v>
      </c>
      <c r="B104" t="s">
        <v>127</v>
      </c>
      <c r="C104" t="s">
        <v>80</v>
      </c>
      <c r="D104" t="s">
        <v>27</v>
      </c>
      <c r="E104">
        <v>24331</v>
      </c>
      <c r="F104">
        <v>1290</v>
      </c>
      <c r="H104">
        <v>0.71806033990888452</v>
      </c>
      <c r="K104">
        <v>0</v>
      </c>
    </row>
    <row r="105" spans="1:11" x14ac:dyDescent="0.25">
      <c r="A105" t="s">
        <v>10</v>
      </c>
      <c r="B105" t="s">
        <v>128</v>
      </c>
      <c r="C105" t="s">
        <v>80</v>
      </c>
      <c r="D105" t="s">
        <v>27</v>
      </c>
      <c r="E105">
        <v>24333</v>
      </c>
      <c r="F105">
        <v>94</v>
      </c>
      <c r="H105">
        <v>0.35413194444444474</v>
      </c>
      <c r="K105">
        <v>0</v>
      </c>
    </row>
    <row r="106" spans="1:11" x14ac:dyDescent="0.25">
      <c r="A106" t="s">
        <v>10</v>
      </c>
      <c r="B106" t="s">
        <v>129</v>
      </c>
      <c r="C106" t="s">
        <v>80</v>
      </c>
      <c r="D106" t="s">
        <v>27</v>
      </c>
      <c r="E106">
        <v>24335</v>
      </c>
      <c r="F106">
        <v>59</v>
      </c>
      <c r="H106">
        <v>0.42939936841919613</v>
      </c>
      <c r="K106">
        <v>0</v>
      </c>
    </row>
    <row r="107" spans="1:11" x14ac:dyDescent="0.25">
      <c r="A107" t="s">
        <v>10</v>
      </c>
      <c r="B107" t="s">
        <v>130</v>
      </c>
      <c r="C107" t="s">
        <v>80</v>
      </c>
      <c r="D107" t="s">
        <v>27</v>
      </c>
      <c r="E107">
        <v>24337</v>
      </c>
      <c r="F107">
        <v>3356</v>
      </c>
      <c r="H107">
        <v>0.13329759250505158</v>
      </c>
      <c r="K107">
        <v>335</v>
      </c>
    </row>
    <row r="108" spans="1:11" x14ac:dyDescent="0.25">
      <c r="A108" t="s">
        <v>10</v>
      </c>
      <c r="B108" t="s">
        <v>131</v>
      </c>
      <c r="C108" t="s">
        <v>80</v>
      </c>
      <c r="D108" t="s">
        <v>27</v>
      </c>
      <c r="E108">
        <v>24339</v>
      </c>
      <c r="F108">
        <v>516</v>
      </c>
      <c r="H108">
        <v>0.68790137910848648</v>
      </c>
      <c r="K108">
        <v>44</v>
      </c>
    </row>
    <row r="109" spans="1:11" x14ac:dyDescent="0.25">
      <c r="A109" t="s">
        <v>10</v>
      </c>
      <c r="B109" t="s">
        <v>132</v>
      </c>
      <c r="C109" t="s">
        <v>92</v>
      </c>
      <c r="D109" t="s">
        <v>93</v>
      </c>
      <c r="E109" s="4">
        <v>63221</v>
      </c>
      <c r="F109">
        <v>364</v>
      </c>
      <c r="H109">
        <v>0.31286658986103966</v>
      </c>
      <c r="K109">
        <v>0</v>
      </c>
    </row>
    <row r="110" spans="1:11" x14ac:dyDescent="0.25">
      <c r="A110" t="s">
        <v>10</v>
      </c>
      <c r="B110" t="s">
        <v>133</v>
      </c>
      <c r="C110" t="s">
        <v>80</v>
      </c>
      <c r="D110" t="s">
        <v>27</v>
      </c>
      <c r="E110">
        <v>24343</v>
      </c>
      <c r="F110">
        <v>9516</v>
      </c>
      <c r="H110">
        <v>2.0934415859368172E-2</v>
      </c>
      <c r="K110">
        <v>237</v>
      </c>
    </row>
    <row r="111" spans="1:11" x14ac:dyDescent="0.25">
      <c r="A111" t="s">
        <v>10</v>
      </c>
      <c r="B111" t="s">
        <v>134</v>
      </c>
      <c r="C111" t="s">
        <v>80</v>
      </c>
      <c r="D111" t="s">
        <v>27</v>
      </c>
      <c r="E111">
        <v>24345</v>
      </c>
      <c r="F111">
        <v>12</v>
      </c>
      <c r="H111">
        <v>0.18769701320183518</v>
      </c>
      <c r="K111">
        <v>0</v>
      </c>
    </row>
    <row r="112" spans="1:11" x14ac:dyDescent="0.25">
      <c r="A112" t="s">
        <v>10</v>
      </c>
      <c r="B112" t="s">
        <v>135</v>
      </c>
      <c r="C112" t="s">
        <v>80</v>
      </c>
      <c r="D112" t="s">
        <v>27</v>
      </c>
      <c r="E112">
        <v>24347</v>
      </c>
      <c r="F112">
        <v>132</v>
      </c>
      <c r="H112">
        <v>0.18471743609168456</v>
      </c>
      <c r="K112">
        <v>0</v>
      </c>
    </row>
    <row r="113" spans="1:11" x14ac:dyDescent="0.25">
      <c r="A113" t="s">
        <v>10</v>
      </c>
      <c r="B113" t="s">
        <v>136</v>
      </c>
      <c r="C113" t="s">
        <v>80</v>
      </c>
      <c r="D113" t="s">
        <v>27</v>
      </c>
      <c r="E113">
        <v>24349</v>
      </c>
      <c r="F113">
        <v>2323</v>
      </c>
      <c r="H113">
        <v>0.1668092202200836</v>
      </c>
      <c r="K113">
        <v>120</v>
      </c>
    </row>
    <row r="114" spans="1:11" x14ac:dyDescent="0.25">
      <c r="A114" t="s">
        <v>10</v>
      </c>
      <c r="B114" t="s">
        <v>137</v>
      </c>
      <c r="C114" t="s">
        <v>80</v>
      </c>
      <c r="D114" t="s">
        <v>27</v>
      </c>
      <c r="E114">
        <v>24351</v>
      </c>
      <c r="F114">
        <v>1310</v>
      </c>
      <c r="H114">
        <v>0.46609039643127714</v>
      </c>
      <c r="K114">
        <v>23</v>
      </c>
    </row>
    <row r="115" spans="1:11" x14ac:dyDescent="0.25">
      <c r="A115" t="s">
        <v>10</v>
      </c>
      <c r="B115" t="s">
        <v>138</v>
      </c>
      <c r="C115" t="s">
        <v>80</v>
      </c>
      <c r="D115" t="s">
        <v>27</v>
      </c>
      <c r="E115">
        <v>24353</v>
      </c>
      <c r="F115">
        <v>71</v>
      </c>
      <c r="H115">
        <v>0.27332029156020909</v>
      </c>
      <c r="K115">
        <v>0</v>
      </c>
    </row>
    <row r="116" spans="1:11" x14ac:dyDescent="0.25">
      <c r="A116" t="s">
        <v>10</v>
      </c>
      <c r="B116" t="s">
        <v>139</v>
      </c>
      <c r="C116" t="s">
        <v>80</v>
      </c>
      <c r="D116" t="s">
        <v>27</v>
      </c>
      <c r="E116">
        <v>24355</v>
      </c>
      <c r="F116">
        <v>10</v>
      </c>
      <c r="H116">
        <v>0.2172550154320988</v>
      </c>
      <c r="K116">
        <v>0</v>
      </c>
    </row>
    <row r="117" spans="1:11" x14ac:dyDescent="0.25">
      <c r="A117" t="s">
        <v>10</v>
      </c>
      <c r="B117" t="s">
        <v>140</v>
      </c>
      <c r="C117" t="s">
        <v>80</v>
      </c>
      <c r="D117" t="s">
        <v>27</v>
      </c>
      <c r="E117">
        <v>24357</v>
      </c>
      <c r="F117">
        <v>184</v>
      </c>
      <c r="H117">
        <v>0.25692203753101384</v>
      </c>
      <c r="K117">
        <v>0</v>
      </c>
    </row>
    <row r="118" spans="1:11" x14ac:dyDescent="0.25">
      <c r="A118" t="s">
        <v>10</v>
      </c>
      <c r="B118" t="s">
        <v>141</v>
      </c>
      <c r="C118" t="s">
        <v>80</v>
      </c>
      <c r="D118" t="s">
        <v>27</v>
      </c>
      <c r="E118">
        <v>24359</v>
      </c>
      <c r="F118">
        <v>471</v>
      </c>
      <c r="H118">
        <v>0.30921265129790165</v>
      </c>
      <c r="K118">
        <v>34</v>
      </c>
    </row>
    <row r="119" spans="1:11" x14ac:dyDescent="0.25">
      <c r="A119" t="s">
        <v>10</v>
      </c>
      <c r="B119" t="s">
        <v>142</v>
      </c>
      <c r="C119" t="s">
        <v>80</v>
      </c>
      <c r="D119" t="s">
        <v>27</v>
      </c>
      <c r="E119">
        <v>24361</v>
      </c>
      <c r="F119">
        <v>89</v>
      </c>
      <c r="H119">
        <v>0.22383996779418935</v>
      </c>
      <c r="K119">
        <v>0</v>
      </c>
    </row>
    <row r="120" spans="1:11" x14ac:dyDescent="0.25">
      <c r="A120" t="s">
        <v>10</v>
      </c>
      <c r="B120" t="s">
        <v>143</v>
      </c>
      <c r="C120" t="s">
        <v>80</v>
      </c>
      <c r="D120" t="s">
        <v>27</v>
      </c>
      <c r="E120">
        <v>24363</v>
      </c>
      <c r="F120">
        <v>31</v>
      </c>
      <c r="H120">
        <v>0.21460094324911938</v>
      </c>
      <c r="K120">
        <v>0</v>
      </c>
    </row>
    <row r="121" spans="1:11" x14ac:dyDescent="0.25">
      <c r="A121" t="s">
        <v>10</v>
      </c>
      <c r="B121" t="s">
        <v>144</v>
      </c>
      <c r="C121" t="s">
        <v>80</v>
      </c>
      <c r="D121" t="s">
        <v>27</v>
      </c>
      <c r="E121">
        <v>24365</v>
      </c>
      <c r="F121">
        <v>1762</v>
      </c>
      <c r="H121">
        <v>0.52303709287541778</v>
      </c>
      <c r="K121">
        <v>153</v>
      </c>
    </row>
    <row r="122" spans="1:11" x14ac:dyDescent="0.25">
      <c r="A122" t="s">
        <v>10</v>
      </c>
      <c r="B122" t="s">
        <v>145</v>
      </c>
      <c r="C122" t="s">
        <v>80</v>
      </c>
      <c r="D122" t="s">
        <v>27</v>
      </c>
      <c r="E122">
        <v>24367</v>
      </c>
      <c r="F122">
        <v>2533</v>
      </c>
      <c r="H122">
        <v>0.23995466967242496</v>
      </c>
      <c r="K122">
        <v>0</v>
      </c>
    </row>
    <row r="123" spans="1:11" x14ac:dyDescent="0.25">
      <c r="A123" t="s">
        <v>10</v>
      </c>
      <c r="B123" t="s">
        <v>146</v>
      </c>
      <c r="C123" t="s">
        <v>80</v>
      </c>
      <c r="D123" t="s">
        <v>27</v>
      </c>
      <c r="E123">
        <v>24371</v>
      </c>
      <c r="F123">
        <v>679</v>
      </c>
      <c r="H123">
        <v>0.75604649483791786</v>
      </c>
      <c r="K123">
        <v>0</v>
      </c>
    </row>
    <row r="124" spans="1:11" x14ac:dyDescent="0.25">
      <c r="A124" t="s">
        <v>10</v>
      </c>
      <c r="B124" t="s">
        <v>147</v>
      </c>
      <c r="C124" t="s">
        <v>80</v>
      </c>
      <c r="D124" t="s">
        <v>27</v>
      </c>
      <c r="E124">
        <v>24373</v>
      </c>
      <c r="F124">
        <v>40</v>
      </c>
      <c r="H124">
        <v>0.46895544192841498</v>
      </c>
      <c r="K124">
        <v>0</v>
      </c>
    </row>
    <row r="125" spans="1:11" x14ac:dyDescent="0.25">
      <c r="A125" t="s">
        <v>10</v>
      </c>
      <c r="B125" t="s">
        <v>148</v>
      </c>
      <c r="C125" t="s">
        <v>80</v>
      </c>
      <c r="D125" t="s">
        <v>27</v>
      </c>
      <c r="E125">
        <v>24375</v>
      </c>
      <c r="F125">
        <v>2423</v>
      </c>
      <c r="H125">
        <v>0.52280708369714435</v>
      </c>
      <c r="K125">
        <v>156</v>
      </c>
    </row>
    <row r="126" spans="1:11" x14ac:dyDescent="0.25">
      <c r="A126" t="s">
        <v>10</v>
      </c>
      <c r="B126" t="s">
        <v>149</v>
      </c>
      <c r="C126" t="s">
        <v>80</v>
      </c>
      <c r="D126" t="s">
        <v>27</v>
      </c>
      <c r="E126">
        <v>24377</v>
      </c>
      <c r="F126">
        <v>3206</v>
      </c>
      <c r="H126">
        <v>0.4870364992224242</v>
      </c>
      <c r="K126">
        <v>106</v>
      </c>
    </row>
    <row r="127" spans="1:11" x14ac:dyDescent="0.25">
      <c r="A127" t="s">
        <v>10</v>
      </c>
      <c r="B127" t="s">
        <v>150</v>
      </c>
      <c r="C127" t="s">
        <v>80</v>
      </c>
      <c r="D127" t="s">
        <v>27</v>
      </c>
      <c r="E127">
        <v>24411</v>
      </c>
      <c r="F127">
        <v>1583</v>
      </c>
      <c r="H127">
        <v>0.55400769853111043</v>
      </c>
      <c r="K127">
        <v>497</v>
      </c>
    </row>
    <row r="128" spans="1:11" x14ac:dyDescent="0.25">
      <c r="A128" t="s">
        <v>10</v>
      </c>
      <c r="B128" t="s">
        <v>151</v>
      </c>
      <c r="C128" t="s">
        <v>80</v>
      </c>
      <c r="D128" t="s">
        <v>27</v>
      </c>
      <c r="E128">
        <v>24417</v>
      </c>
      <c r="F128">
        <v>1849</v>
      </c>
      <c r="H128">
        <v>1.3000350749694412E-2</v>
      </c>
      <c r="K128">
        <v>0</v>
      </c>
    </row>
    <row r="129" spans="1:11" x14ac:dyDescent="0.25">
      <c r="A129" t="s">
        <v>10</v>
      </c>
      <c r="B129" t="s">
        <v>152</v>
      </c>
      <c r="C129" t="s">
        <v>80</v>
      </c>
      <c r="D129" t="s">
        <v>27</v>
      </c>
      <c r="E129">
        <v>24421</v>
      </c>
      <c r="F129">
        <v>149</v>
      </c>
      <c r="H129">
        <v>0.40421502313990743</v>
      </c>
      <c r="K129">
        <v>0</v>
      </c>
    </row>
    <row r="130" spans="1:11" x14ac:dyDescent="0.25">
      <c r="A130" t="s">
        <v>10</v>
      </c>
      <c r="B130" t="s">
        <v>153</v>
      </c>
      <c r="C130" t="s">
        <v>80</v>
      </c>
      <c r="D130" t="s">
        <v>27</v>
      </c>
      <c r="E130">
        <v>24424</v>
      </c>
      <c r="F130">
        <v>3440</v>
      </c>
      <c r="H130">
        <v>3.4167400277388071E-2</v>
      </c>
      <c r="K130">
        <v>188</v>
      </c>
    </row>
    <row r="131" spans="1:11" x14ac:dyDescent="0.25">
      <c r="A131" t="s">
        <v>10</v>
      </c>
      <c r="B131" t="s">
        <v>154</v>
      </c>
      <c r="C131" t="s">
        <v>80</v>
      </c>
      <c r="D131" t="s">
        <v>27</v>
      </c>
      <c r="E131">
        <v>24427</v>
      </c>
      <c r="F131">
        <v>2795</v>
      </c>
      <c r="H131">
        <v>0.15988236962418501</v>
      </c>
      <c r="K131">
        <v>223</v>
      </c>
    </row>
    <row r="132" spans="1:11" x14ac:dyDescent="0.25">
      <c r="A132" t="s">
        <v>10</v>
      </c>
      <c r="B132" t="s">
        <v>155</v>
      </c>
      <c r="C132" t="s">
        <v>80</v>
      </c>
      <c r="D132" t="s">
        <v>27</v>
      </c>
      <c r="E132">
        <v>24431</v>
      </c>
      <c r="F132">
        <v>46</v>
      </c>
      <c r="H132">
        <v>0.28773397052966965</v>
      </c>
      <c r="K132">
        <v>0</v>
      </c>
    </row>
    <row r="133" spans="1:11" x14ac:dyDescent="0.25">
      <c r="A133" t="s">
        <v>10</v>
      </c>
      <c r="B133" t="s">
        <v>156</v>
      </c>
      <c r="C133" t="s">
        <v>80</v>
      </c>
      <c r="D133" t="s">
        <v>27</v>
      </c>
      <c r="E133">
        <v>24434</v>
      </c>
      <c r="F133">
        <v>1147</v>
      </c>
      <c r="H133">
        <v>1.607418557352347E-2</v>
      </c>
      <c r="K133">
        <v>62</v>
      </c>
    </row>
    <row r="134" spans="1:11" x14ac:dyDescent="0.25">
      <c r="A134" t="s">
        <v>10</v>
      </c>
      <c r="B134" t="s">
        <v>157</v>
      </c>
      <c r="C134" t="s">
        <v>80</v>
      </c>
      <c r="D134" t="s">
        <v>27</v>
      </c>
      <c r="E134">
        <v>24444</v>
      </c>
      <c r="F134">
        <v>3688</v>
      </c>
      <c r="H134">
        <v>2.8343973072495476E-2</v>
      </c>
      <c r="K134">
        <v>220</v>
      </c>
    </row>
    <row r="135" spans="1:11" x14ac:dyDescent="0.25">
      <c r="A135" t="s">
        <v>10</v>
      </c>
      <c r="B135" t="s">
        <v>158</v>
      </c>
      <c r="C135" t="s">
        <v>80</v>
      </c>
      <c r="D135" t="s">
        <v>27</v>
      </c>
      <c r="E135">
        <v>24447</v>
      </c>
      <c r="F135">
        <v>2570</v>
      </c>
      <c r="H135">
        <v>0.22560611055986646</v>
      </c>
      <c r="K135">
        <v>187</v>
      </c>
    </row>
    <row r="136" spans="1:11" x14ac:dyDescent="0.25">
      <c r="A136" t="s">
        <v>10</v>
      </c>
      <c r="B136" t="s">
        <v>159</v>
      </c>
      <c r="C136" t="s">
        <v>80</v>
      </c>
      <c r="D136" t="s">
        <v>27</v>
      </c>
      <c r="E136">
        <v>24451</v>
      </c>
      <c r="F136">
        <v>1695</v>
      </c>
      <c r="H136">
        <v>0.34492873119600032</v>
      </c>
      <c r="K136">
        <v>32</v>
      </c>
    </row>
    <row r="137" spans="1:11" x14ac:dyDescent="0.25">
      <c r="A137" t="s">
        <v>10</v>
      </c>
      <c r="B137" t="s">
        <v>160</v>
      </c>
      <c r="C137" t="s">
        <v>80</v>
      </c>
      <c r="D137" t="s">
        <v>27</v>
      </c>
      <c r="E137">
        <v>24454</v>
      </c>
      <c r="F137">
        <v>1230</v>
      </c>
      <c r="H137">
        <v>2.8832225011376833E-2</v>
      </c>
      <c r="K137">
        <v>18</v>
      </c>
    </row>
    <row r="138" spans="1:11" x14ac:dyDescent="0.25">
      <c r="A138" t="s">
        <v>10</v>
      </c>
      <c r="B138" t="s">
        <v>161</v>
      </c>
      <c r="C138" t="s">
        <v>80</v>
      </c>
      <c r="D138" t="s">
        <v>27</v>
      </c>
      <c r="E138">
        <v>24457</v>
      </c>
      <c r="F138">
        <v>1516</v>
      </c>
      <c r="H138">
        <v>2.2321555365381385E-2</v>
      </c>
      <c r="K138">
        <v>72</v>
      </c>
    </row>
    <row r="139" spans="1:11" x14ac:dyDescent="0.25">
      <c r="A139" t="s">
        <v>10</v>
      </c>
      <c r="B139" t="s">
        <v>162</v>
      </c>
      <c r="C139" t="s">
        <v>80</v>
      </c>
      <c r="D139" t="s">
        <v>27</v>
      </c>
      <c r="E139">
        <v>24461</v>
      </c>
      <c r="F139">
        <v>29</v>
      </c>
      <c r="H139">
        <v>0.62918293057322039</v>
      </c>
      <c r="K139">
        <v>0</v>
      </c>
    </row>
    <row r="140" spans="1:11" x14ac:dyDescent="0.25">
      <c r="A140" t="s">
        <v>10</v>
      </c>
      <c r="B140" t="s">
        <v>163</v>
      </c>
      <c r="C140" t="s">
        <v>80</v>
      </c>
      <c r="D140" t="s">
        <v>27</v>
      </c>
      <c r="E140">
        <v>24464</v>
      </c>
      <c r="F140">
        <v>182</v>
      </c>
      <c r="H140">
        <v>0.52968768868494132</v>
      </c>
      <c r="K140">
        <v>0</v>
      </c>
    </row>
    <row r="141" spans="1:11" x14ac:dyDescent="0.25">
      <c r="A141" t="s">
        <v>10</v>
      </c>
      <c r="B141" t="s">
        <v>164</v>
      </c>
      <c r="C141" t="s">
        <v>80</v>
      </c>
      <c r="D141" t="s">
        <v>27</v>
      </c>
      <c r="E141">
        <v>24467</v>
      </c>
      <c r="F141">
        <v>1114</v>
      </c>
      <c r="H141">
        <v>0.27773848781229493</v>
      </c>
      <c r="K141">
        <v>96</v>
      </c>
    </row>
    <row r="142" spans="1:11" x14ac:dyDescent="0.25">
      <c r="A142" t="s">
        <v>10</v>
      </c>
      <c r="B142" t="s">
        <v>165</v>
      </c>
      <c r="C142" t="s">
        <v>80</v>
      </c>
      <c r="D142" t="s">
        <v>27</v>
      </c>
      <c r="E142">
        <v>24471</v>
      </c>
      <c r="F142">
        <v>609</v>
      </c>
      <c r="H142">
        <v>0</v>
      </c>
      <c r="K142">
        <v>0</v>
      </c>
    </row>
    <row r="143" spans="1:11" x14ac:dyDescent="0.25">
      <c r="A143" t="s">
        <v>10</v>
      </c>
      <c r="B143" t="s">
        <v>166</v>
      </c>
      <c r="C143" t="s">
        <v>80</v>
      </c>
      <c r="D143" t="s">
        <v>27</v>
      </c>
      <c r="E143">
        <v>24474</v>
      </c>
      <c r="F143">
        <v>24</v>
      </c>
      <c r="H143">
        <v>0.22221111111111114</v>
      </c>
      <c r="K143">
        <v>0</v>
      </c>
    </row>
    <row r="144" spans="1:11" x14ac:dyDescent="0.25">
      <c r="A144" t="s">
        <v>10</v>
      </c>
      <c r="B144" t="s">
        <v>167</v>
      </c>
      <c r="C144" t="s">
        <v>80</v>
      </c>
      <c r="D144" t="s">
        <v>27</v>
      </c>
      <c r="E144">
        <v>24477</v>
      </c>
      <c r="F144">
        <v>2699</v>
      </c>
      <c r="H144">
        <v>0.69619390996507735</v>
      </c>
      <c r="K144">
        <v>132</v>
      </c>
    </row>
    <row r="145" spans="1:11" x14ac:dyDescent="0.25">
      <c r="A145" t="s">
        <v>10</v>
      </c>
      <c r="B145" t="s">
        <v>168</v>
      </c>
      <c r="C145" t="s">
        <v>80</v>
      </c>
      <c r="D145" t="s">
        <v>27</v>
      </c>
      <c r="E145">
        <v>24484</v>
      </c>
      <c r="F145">
        <v>74</v>
      </c>
      <c r="H145">
        <v>0.56214830239927571</v>
      </c>
      <c r="K145">
        <v>0</v>
      </c>
    </row>
    <row r="146" spans="1:11" x14ac:dyDescent="0.25">
      <c r="A146" t="s">
        <v>10</v>
      </c>
      <c r="B146" t="s">
        <v>169</v>
      </c>
      <c r="C146" t="s">
        <v>90</v>
      </c>
      <c r="D146" t="s">
        <v>27</v>
      </c>
      <c r="E146">
        <v>25111</v>
      </c>
      <c r="F146">
        <v>23933</v>
      </c>
      <c r="H146">
        <v>0.54581359869532231</v>
      </c>
      <c r="K146">
        <v>0</v>
      </c>
    </row>
    <row r="147" spans="1:11" x14ac:dyDescent="0.25">
      <c r="A147" t="s">
        <v>10</v>
      </c>
      <c r="B147" s="5" t="s">
        <v>170</v>
      </c>
      <c r="C147" t="s">
        <v>90</v>
      </c>
      <c r="D147" t="s">
        <v>27</v>
      </c>
      <c r="E147" s="6">
        <v>25116</v>
      </c>
      <c r="F147">
        <v>29012</v>
      </c>
      <c r="H147">
        <v>0.47755399836734691</v>
      </c>
      <c r="K147">
        <v>0</v>
      </c>
    </row>
    <row r="148" spans="1:11" x14ac:dyDescent="0.25">
      <c r="A148" t="s">
        <v>10</v>
      </c>
      <c r="B148" t="s">
        <v>171</v>
      </c>
      <c r="C148" t="s">
        <v>90</v>
      </c>
      <c r="D148" t="s">
        <v>27</v>
      </c>
      <c r="E148">
        <v>25121</v>
      </c>
      <c r="F148">
        <v>15171</v>
      </c>
      <c r="H148">
        <v>0.52405993896194469</v>
      </c>
      <c r="K148">
        <v>138</v>
      </c>
    </row>
    <row r="149" spans="1:11" x14ac:dyDescent="0.25">
      <c r="A149" t="s">
        <v>10</v>
      </c>
      <c r="B149" t="s">
        <v>172</v>
      </c>
      <c r="C149" t="s">
        <v>90</v>
      </c>
      <c r="D149" t="s">
        <v>27</v>
      </c>
      <c r="E149">
        <v>25126</v>
      </c>
      <c r="F149">
        <v>27722</v>
      </c>
      <c r="H149">
        <v>0.43724833389207973</v>
      </c>
      <c r="K149">
        <v>0</v>
      </c>
    </row>
    <row r="150" spans="1:11" x14ac:dyDescent="0.25">
      <c r="A150" t="s">
        <v>10</v>
      </c>
      <c r="B150" t="s">
        <v>173</v>
      </c>
      <c r="C150" t="s">
        <v>90</v>
      </c>
      <c r="D150" t="s">
        <v>27</v>
      </c>
      <c r="E150">
        <v>25131</v>
      </c>
      <c r="F150">
        <v>16068</v>
      </c>
      <c r="H150">
        <v>0.4161517585322867</v>
      </c>
      <c r="K150">
        <v>75</v>
      </c>
    </row>
    <row r="151" spans="1:11" x14ac:dyDescent="0.25">
      <c r="A151" t="s">
        <v>10</v>
      </c>
      <c r="B151" t="s">
        <v>174</v>
      </c>
      <c r="C151" t="s">
        <v>90</v>
      </c>
      <c r="D151" t="s">
        <v>27</v>
      </c>
      <c r="E151">
        <v>25136</v>
      </c>
      <c r="F151">
        <v>7900</v>
      </c>
      <c r="H151">
        <v>0.20406611570247934</v>
      </c>
      <c r="K151">
        <v>0</v>
      </c>
    </row>
    <row r="152" spans="1:11" x14ac:dyDescent="0.25">
      <c r="A152" t="s">
        <v>10</v>
      </c>
      <c r="B152" t="s">
        <v>175</v>
      </c>
      <c r="C152" t="s">
        <v>90</v>
      </c>
      <c r="D152" t="s">
        <v>27</v>
      </c>
      <c r="E152">
        <v>25146</v>
      </c>
      <c r="F152">
        <v>2822</v>
      </c>
      <c r="H152">
        <v>0.17493001167584765</v>
      </c>
      <c r="K152">
        <v>0</v>
      </c>
    </row>
    <row r="153" spans="1:11" x14ac:dyDescent="0.25">
      <c r="A153" t="s">
        <v>10</v>
      </c>
      <c r="B153" t="s">
        <v>176</v>
      </c>
      <c r="C153" t="s">
        <v>90</v>
      </c>
      <c r="D153" t="s">
        <v>27</v>
      </c>
      <c r="E153">
        <v>25151</v>
      </c>
      <c r="F153">
        <v>1370</v>
      </c>
      <c r="H153">
        <v>0.25955758818902919</v>
      </c>
      <c r="K153">
        <v>0</v>
      </c>
    </row>
    <row r="154" spans="1:11" x14ac:dyDescent="0.25">
      <c r="A154" t="s">
        <v>10</v>
      </c>
      <c r="B154" t="s">
        <v>177</v>
      </c>
      <c r="C154" t="s">
        <v>90</v>
      </c>
      <c r="D154" t="s">
        <v>27</v>
      </c>
      <c r="E154">
        <v>25156</v>
      </c>
      <c r="F154">
        <v>2866</v>
      </c>
      <c r="H154">
        <v>0.15569200157399621</v>
      </c>
      <c r="K154">
        <v>0</v>
      </c>
    </row>
    <row r="155" spans="1:11" x14ac:dyDescent="0.25">
      <c r="A155" t="s">
        <v>10</v>
      </c>
      <c r="B155" t="s">
        <v>178</v>
      </c>
      <c r="C155" t="s">
        <v>90</v>
      </c>
      <c r="D155" t="s">
        <v>27</v>
      </c>
      <c r="E155">
        <v>25161</v>
      </c>
      <c r="F155">
        <v>4985</v>
      </c>
      <c r="H155">
        <v>0.14703115159591473</v>
      </c>
      <c r="K155">
        <v>0</v>
      </c>
    </row>
    <row r="156" spans="1:11" x14ac:dyDescent="0.25">
      <c r="A156" t="s">
        <v>10</v>
      </c>
      <c r="B156" t="s">
        <v>179</v>
      </c>
      <c r="C156" t="s">
        <v>90</v>
      </c>
      <c r="D156" t="s">
        <v>27</v>
      </c>
      <c r="E156">
        <v>25166</v>
      </c>
      <c r="F156">
        <v>4475</v>
      </c>
      <c r="H156">
        <v>0.18469539296860149</v>
      </c>
      <c r="K156">
        <v>0</v>
      </c>
    </row>
    <row r="157" spans="1:11" x14ac:dyDescent="0.25">
      <c r="A157" t="s">
        <v>10</v>
      </c>
      <c r="B157" t="s">
        <v>180</v>
      </c>
      <c r="C157" t="s">
        <v>90</v>
      </c>
      <c r="D157" t="s">
        <v>27</v>
      </c>
      <c r="E157">
        <v>25171</v>
      </c>
      <c r="F157">
        <v>1277</v>
      </c>
      <c r="H157">
        <v>0.15492720660350301</v>
      </c>
      <c r="K157">
        <v>0</v>
      </c>
    </row>
    <row r="158" spans="1:11" x14ac:dyDescent="0.25">
      <c r="A158" t="s">
        <v>10</v>
      </c>
      <c r="B158" t="s">
        <v>181</v>
      </c>
      <c r="C158" t="s">
        <v>90</v>
      </c>
      <c r="D158" t="s">
        <v>27</v>
      </c>
      <c r="E158">
        <v>25211</v>
      </c>
      <c r="F158">
        <v>6870</v>
      </c>
      <c r="H158">
        <v>0.31305403764420159</v>
      </c>
      <c r="K158">
        <v>190</v>
      </c>
    </row>
    <row r="159" spans="1:11" x14ac:dyDescent="0.25">
      <c r="A159" t="s">
        <v>10</v>
      </c>
      <c r="B159" t="s">
        <v>182</v>
      </c>
      <c r="C159" t="s">
        <v>90</v>
      </c>
      <c r="D159" t="s">
        <v>27</v>
      </c>
      <c r="E159">
        <v>25221</v>
      </c>
      <c r="F159">
        <v>6519</v>
      </c>
      <c r="H159">
        <v>0.4164643612101997</v>
      </c>
      <c r="K159">
        <v>0</v>
      </c>
    </row>
    <row r="160" spans="1:11" x14ac:dyDescent="0.25">
      <c r="A160" t="s">
        <v>10</v>
      </c>
      <c r="B160" t="s">
        <v>183</v>
      </c>
      <c r="C160" t="s">
        <v>90</v>
      </c>
      <c r="D160" t="s">
        <v>27</v>
      </c>
      <c r="E160">
        <v>25231</v>
      </c>
      <c r="F160">
        <v>5287</v>
      </c>
      <c r="H160">
        <v>0.25185328566190646</v>
      </c>
      <c r="K160">
        <v>0</v>
      </c>
    </row>
    <row r="161" spans="1:11" x14ac:dyDescent="0.25">
      <c r="A161" t="s">
        <v>10</v>
      </c>
      <c r="B161" t="s">
        <v>184</v>
      </c>
      <c r="C161" t="s">
        <v>92</v>
      </c>
      <c r="D161" t="s">
        <v>93</v>
      </c>
      <c r="E161">
        <v>25251</v>
      </c>
      <c r="F161">
        <v>1917</v>
      </c>
      <c r="H161">
        <v>9.449362755259072E-2</v>
      </c>
      <c r="K161">
        <v>0</v>
      </c>
    </row>
    <row r="162" spans="1:11" x14ac:dyDescent="0.25">
      <c r="A162" t="s">
        <v>10</v>
      </c>
      <c r="B162" t="s">
        <v>185</v>
      </c>
      <c r="C162" t="s">
        <v>90</v>
      </c>
      <c r="D162" t="s">
        <v>27</v>
      </c>
      <c r="E162">
        <v>25261</v>
      </c>
      <c r="F162">
        <v>3211</v>
      </c>
      <c r="H162">
        <v>0.24591883597804531</v>
      </c>
      <c r="K162">
        <v>0</v>
      </c>
    </row>
    <row r="163" spans="1:11" x14ac:dyDescent="0.25">
      <c r="A163" t="s">
        <v>10</v>
      </c>
      <c r="B163" t="s">
        <v>186</v>
      </c>
      <c r="C163" t="s">
        <v>90</v>
      </c>
      <c r="D163" t="s">
        <v>27</v>
      </c>
      <c r="E163">
        <v>25271</v>
      </c>
      <c r="F163">
        <v>2665</v>
      </c>
      <c r="H163">
        <v>0.27750297265160551</v>
      </c>
      <c r="K163">
        <v>0</v>
      </c>
    </row>
    <row r="164" spans="1:11" x14ac:dyDescent="0.25">
      <c r="A164" t="s">
        <v>10</v>
      </c>
      <c r="B164" t="s">
        <v>187</v>
      </c>
      <c r="C164" t="s">
        <v>90</v>
      </c>
      <c r="D164" t="s">
        <v>27</v>
      </c>
      <c r="E164">
        <v>25311</v>
      </c>
      <c r="F164">
        <v>11170</v>
      </c>
      <c r="H164">
        <v>0.41208068802778597</v>
      </c>
      <c r="K164">
        <v>196</v>
      </c>
    </row>
    <row r="165" spans="1:11" x14ac:dyDescent="0.25">
      <c r="A165" t="s">
        <v>10</v>
      </c>
      <c r="B165" t="s">
        <v>188</v>
      </c>
      <c r="C165" t="s">
        <v>90</v>
      </c>
      <c r="D165" t="s">
        <v>27</v>
      </c>
      <c r="E165">
        <v>25313</v>
      </c>
      <c r="F165">
        <v>1976</v>
      </c>
      <c r="H165">
        <v>0.16651235915800544</v>
      </c>
      <c r="K165">
        <v>0</v>
      </c>
    </row>
    <row r="166" spans="1:11" x14ac:dyDescent="0.25">
      <c r="A166" t="s">
        <v>10</v>
      </c>
      <c r="B166" t="s">
        <v>189</v>
      </c>
      <c r="C166" t="s">
        <v>90</v>
      </c>
      <c r="D166" t="s">
        <v>27</v>
      </c>
      <c r="E166">
        <v>25315</v>
      </c>
      <c r="F166">
        <v>787</v>
      </c>
      <c r="H166">
        <v>0.19622345208394021</v>
      </c>
      <c r="K166">
        <v>0</v>
      </c>
    </row>
    <row r="167" spans="1:11" x14ac:dyDescent="0.25">
      <c r="A167" t="s">
        <v>10</v>
      </c>
      <c r="B167" t="s">
        <v>190</v>
      </c>
      <c r="C167" t="s">
        <v>90</v>
      </c>
      <c r="D167" t="s">
        <v>27</v>
      </c>
      <c r="E167">
        <v>25317</v>
      </c>
      <c r="F167">
        <v>1508</v>
      </c>
      <c r="H167">
        <v>0.20545771798858825</v>
      </c>
      <c r="K167">
        <v>0</v>
      </c>
    </row>
    <row r="168" spans="1:11" x14ac:dyDescent="0.25">
      <c r="A168" t="s">
        <v>10</v>
      </c>
      <c r="B168" t="s">
        <v>191</v>
      </c>
      <c r="C168" t="s">
        <v>90</v>
      </c>
      <c r="D168" t="s">
        <v>27</v>
      </c>
      <c r="E168">
        <v>25319</v>
      </c>
      <c r="F168">
        <v>3249</v>
      </c>
      <c r="H168">
        <v>0.19853266853357032</v>
      </c>
      <c r="K168">
        <v>152</v>
      </c>
    </row>
    <row r="169" spans="1:11" x14ac:dyDescent="0.25">
      <c r="A169" t="s">
        <v>10</v>
      </c>
      <c r="B169" t="s">
        <v>192</v>
      </c>
      <c r="C169" t="s">
        <v>90</v>
      </c>
      <c r="D169" t="s">
        <v>27</v>
      </c>
      <c r="E169">
        <v>25321</v>
      </c>
      <c r="F169">
        <v>241</v>
      </c>
      <c r="H169">
        <v>0.14441702553184632</v>
      </c>
      <c r="K169">
        <v>0</v>
      </c>
    </row>
    <row r="170" spans="1:11" x14ac:dyDescent="0.25">
      <c r="A170" t="s">
        <v>10</v>
      </c>
      <c r="B170" t="s">
        <v>193</v>
      </c>
      <c r="C170" t="s">
        <v>90</v>
      </c>
      <c r="D170" t="s">
        <v>27</v>
      </c>
      <c r="E170">
        <v>25323</v>
      </c>
      <c r="F170">
        <v>1319</v>
      </c>
      <c r="H170">
        <v>0.29707327696809349</v>
      </c>
      <c r="K170">
        <v>0</v>
      </c>
    </row>
    <row r="171" spans="1:11" x14ac:dyDescent="0.25">
      <c r="A171" t="s">
        <v>10</v>
      </c>
      <c r="B171" t="s">
        <v>194</v>
      </c>
      <c r="C171" t="s">
        <v>90</v>
      </c>
      <c r="D171" t="s">
        <v>27</v>
      </c>
      <c r="E171">
        <v>25325</v>
      </c>
      <c r="F171">
        <v>967</v>
      </c>
      <c r="H171">
        <v>0.23821209432216595</v>
      </c>
      <c r="K171">
        <v>0</v>
      </c>
    </row>
    <row r="172" spans="1:11" x14ac:dyDescent="0.25">
      <c r="A172" t="s">
        <v>10</v>
      </c>
      <c r="B172" t="s">
        <v>195</v>
      </c>
      <c r="C172" t="s">
        <v>90</v>
      </c>
      <c r="D172" t="s">
        <v>27</v>
      </c>
      <c r="E172">
        <v>25329</v>
      </c>
      <c r="F172">
        <v>2241</v>
      </c>
      <c r="H172">
        <v>0.21612214268891117</v>
      </c>
      <c r="K172">
        <v>74</v>
      </c>
    </row>
    <row r="173" spans="1:11" x14ac:dyDescent="0.25">
      <c r="A173" t="s">
        <v>10</v>
      </c>
      <c r="B173" t="s">
        <v>196</v>
      </c>
      <c r="C173" t="s">
        <v>90</v>
      </c>
      <c r="D173" t="s">
        <v>27</v>
      </c>
      <c r="E173">
        <v>25331</v>
      </c>
      <c r="F173">
        <v>737</v>
      </c>
      <c r="H173">
        <v>0.16415978155968292</v>
      </c>
      <c r="K173">
        <v>0</v>
      </c>
    </row>
    <row r="174" spans="1:11" x14ac:dyDescent="0.25">
      <c r="A174" t="s">
        <v>10</v>
      </c>
      <c r="B174" t="s">
        <v>197</v>
      </c>
      <c r="C174" t="s">
        <v>90</v>
      </c>
      <c r="D174" t="s">
        <v>27</v>
      </c>
      <c r="E174">
        <v>25333</v>
      </c>
      <c r="F174">
        <v>635</v>
      </c>
      <c r="H174">
        <v>0.2428684807256235</v>
      </c>
      <c r="K174">
        <v>0</v>
      </c>
    </row>
    <row r="175" spans="1:11" x14ac:dyDescent="0.25">
      <c r="A175" t="s">
        <v>10</v>
      </c>
      <c r="B175" t="s">
        <v>198</v>
      </c>
      <c r="C175" t="s">
        <v>90</v>
      </c>
      <c r="D175" t="s">
        <v>27</v>
      </c>
      <c r="E175">
        <v>25337</v>
      </c>
      <c r="F175">
        <v>736</v>
      </c>
      <c r="H175">
        <v>0.65099165287493732</v>
      </c>
      <c r="K175">
        <v>0</v>
      </c>
    </row>
    <row r="176" spans="1:11" x14ac:dyDescent="0.25">
      <c r="A176" t="s">
        <v>10</v>
      </c>
      <c r="B176" t="s">
        <v>199</v>
      </c>
      <c r="C176" t="s">
        <v>90</v>
      </c>
      <c r="D176" t="s">
        <v>27</v>
      </c>
      <c r="E176">
        <v>25339</v>
      </c>
      <c r="F176">
        <v>826</v>
      </c>
      <c r="H176">
        <v>0.68632963988919671</v>
      </c>
      <c r="K176">
        <v>0</v>
      </c>
    </row>
    <row r="177" spans="1:11" x14ac:dyDescent="0.25">
      <c r="A177" t="s">
        <v>10</v>
      </c>
      <c r="B177" t="s">
        <v>200</v>
      </c>
      <c r="C177" t="s">
        <v>90</v>
      </c>
      <c r="D177" t="s">
        <v>27</v>
      </c>
      <c r="E177">
        <v>25341</v>
      </c>
      <c r="F177">
        <v>743</v>
      </c>
      <c r="H177">
        <v>9.7502972651605346E-2</v>
      </c>
      <c r="K177">
        <v>0</v>
      </c>
    </row>
    <row r="178" spans="1:11" x14ac:dyDescent="0.25">
      <c r="A178" t="s">
        <v>10</v>
      </c>
      <c r="B178" t="s">
        <v>201</v>
      </c>
      <c r="C178" t="s">
        <v>90</v>
      </c>
      <c r="D178" t="s">
        <v>27</v>
      </c>
      <c r="E178">
        <v>25343</v>
      </c>
      <c r="F178">
        <v>2612</v>
      </c>
      <c r="H178">
        <v>0.23586763787721132</v>
      </c>
      <c r="K178">
        <v>0</v>
      </c>
    </row>
    <row r="179" spans="1:11" x14ac:dyDescent="0.25">
      <c r="A179" t="s">
        <v>10</v>
      </c>
      <c r="B179" t="s">
        <v>202</v>
      </c>
      <c r="C179" t="s">
        <v>90</v>
      </c>
      <c r="D179" t="s">
        <v>27</v>
      </c>
      <c r="E179">
        <v>25345</v>
      </c>
      <c r="F179">
        <v>319</v>
      </c>
      <c r="H179">
        <v>0.1256476032392736</v>
      </c>
      <c r="K179">
        <v>0</v>
      </c>
    </row>
    <row r="180" spans="1:11" x14ac:dyDescent="0.25">
      <c r="A180" t="s">
        <v>10</v>
      </c>
      <c r="B180" t="s">
        <v>203</v>
      </c>
      <c r="C180" t="s">
        <v>90</v>
      </c>
      <c r="D180" t="s">
        <v>27</v>
      </c>
      <c r="E180">
        <v>25347</v>
      </c>
      <c r="F180">
        <v>2998</v>
      </c>
      <c r="H180">
        <v>0.22050273152965627</v>
      </c>
      <c r="K180">
        <v>118</v>
      </c>
    </row>
    <row r="181" spans="1:11" x14ac:dyDescent="0.25">
      <c r="A181" t="s">
        <v>10</v>
      </c>
      <c r="B181" t="s">
        <v>204</v>
      </c>
      <c r="C181" t="s">
        <v>90</v>
      </c>
      <c r="D181" t="s">
        <v>27</v>
      </c>
      <c r="E181">
        <v>25349</v>
      </c>
      <c r="F181">
        <v>618</v>
      </c>
      <c r="H181">
        <v>0.17746032857548566</v>
      </c>
      <c r="K181">
        <v>0</v>
      </c>
    </row>
    <row r="182" spans="1:11" x14ac:dyDescent="0.25">
      <c r="A182" t="s">
        <v>10</v>
      </c>
      <c r="B182" t="s">
        <v>205</v>
      </c>
      <c r="C182" t="s">
        <v>90</v>
      </c>
      <c r="D182" t="s">
        <v>27</v>
      </c>
      <c r="E182">
        <v>25351</v>
      </c>
      <c r="F182">
        <v>890</v>
      </c>
      <c r="H182">
        <v>0.14964399999999989</v>
      </c>
      <c r="K182">
        <v>0</v>
      </c>
    </row>
    <row r="183" spans="1:11" x14ac:dyDescent="0.25">
      <c r="A183" t="s">
        <v>10</v>
      </c>
      <c r="B183" t="s">
        <v>206</v>
      </c>
      <c r="C183" t="s">
        <v>90</v>
      </c>
      <c r="D183" t="s">
        <v>27</v>
      </c>
      <c r="E183">
        <v>25353</v>
      </c>
      <c r="F183">
        <v>984</v>
      </c>
      <c r="H183">
        <v>0.27408736540587997</v>
      </c>
      <c r="K183">
        <v>0</v>
      </c>
    </row>
    <row r="184" spans="1:11" x14ac:dyDescent="0.25">
      <c r="A184" t="s">
        <v>10</v>
      </c>
      <c r="B184" t="s">
        <v>207</v>
      </c>
      <c r="C184" t="s">
        <v>90</v>
      </c>
      <c r="D184" t="s">
        <v>27</v>
      </c>
      <c r="E184">
        <v>25355</v>
      </c>
      <c r="F184">
        <v>734</v>
      </c>
      <c r="H184">
        <v>0.19378495528425477</v>
      </c>
      <c r="K184">
        <v>0</v>
      </c>
    </row>
    <row r="185" spans="1:11" x14ac:dyDescent="0.25">
      <c r="A185" t="s">
        <v>10</v>
      </c>
      <c r="B185" t="s">
        <v>208</v>
      </c>
      <c r="C185" t="s">
        <v>90</v>
      </c>
      <c r="D185" t="s">
        <v>27</v>
      </c>
      <c r="E185">
        <v>25357</v>
      </c>
      <c r="F185">
        <v>580</v>
      </c>
      <c r="H185">
        <v>0.12366353696833154</v>
      </c>
      <c r="K185">
        <v>1350</v>
      </c>
    </row>
    <row r="186" spans="1:11" x14ac:dyDescent="0.25">
      <c r="A186" t="s">
        <v>10</v>
      </c>
      <c r="B186" t="s">
        <v>209</v>
      </c>
      <c r="C186" t="s">
        <v>90</v>
      </c>
      <c r="D186" t="s">
        <v>27</v>
      </c>
      <c r="E186">
        <v>25363</v>
      </c>
      <c r="F186">
        <v>1632</v>
      </c>
      <c r="H186">
        <v>0.24632884027309454</v>
      </c>
      <c r="K186">
        <v>0</v>
      </c>
    </row>
    <row r="187" spans="1:11" x14ac:dyDescent="0.25">
      <c r="A187" t="s">
        <v>10</v>
      </c>
      <c r="B187" t="s">
        <v>210</v>
      </c>
      <c r="C187" t="s">
        <v>90</v>
      </c>
      <c r="D187" t="s">
        <v>27</v>
      </c>
      <c r="E187">
        <v>25365</v>
      </c>
      <c r="F187">
        <v>892</v>
      </c>
      <c r="H187">
        <v>0.15858843537414979</v>
      </c>
      <c r="K187">
        <v>0</v>
      </c>
    </row>
    <row r="188" spans="1:11" x14ac:dyDescent="0.25">
      <c r="A188" t="s">
        <v>10</v>
      </c>
      <c r="B188" t="s">
        <v>211</v>
      </c>
      <c r="C188" t="s">
        <v>90</v>
      </c>
      <c r="D188" t="s">
        <v>27</v>
      </c>
      <c r="E188">
        <v>25367</v>
      </c>
      <c r="F188">
        <v>309</v>
      </c>
      <c r="H188">
        <v>0.16543895664774788</v>
      </c>
      <c r="K188">
        <v>0</v>
      </c>
    </row>
    <row r="189" spans="1:11" x14ac:dyDescent="0.25">
      <c r="A189" t="s">
        <v>10</v>
      </c>
      <c r="B189" t="s">
        <v>212</v>
      </c>
      <c r="C189" t="s">
        <v>90</v>
      </c>
      <c r="D189" t="s">
        <v>27</v>
      </c>
      <c r="E189">
        <v>25369</v>
      </c>
      <c r="F189">
        <v>470</v>
      </c>
      <c r="H189">
        <v>0.13599840626867654</v>
      </c>
      <c r="K189">
        <v>0</v>
      </c>
    </row>
    <row r="190" spans="1:11" x14ac:dyDescent="0.25">
      <c r="A190" t="s">
        <v>10</v>
      </c>
      <c r="B190" t="s">
        <v>213</v>
      </c>
      <c r="C190" t="s">
        <v>90</v>
      </c>
      <c r="D190" t="s">
        <v>27</v>
      </c>
      <c r="E190">
        <v>25373</v>
      </c>
      <c r="F190">
        <v>1895</v>
      </c>
      <c r="H190">
        <v>0.27685016473589141</v>
      </c>
      <c r="K190">
        <v>59</v>
      </c>
    </row>
    <row r="191" spans="1:11" x14ac:dyDescent="0.25">
      <c r="A191" t="s">
        <v>10</v>
      </c>
      <c r="B191" t="s">
        <v>214</v>
      </c>
      <c r="C191" t="s">
        <v>90</v>
      </c>
      <c r="D191" t="s">
        <v>27</v>
      </c>
      <c r="E191">
        <v>25375</v>
      </c>
      <c r="F191">
        <v>549</v>
      </c>
      <c r="H191">
        <v>0.36736606553045315</v>
      </c>
      <c r="K191">
        <v>76</v>
      </c>
    </row>
    <row r="192" spans="1:11" x14ac:dyDescent="0.25">
      <c r="A192" t="s">
        <v>10</v>
      </c>
      <c r="B192" t="s">
        <v>215</v>
      </c>
      <c r="C192" t="s">
        <v>90</v>
      </c>
      <c r="D192" t="s">
        <v>27</v>
      </c>
      <c r="E192">
        <v>25391</v>
      </c>
      <c r="F192">
        <v>71</v>
      </c>
      <c r="H192">
        <v>0.12575841147269728</v>
      </c>
      <c r="K192">
        <v>0</v>
      </c>
    </row>
    <row r="193" spans="1:11" x14ac:dyDescent="0.25">
      <c r="A193" t="s">
        <v>10</v>
      </c>
      <c r="B193" t="s">
        <v>216</v>
      </c>
      <c r="C193" t="s">
        <v>90</v>
      </c>
      <c r="D193" t="s">
        <v>27</v>
      </c>
      <c r="E193">
        <v>25411</v>
      </c>
      <c r="F193">
        <v>1973</v>
      </c>
      <c r="H193">
        <v>0.23319739693560326</v>
      </c>
      <c r="K193">
        <v>0</v>
      </c>
    </row>
    <row r="194" spans="1:11" x14ac:dyDescent="0.25">
      <c r="A194" t="s">
        <v>10</v>
      </c>
      <c r="B194" t="s">
        <v>217</v>
      </c>
      <c r="C194" t="s">
        <v>90</v>
      </c>
      <c r="D194" t="s">
        <v>27</v>
      </c>
      <c r="E194">
        <v>25423</v>
      </c>
      <c r="F194">
        <v>6715</v>
      </c>
      <c r="H194">
        <v>0.21743872827321153</v>
      </c>
      <c r="K194">
        <v>125</v>
      </c>
    </row>
    <row r="195" spans="1:11" x14ac:dyDescent="0.25">
      <c r="A195" t="s">
        <v>10</v>
      </c>
      <c r="B195" t="s">
        <v>218</v>
      </c>
      <c r="C195" t="s">
        <v>90</v>
      </c>
      <c r="D195" t="s">
        <v>27</v>
      </c>
      <c r="E195">
        <v>25427</v>
      </c>
      <c r="F195">
        <v>2170</v>
      </c>
      <c r="H195">
        <v>0.21129189753412991</v>
      </c>
      <c r="K195">
        <v>0</v>
      </c>
    </row>
    <row r="196" spans="1:11" x14ac:dyDescent="0.25">
      <c r="A196" t="s">
        <v>10</v>
      </c>
      <c r="B196" t="s">
        <v>219</v>
      </c>
      <c r="C196" t="s">
        <v>90</v>
      </c>
      <c r="D196" t="s">
        <v>27</v>
      </c>
      <c r="E196">
        <v>25431</v>
      </c>
      <c r="F196">
        <v>980</v>
      </c>
      <c r="H196">
        <v>0.10620937499999983</v>
      </c>
      <c r="K196">
        <v>0</v>
      </c>
    </row>
    <row r="197" spans="1:11" x14ac:dyDescent="0.25">
      <c r="A197" t="s">
        <v>10</v>
      </c>
      <c r="B197" t="s">
        <v>220</v>
      </c>
      <c r="C197" t="s">
        <v>90</v>
      </c>
      <c r="D197" t="s">
        <v>27</v>
      </c>
      <c r="E197">
        <v>25435</v>
      </c>
      <c r="F197">
        <v>1747</v>
      </c>
      <c r="H197">
        <v>0.11123852003700729</v>
      </c>
      <c r="K197">
        <v>0</v>
      </c>
    </row>
    <row r="198" spans="1:11" x14ac:dyDescent="0.25">
      <c r="A198" t="s">
        <v>10</v>
      </c>
      <c r="B198" t="s">
        <v>221</v>
      </c>
      <c r="C198" t="s">
        <v>90</v>
      </c>
      <c r="D198" t="s">
        <v>27</v>
      </c>
      <c r="E198">
        <v>25439</v>
      </c>
      <c r="F198">
        <v>12009</v>
      </c>
      <c r="H198">
        <v>0.18132679173833066</v>
      </c>
      <c r="K198">
        <v>0</v>
      </c>
    </row>
    <row r="199" spans="1:11" x14ac:dyDescent="0.25">
      <c r="A199" t="s">
        <v>10</v>
      </c>
      <c r="B199" t="s">
        <v>222</v>
      </c>
      <c r="C199" t="s">
        <v>90</v>
      </c>
      <c r="D199" t="s">
        <v>27</v>
      </c>
      <c r="E199">
        <v>25443</v>
      </c>
      <c r="F199">
        <v>567</v>
      </c>
      <c r="H199">
        <v>0.20730027548209373</v>
      </c>
      <c r="K199">
        <v>0</v>
      </c>
    </row>
    <row r="200" spans="1:11" x14ac:dyDescent="0.25">
      <c r="A200" t="s">
        <v>10</v>
      </c>
      <c r="B200" t="s">
        <v>223</v>
      </c>
      <c r="C200" t="s">
        <v>90</v>
      </c>
      <c r="D200" t="s">
        <v>27</v>
      </c>
      <c r="E200">
        <v>25451</v>
      </c>
      <c r="F200">
        <v>975</v>
      </c>
      <c r="H200">
        <v>0.17946336008573205</v>
      </c>
      <c r="K200">
        <v>0</v>
      </c>
    </row>
    <row r="201" spans="1:11" x14ac:dyDescent="0.25">
      <c r="A201" t="s">
        <v>10</v>
      </c>
      <c r="B201" t="s">
        <v>224</v>
      </c>
      <c r="C201" t="s">
        <v>90</v>
      </c>
      <c r="D201" t="s">
        <v>27</v>
      </c>
      <c r="E201">
        <v>25455</v>
      </c>
      <c r="F201">
        <v>933</v>
      </c>
      <c r="H201">
        <v>0.18519591836734672</v>
      </c>
      <c r="K201">
        <v>0</v>
      </c>
    </row>
    <row r="202" spans="1:11" x14ac:dyDescent="0.25">
      <c r="A202" t="s">
        <v>10</v>
      </c>
      <c r="B202" t="s">
        <v>225</v>
      </c>
      <c r="C202" t="s">
        <v>90</v>
      </c>
      <c r="D202" t="s">
        <v>27</v>
      </c>
      <c r="E202">
        <v>25459</v>
      </c>
      <c r="F202">
        <v>1825</v>
      </c>
      <c r="H202">
        <v>0.15969612778246578</v>
      </c>
      <c r="K202">
        <v>0</v>
      </c>
    </row>
    <row r="203" spans="1:11" x14ac:dyDescent="0.25">
      <c r="A203" t="s">
        <v>10</v>
      </c>
      <c r="B203" t="s">
        <v>226</v>
      </c>
      <c r="C203" t="s">
        <v>227</v>
      </c>
      <c r="D203" t="s">
        <v>27</v>
      </c>
      <c r="E203">
        <v>26221</v>
      </c>
      <c r="F203">
        <v>328</v>
      </c>
      <c r="H203">
        <v>0.61048446745562124</v>
      </c>
      <c r="K203">
        <v>24</v>
      </c>
    </row>
    <row r="204" spans="1:11" x14ac:dyDescent="0.25">
      <c r="A204" t="s">
        <v>10</v>
      </c>
      <c r="B204" t="s">
        <v>228</v>
      </c>
      <c r="C204" t="s">
        <v>90</v>
      </c>
      <c r="D204" t="s">
        <v>27</v>
      </c>
      <c r="E204">
        <v>25463</v>
      </c>
      <c r="F204">
        <v>542</v>
      </c>
      <c r="H204">
        <v>0.14067119054017729</v>
      </c>
      <c r="K204">
        <v>0</v>
      </c>
    </row>
    <row r="205" spans="1:11" x14ac:dyDescent="0.25">
      <c r="A205" t="s">
        <v>10</v>
      </c>
      <c r="B205" t="s">
        <v>229</v>
      </c>
      <c r="C205" t="s">
        <v>90</v>
      </c>
      <c r="D205" t="s">
        <v>27</v>
      </c>
      <c r="E205">
        <v>25471</v>
      </c>
      <c r="F205">
        <v>5427</v>
      </c>
      <c r="H205">
        <v>0.12627236281179133</v>
      </c>
      <c r="K205">
        <v>61</v>
      </c>
    </row>
    <row r="206" spans="1:11" x14ac:dyDescent="0.25">
      <c r="A206" t="s">
        <v>10</v>
      </c>
      <c r="B206" t="s">
        <v>230</v>
      </c>
      <c r="C206" t="s">
        <v>90</v>
      </c>
      <c r="D206" t="s">
        <v>27</v>
      </c>
      <c r="E206">
        <v>25475</v>
      </c>
      <c r="F206">
        <v>4577</v>
      </c>
      <c r="H206">
        <v>0.14474669421487585</v>
      </c>
      <c r="K206">
        <v>0</v>
      </c>
    </row>
    <row r="207" spans="1:11" x14ac:dyDescent="0.25">
      <c r="A207" t="s">
        <v>10</v>
      </c>
      <c r="B207" t="s">
        <v>231</v>
      </c>
      <c r="C207" t="s">
        <v>90</v>
      </c>
      <c r="D207" t="s">
        <v>27</v>
      </c>
      <c r="E207">
        <v>25479</v>
      </c>
      <c r="F207">
        <v>242</v>
      </c>
      <c r="H207">
        <v>0.12124520590129062</v>
      </c>
      <c r="K207">
        <v>0</v>
      </c>
    </row>
    <row r="208" spans="1:11" x14ac:dyDescent="0.25">
      <c r="A208" t="s">
        <v>10</v>
      </c>
      <c r="B208" t="s">
        <v>227</v>
      </c>
      <c r="C208" t="s">
        <v>227</v>
      </c>
      <c r="D208" t="s">
        <v>27</v>
      </c>
      <c r="E208">
        <v>26111</v>
      </c>
      <c r="F208">
        <v>22391</v>
      </c>
      <c r="H208">
        <v>0.55023315036195175</v>
      </c>
      <c r="K208">
        <v>441</v>
      </c>
    </row>
    <row r="209" spans="1:11" x14ac:dyDescent="0.25">
      <c r="A209" t="s">
        <v>10</v>
      </c>
      <c r="B209" t="s">
        <v>232</v>
      </c>
      <c r="C209" t="s">
        <v>227</v>
      </c>
      <c r="D209" t="s">
        <v>27</v>
      </c>
      <c r="E209">
        <v>26129</v>
      </c>
      <c r="F209">
        <v>13732</v>
      </c>
      <c r="H209">
        <v>0.19271192416450089</v>
      </c>
      <c r="K209">
        <v>0</v>
      </c>
    </row>
    <row r="210" spans="1:11" x14ac:dyDescent="0.25">
      <c r="A210" t="s">
        <v>10</v>
      </c>
      <c r="B210" t="s">
        <v>233</v>
      </c>
      <c r="C210" t="s">
        <v>234</v>
      </c>
      <c r="D210" t="s">
        <v>88</v>
      </c>
      <c r="E210">
        <v>73135</v>
      </c>
      <c r="F210">
        <v>455</v>
      </c>
      <c r="H210">
        <v>0.25647038922390153</v>
      </c>
      <c r="K210">
        <v>0</v>
      </c>
    </row>
    <row r="211" spans="1:11" x14ac:dyDescent="0.25">
      <c r="A211" t="s">
        <v>10</v>
      </c>
      <c r="B211" t="s">
        <v>235</v>
      </c>
      <c r="C211" t="s">
        <v>227</v>
      </c>
      <c r="D211" t="s">
        <v>27</v>
      </c>
      <c r="E211">
        <v>26135</v>
      </c>
      <c r="F211">
        <v>1756</v>
      </c>
      <c r="H211">
        <v>0.24356234933158016</v>
      </c>
      <c r="K211">
        <v>52</v>
      </c>
    </row>
    <row r="212" spans="1:11" x14ac:dyDescent="0.25">
      <c r="A212" t="s">
        <v>10</v>
      </c>
      <c r="B212" t="s">
        <v>236</v>
      </c>
      <c r="C212" t="s">
        <v>227</v>
      </c>
      <c r="D212" t="s">
        <v>27</v>
      </c>
      <c r="E212">
        <v>26141</v>
      </c>
      <c r="F212">
        <v>21613</v>
      </c>
      <c r="H212">
        <v>0.28751343430901721</v>
      </c>
      <c r="K212">
        <v>122</v>
      </c>
    </row>
    <row r="213" spans="1:11" x14ac:dyDescent="0.25">
      <c r="A213" t="s">
        <v>10</v>
      </c>
      <c r="B213" t="s">
        <v>237</v>
      </c>
      <c r="C213" t="s">
        <v>227</v>
      </c>
      <c r="D213" t="s">
        <v>27</v>
      </c>
      <c r="E213">
        <v>26147</v>
      </c>
      <c r="F213">
        <v>9722</v>
      </c>
      <c r="H213">
        <v>0.18938685121107257</v>
      </c>
      <c r="K213">
        <v>52</v>
      </c>
    </row>
    <row r="214" spans="1:11" x14ac:dyDescent="0.25">
      <c r="A214" t="s">
        <v>10</v>
      </c>
      <c r="B214" t="s">
        <v>238</v>
      </c>
      <c r="C214" t="s">
        <v>227</v>
      </c>
      <c r="D214" t="s">
        <v>27</v>
      </c>
      <c r="E214">
        <v>26153</v>
      </c>
      <c r="F214">
        <v>1408</v>
      </c>
      <c r="H214">
        <v>0.21164712743067415</v>
      </c>
      <c r="K214">
        <v>0</v>
      </c>
    </row>
    <row r="215" spans="1:11" x14ac:dyDescent="0.25">
      <c r="A215" t="s">
        <v>10</v>
      </c>
      <c r="B215" t="s">
        <v>239</v>
      </c>
      <c r="C215" t="s">
        <v>227</v>
      </c>
      <c r="D215" t="s">
        <v>27</v>
      </c>
      <c r="E215">
        <v>26159</v>
      </c>
      <c r="F215">
        <v>304</v>
      </c>
      <c r="H215">
        <v>0.55141660285572724</v>
      </c>
      <c r="K215">
        <v>0</v>
      </c>
    </row>
    <row r="216" spans="1:11" x14ac:dyDescent="0.25">
      <c r="A216" t="s">
        <v>10</v>
      </c>
      <c r="B216" t="s">
        <v>240</v>
      </c>
      <c r="C216" t="s">
        <v>227</v>
      </c>
      <c r="D216" t="s">
        <v>27</v>
      </c>
      <c r="E216">
        <v>26165</v>
      </c>
      <c r="F216">
        <v>1154</v>
      </c>
      <c r="H216">
        <v>0.58158464011851574</v>
      </c>
      <c r="K216">
        <v>0</v>
      </c>
    </row>
    <row r="217" spans="1:11" x14ac:dyDescent="0.25">
      <c r="A217" t="s">
        <v>10</v>
      </c>
      <c r="B217" t="s">
        <v>241</v>
      </c>
      <c r="C217" t="s">
        <v>227</v>
      </c>
      <c r="D217" t="s">
        <v>27</v>
      </c>
      <c r="E217">
        <v>26171</v>
      </c>
      <c r="F217">
        <v>5068</v>
      </c>
      <c r="H217">
        <v>0.16838726050614916</v>
      </c>
      <c r="K217">
        <v>0</v>
      </c>
    </row>
    <row r="218" spans="1:11" x14ac:dyDescent="0.25">
      <c r="A218" t="s">
        <v>10</v>
      </c>
      <c r="B218" t="s">
        <v>242</v>
      </c>
      <c r="C218" t="s">
        <v>227</v>
      </c>
      <c r="D218" t="s">
        <v>27</v>
      </c>
      <c r="E218">
        <v>26177</v>
      </c>
      <c r="F218">
        <v>2084</v>
      </c>
      <c r="H218">
        <v>0.36212996603203118</v>
      </c>
      <c r="K218">
        <v>0</v>
      </c>
    </row>
    <row r="219" spans="1:11" x14ac:dyDescent="0.25">
      <c r="A219" t="s">
        <v>10</v>
      </c>
      <c r="B219" t="s">
        <v>243</v>
      </c>
      <c r="C219" t="s">
        <v>227</v>
      </c>
      <c r="D219" t="s">
        <v>27</v>
      </c>
      <c r="E219">
        <v>26189</v>
      </c>
      <c r="F219">
        <v>181</v>
      </c>
      <c r="H219">
        <v>0.13360066506919643</v>
      </c>
      <c r="K219">
        <v>0</v>
      </c>
    </row>
    <row r="220" spans="1:11" x14ac:dyDescent="0.25">
      <c r="A220" t="s">
        <v>10</v>
      </c>
      <c r="B220" t="s">
        <v>244</v>
      </c>
      <c r="C220" t="s">
        <v>227</v>
      </c>
      <c r="D220" t="s">
        <v>27</v>
      </c>
      <c r="E220">
        <v>26211</v>
      </c>
      <c r="F220">
        <v>1974</v>
      </c>
      <c r="H220">
        <v>0.10437709277326979</v>
      </c>
      <c r="K220">
        <v>0</v>
      </c>
    </row>
    <row r="221" spans="1:11" x14ac:dyDescent="0.25">
      <c r="A221" t="s">
        <v>10</v>
      </c>
      <c r="B221" t="s">
        <v>245</v>
      </c>
      <c r="C221" t="s">
        <v>227</v>
      </c>
      <c r="D221" t="s">
        <v>27</v>
      </c>
      <c r="E221">
        <v>26212</v>
      </c>
      <c r="F221">
        <v>887</v>
      </c>
      <c r="H221">
        <v>8.3916373788847087E-2</v>
      </c>
      <c r="K221">
        <v>366</v>
      </c>
    </row>
    <row r="222" spans="1:11" x14ac:dyDescent="0.25">
      <c r="A222" t="s">
        <v>10</v>
      </c>
      <c r="B222" t="s">
        <v>246</v>
      </c>
      <c r="C222" t="s">
        <v>227</v>
      </c>
      <c r="D222" t="s">
        <v>27</v>
      </c>
      <c r="E222">
        <v>26215</v>
      </c>
      <c r="F222">
        <v>968</v>
      </c>
      <c r="H222">
        <v>0.38488567113661032</v>
      </c>
      <c r="K222">
        <v>0</v>
      </c>
    </row>
    <row r="223" spans="1:11" x14ac:dyDescent="0.25">
      <c r="A223" t="s">
        <v>10</v>
      </c>
      <c r="B223" t="s">
        <v>247</v>
      </c>
      <c r="C223" t="s">
        <v>227</v>
      </c>
      <c r="D223" t="s">
        <v>27</v>
      </c>
      <c r="E223">
        <v>26217</v>
      </c>
      <c r="F223">
        <v>481</v>
      </c>
      <c r="H223">
        <v>0.55072592592592595</v>
      </c>
      <c r="K223">
        <v>116</v>
      </c>
    </row>
    <row r="224" spans="1:11" x14ac:dyDescent="0.25">
      <c r="A224" t="s">
        <v>10</v>
      </c>
      <c r="B224" t="s">
        <v>248</v>
      </c>
      <c r="C224" t="s">
        <v>227</v>
      </c>
      <c r="D224" t="s">
        <v>27</v>
      </c>
      <c r="E224">
        <v>26220</v>
      </c>
      <c r="F224">
        <v>66</v>
      </c>
      <c r="H224">
        <v>0.10683331942751439</v>
      </c>
      <c r="K224">
        <v>224</v>
      </c>
    </row>
    <row r="225" spans="1:11" x14ac:dyDescent="0.25">
      <c r="A225" t="s">
        <v>10</v>
      </c>
      <c r="B225" t="s">
        <v>249</v>
      </c>
      <c r="C225" t="s">
        <v>234</v>
      </c>
      <c r="D225" t="s">
        <v>88</v>
      </c>
      <c r="E225">
        <v>73280</v>
      </c>
      <c r="F225">
        <v>885</v>
      </c>
      <c r="H225">
        <v>3.216630520033803E-2</v>
      </c>
      <c r="K225">
        <v>0</v>
      </c>
    </row>
    <row r="226" spans="1:11" x14ac:dyDescent="0.25">
      <c r="A226" t="s">
        <v>10</v>
      </c>
      <c r="B226" t="s">
        <v>250</v>
      </c>
      <c r="C226" t="s">
        <v>227</v>
      </c>
      <c r="D226" t="s">
        <v>27</v>
      </c>
      <c r="E226">
        <v>26223</v>
      </c>
      <c r="F226">
        <v>16</v>
      </c>
      <c r="H226">
        <v>0.15284571128726965</v>
      </c>
      <c r="K226">
        <v>12</v>
      </c>
    </row>
    <row r="227" spans="1:11" x14ac:dyDescent="0.25">
      <c r="A227" t="s">
        <v>10</v>
      </c>
      <c r="B227" t="s">
        <v>251</v>
      </c>
      <c r="C227" t="s">
        <v>227</v>
      </c>
      <c r="D227" t="s">
        <v>27</v>
      </c>
      <c r="E227">
        <v>26226</v>
      </c>
      <c r="F227">
        <v>310</v>
      </c>
      <c r="H227">
        <v>0.11153641335847886</v>
      </c>
      <c r="K227">
        <v>115</v>
      </c>
    </row>
    <row r="228" spans="1:11" x14ac:dyDescent="0.25">
      <c r="A228" t="s">
        <v>10</v>
      </c>
      <c r="B228" t="s">
        <v>252</v>
      </c>
      <c r="C228" t="s">
        <v>227</v>
      </c>
      <c r="D228" t="s">
        <v>27</v>
      </c>
      <c r="E228">
        <v>26227</v>
      </c>
      <c r="F228">
        <v>237</v>
      </c>
      <c r="H228">
        <v>0.52426666666666666</v>
      </c>
      <c r="K228">
        <v>0</v>
      </c>
    </row>
    <row r="229" spans="1:11" x14ac:dyDescent="0.25">
      <c r="A229" t="s">
        <v>10</v>
      </c>
      <c r="B229" t="s">
        <v>253</v>
      </c>
      <c r="C229" t="s">
        <v>227</v>
      </c>
      <c r="D229" t="s">
        <v>27</v>
      </c>
      <c r="E229">
        <v>26229</v>
      </c>
      <c r="F229">
        <v>990</v>
      </c>
      <c r="H229">
        <v>0.49476454293628813</v>
      </c>
      <c r="K229">
        <v>72</v>
      </c>
    </row>
    <row r="230" spans="1:11" x14ac:dyDescent="0.25">
      <c r="A230" t="s">
        <v>10</v>
      </c>
      <c r="B230" t="s">
        <v>254</v>
      </c>
      <c r="C230" t="s">
        <v>227</v>
      </c>
      <c r="D230" t="s">
        <v>27</v>
      </c>
      <c r="E230">
        <v>26231</v>
      </c>
      <c r="F230">
        <v>979</v>
      </c>
      <c r="H230">
        <v>0.30934299738926507</v>
      </c>
      <c r="K230">
        <v>138</v>
      </c>
    </row>
    <row r="231" spans="1:11" x14ac:dyDescent="0.25">
      <c r="A231" t="s">
        <v>10</v>
      </c>
      <c r="B231" t="s">
        <v>255</v>
      </c>
      <c r="C231" t="s">
        <v>227</v>
      </c>
      <c r="D231" t="s">
        <v>27</v>
      </c>
      <c r="E231">
        <v>26233</v>
      </c>
      <c r="F231">
        <v>1844</v>
      </c>
      <c r="H231">
        <v>0.12701694411414977</v>
      </c>
      <c r="K231">
        <v>0</v>
      </c>
    </row>
    <row r="232" spans="1:11" x14ac:dyDescent="0.25">
      <c r="A232" t="s">
        <v>10</v>
      </c>
      <c r="B232" t="s">
        <v>256</v>
      </c>
      <c r="C232" t="s">
        <v>227</v>
      </c>
      <c r="D232" t="s">
        <v>27</v>
      </c>
      <c r="E232">
        <v>26234</v>
      </c>
      <c r="F232">
        <v>246</v>
      </c>
      <c r="H232">
        <v>0.24218904979170797</v>
      </c>
      <c r="K232">
        <v>0</v>
      </c>
    </row>
    <row r="233" spans="1:11" x14ac:dyDescent="0.25">
      <c r="A233" t="s">
        <v>10</v>
      </c>
      <c r="B233" t="s">
        <v>257</v>
      </c>
      <c r="C233" t="s">
        <v>227</v>
      </c>
      <c r="D233" t="s">
        <v>27</v>
      </c>
      <c r="E233">
        <v>26239</v>
      </c>
      <c r="F233">
        <v>928</v>
      </c>
      <c r="H233">
        <v>0.44919586181640625</v>
      </c>
      <c r="K233">
        <v>12</v>
      </c>
    </row>
    <row r="234" spans="1:11" x14ac:dyDescent="0.25">
      <c r="A234" t="s">
        <v>10</v>
      </c>
      <c r="B234" t="s">
        <v>258</v>
      </c>
      <c r="C234" t="s">
        <v>227</v>
      </c>
      <c r="D234" t="s">
        <v>27</v>
      </c>
      <c r="E234">
        <v>26241</v>
      </c>
      <c r="F234">
        <v>719</v>
      </c>
      <c r="H234">
        <v>0.10214766267057462</v>
      </c>
      <c r="K234">
        <v>15</v>
      </c>
    </row>
    <row r="235" spans="1:11" x14ac:dyDescent="0.25">
      <c r="A235" t="s">
        <v>10</v>
      </c>
      <c r="B235" t="s">
        <v>259</v>
      </c>
      <c r="C235" t="s">
        <v>227</v>
      </c>
      <c r="D235" t="s">
        <v>27</v>
      </c>
      <c r="E235">
        <v>26243</v>
      </c>
      <c r="F235">
        <v>551</v>
      </c>
      <c r="H235">
        <v>0.56749857298646744</v>
      </c>
      <c r="K235">
        <v>99</v>
      </c>
    </row>
    <row r="236" spans="1:11" x14ac:dyDescent="0.25">
      <c r="A236" t="s">
        <v>10</v>
      </c>
      <c r="B236" t="s">
        <v>260</v>
      </c>
      <c r="C236" t="s">
        <v>227</v>
      </c>
      <c r="D236" t="s">
        <v>27</v>
      </c>
      <c r="E236">
        <v>26244</v>
      </c>
      <c r="F236">
        <v>629</v>
      </c>
      <c r="H236">
        <v>0.12243596418159086</v>
      </c>
      <c r="K236">
        <v>20</v>
      </c>
    </row>
    <row r="237" spans="1:11" x14ac:dyDescent="0.25">
      <c r="A237" t="s">
        <v>10</v>
      </c>
      <c r="B237" t="s">
        <v>261</v>
      </c>
      <c r="C237" t="s">
        <v>227</v>
      </c>
      <c r="D237" t="s">
        <v>27</v>
      </c>
      <c r="E237">
        <v>26246</v>
      </c>
      <c r="F237">
        <v>843</v>
      </c>
      <c r="H237">
        <v>0.12628864944317497</v>
      </c>
      <c r="K237">
        <v>0</v>
      </c>
    </row>
    <row r="238" spans="1:11" x14ac:dyDescent="0.25">
      <c r="A238" t="s">
        <v>10</v>
      </c>
      <c r="B238" t="s">
        <v>262</v>
      </c>
      <c r="C238" t="s">
        <v>227</v>
      </c>
      <c r="D238" t="s">
        <v>27</v>
      </c>
      <c r="E238">
        <v>26247</v>
      </c>
      <c r="F238">
        <v>362</v>
      </c>
      <c r="H238">
        <v>7.9053827720374281E-2</v>
      </c>
      <c r="K238">
        <v>0</v>
      </c>
    </row>
    <row r="239" spans="1:11" x14ac:dyDescent="0.25">
      <c r="A239" t="s">
        <v>10</v>
      </c>
      <c r="B239" t="s">
        <v>263</v>
      </c>
      <c r="C239" t="s">
        <v>227</v>
      </c>
      <c r="D239" t="s">
        <v>27</v>
      </c>
      <c r="E239">
        <v>26249</v>
      </c>
      <c r="F239">
        <v>276</v>
      </c>
      <c r="H239">
        <v>0.10099496862456903</v>
      </c>
      <c r="K239">
        <v>0</v>
      </c>
    </row>
    <row r="240" spans="1:11" x14ac:dyDescent="0.25">
      <c r="A240" t="s">
        <v>10</v>
      </c>
      <c r="B240" t="s">
        <v>264</v>
      </c>
      <c r="C240" t="s">
        <v>227</v>
      </c>
      <c r="D240" t="s">
        <v>27</v>
      </c>
      <c r="E240">
        <v>26251</v>
      </c>
      <c r="F240">
        <v>560</v>
      </c>
      <c r="H240">
        <v>0.1400450298796394</v>
      </c>
      <c r="K240">
        <v>0</v>
      </c>
    </row>
    <row r="241" spans="1:11" x14ac:dyDescent="0.25">
      <c r="A241" t="s">
        <v>10</v>
      </c>
      <c r="B241" t="s">
        <v>265</v>
      </c>
      <c r="C241" t="s">
        <v>227</v>
      </c>
      <c r="D241" t="s">
        <v>27</v>
      </c>
      <c r="E241">
        <v>26256</v>
      </c>
      <c r="F241">
        <v>986</v>
      </c>
      <c r="H241">
        <v>8.9518698060941926E-2</v>
      </c>
      <c r="K241">
        <v>0</v>
      </c>
    </row>
    <row r="242" spans="1:11" x14ac:dyDescent="0.25">
      <c r="A242" t="s">
        <v>10</v>
      </c>
      <c r="B242" t="s">
        <v>266</v>
      </c>
      <c r="C242" t="s">
        <v>227</v>
      </c>
      <c r="D242" t="s">
        <v>27</v>
      </c>
      <c r="E242">
        <v>26257</v>
      </c>
      <c r="F242">
        <v>594</v>
      </c>
      <c r="H242">
        <v>0.15307469014564079</v>
      </c>
      <c r="K242">
        <v>0</v>
      </c>
    </row>
    <row r="243" spans="1:11" x14ac:dyDescent="0.25">
      <c r="A243" t="s">
        <v>10</v>
      </c>
      <c r="B243" t="s">
        <v>267</v>
      </c>
      <c r="C243" t="s">
        <v>227</v>
      </c>
      <c r="D243" t="s">
        <v>27</v>
      </c>
      <c r="E243">
        <v>26259</v>
      </c>
      <c r="F243">
        <v>253</v>
      </c>
      <c r="H243">
        <v>6.307205504470248E-2</v>
      </c>
      <c r="K243">
        <v>0</v>
      </c>
    </row>
    <row r="244" spans="1:11" x14ac:dyDescent="0.25">
      <c r="A244" t="s">
        <v>10</v>
      </c>
      <c r="B244" t="s">
        <v>268</v>
      </c>
      <c r="C244" t="s">
        <v>227</v>
      </c>
      <c r="D244" t="s">
        <v>27</v>
      </c>
      <c r="E244">
        <v>26261</v>
      </c>
      <c r="F244">
        <v>111</v>
      </c>
      <c r="H244">
        <v>7.7223481985386755E-2</v>
      </c>
      <c r="K244">
        <v>0</v>
      </c>
    </row>
    <row r="245" spans="1:11" x14ac:dyDescent="0.25">
      <c r="A245" t="s">
        <v>10</v>
      </c>
      <c r="B245" t="s">
        <v>269</v>
      </c>
      <c r="C245" t="s">
        <v>227</v>
      </c>
      <c r="D245" t="s">
        <v>27</v>
      </c>
      <c r="E245">
        <v>26263</v>
      </c>
      <c r="F245">
        <v>133</v>
      </c>
      <c r="H245">
        <v>0.12553375735316064</v>
      </c>
      <c r="K245">
        <v>0</v>
      </c>
    </row>
    <row r="246" spans="1:11" x14ac:dyDescent="0.25">
      <c r="A246" t="s">
        <v>10</v>
      </c>
      <c r="B246" t="s">
        <v>270</v>
      </c>
      <c r="C246" t="s">
        <v>227</v>
      </c>
      <c r="D246" t="s">
        <v>27</v>
      </c>
      <c r="E246">
        <v>26266</v>
      </c>
      <c r="F246">
        <v>844</v>
      </c>
      <c r="H246">
        <v>0.13367494164643523</v>
      </c>
      <c r="K246">
        <v>0</v>
      </c>
    </row>
    <row r="247" spans="1:11" x14ac:dyDescent="0.25">
      <c r="A247" t="s">
        <v>10</v>
      </c>
      <c r="B247" t="s">
        <v>271</v>
      </c>
      <c r="C247" t="s">
        <v>227</v>
      </c>
      <c r="D247" t="s">
        <v>27</v>
      </c>
      <c r="E247">
        <v>26267</v>
      </c>
      <c r="F247">
        <v>888</v>
      </c>
      <c r="H247">
        <v>0.10314735724020341</v>
      </c>
      <c r="K247">
        <v>0</v>
      </c>
    </row>
    <row r="248" spans="1:11" x14ac:dyDescent="0.25">
      <c r="A248" t="s">
        <v>10</v>
      </c>
      <c r="B248" t="s">
        <v>272</v>
      </c>
      <c r="C248" t="s">
        <v>227</v>
      </c>
      <c r="D248" t="s">
        <v>27</v>
      </c>
      <c r="E248">
        <v>26269</v>
      </c>
      <c r="F248">
        <v>657</v>
      </c>
      <c r="H248">
        <v>0.11087211088872095</v>
      </c>
      <c r="K248">
        <v>0</v>
      </c>
    </row>
    <row r="249" spans="1:11" x14ac:dyDescent="0.25">
      <c r="A249" t="s">
        <v>10</v>
      </c>
      <c r="B249" t="s">
        <v>273</v>
      </c>
      <c r="C249" t="s">
        <v>227</v>
      </c>
      <c r="D249" t="s">
        <v>27</v>
      </c>
      <c r="E249">
        <v>26271</v>
      </c>
      <c r="F249">
        <v>177</v>
      </c>
      <c r="H249">
        <v>0.15499273151655402</v>
      </c>
      <c r="K249">
        <v>0</v>
      </c>
    </row>
    <row r="250" spans="1:11" x14ac:dyDescent="0.25">
      <c r="A250" t="s">
        <v>10</v>
      </c>
      <c r="B250" t="s">
        <v>274</v>
      </c>
      <c r="C250" t="s">
        <v>227</v>
      </c>
      <c r="D250" t="s">
        <v>27</v>
      </c>
      <c r="E250">
        <v>26273</v>
      </c>
      <c r="F250">
        <v>413</v>
      </c>
      <c r="H250">
        <v>0.15008218277449048</v>
      </c>
      <c r="K250">
        <v>0</v>
      </c>
    </row>
    <row r="251" spans="1:11" x14ac:dyDescent="0.25">
      <c r="A251" t="s">
        <v>10</v>
      </c>
      <c r="B251" t="s">
        <v>275</v>
      </c>
      <c r="C251" t="s">
        <v>92</v>
      </c>
      <c r="D251" t="s">
        <v>93</v>
      </c>
      <c r="E251">
        <v>63267</v>
      </c>
      <c r="F251">
        <v>447</v>
      </c>
      <c r="H251">
        <v>0.15008218277449048</v>
      </c>
      <c r="K251">
        <v>0</v>
      </c>
    </row>
    <row r="252" spans="1:11" x14ac:dyDescent="0.25">
      <c r="A252" t="s">
        <v>10</v>
      </c>
      <c r="B252" t="s">
        <v>276</v>
      </c>
      <c r="C252" t="s">
        <v>227</v>
      </c>
      <c r="D252" t="s">
        <v>27</v>
      </c>
      <c r="E252">
        <v>26274</v>
      </c>
      <c r="F252">
        <v>81</v>
      </c>
      <c r="H252">
        <v>0.18510935589667954</v>
      </c>
      <c r="K252">
        <v>0</v>
      </c>
    </row>
    <row r="253" spans="1:11" x14ac:dyDescent="0.25">
      <c r="A253" t="s">
        <v>10</v>
      </c>
      <c r="B253" t="s">
        <v>277</v>
      </c>
      <c r="C253" t="s">
        <v>227</v>
      </c>
      <c r="D253" t="s">
        <v>27</v>
      </c>
      <c r="E253">
        <v>26276</v>
      </c>
      <c r="F253">
        <v>882</v>
      </c>
      <c r="H253">
        <v>0.18362321844267715</v>
      </c>
      <c r="K253">
        <v>0</v>
      </c>
    </row>
    <row r="254" spans="1:11" x14ac:dyDescent="0.25">
      <c r="A254" t="s">
        <v>10</v>
      </c>
      <c r="B254" t="s">
        <v>278</v>
      </c>
      <c r="C254" t="s">
        <v>227</v>
      </c>
      <c r="D254" t="s">
        <v>27</v>
      </c>
      <c r="E254">
        <v>26277</v>
      </c>
      <c r="F254">
        <v>639</v>
      </c>
      <c r="H254">
        <v>0.17958862852241075</v>
      </c>
      <c r="K254">
        <v>0</v>
      </c>
    </row>
    <row r="255" spans="1:11" x14ac:dyDescent="0.25">
      <c r="A255" t="s">
        <v>10</v>
      </c>
      <c r="B255" t="s">
        <v>279</v>
      </c>
      <c r="C255" t="s">
        <v>227</v>
      </c>
      <c r="D255" t="s">
        <v>27</v>
      </c>
      <c r="E255">
        <v>26279</v>
      </c>
      <c r="F255">
        <v>778</v>
      </c>
      <c r="H255">
        <v>0.15885725946332008</v>
      </c>
      <c r="K255">
        <v>0</v>
      </c>
    </row>
    <row r="256" spans="1:11" x14ac:dyDescent="0.25">
      <c r="A256" t="s">
        <v>10</v>
      </c>
      <c r="B256" t="s">
        <v>280</v>
      </c>
      <c r="C256" t="s">
        <v>227</v>
      </c>
      <c r="D256" t="s">
        <v>27</v>
      </c>
      <c r="E256">
        <v>26281</v>
      </c>
      <c r="F256">
        <v>540</v>
      </c>
      <c r="H256">
        <v>0.22642929730136618</v>
      </c>
      <c r="K256">
        <v>0</v>
      </c>
    </row>
    <row r="257" spans="1:11" x14ac:dyDescent="0.25">
      <c r="A257" t="s">
        <v>10</v>
      </c>
      <c r="B257" t="s">
        <v>281</v>
      </c>
      <c r="C257" t="s">
        <v>227</v>
      </c>
      <c r="D257" t="s">
        <v>27</v>
      </c>
      <c r="E257">
        <v>26286</v>
      </c>
      <c r="F257">
        <v>1475</v>
      </c>
      <c r="H257">
        <v>7.4242179702965427E-2</v>
      </c>
      <c r="K257">
        <v>74</v>
      </c>
    </row>
    <row r="258" spans="1:11" x14ac:dyDescent="0.25">
      <c r="A258" t="s">
        <v>10</v>
      </c>
      <c r="B258" t="s">
        <v>282</v>
      </c>
      <c r="C258" t="s">
        <v>227</v>
      </c>
      <c r="D258" t="s">
        <v>27</v>
      </c>
      <c r="E258">
        <v>26287</v>
      </c>
      <c r="F258">
        <v>768</v>
      </c>
      <c r="H258">
        <v>8.7374086889657754E-2</v>
      </c>
      <c r="K258">
        <v>31</v>
      </c>
    </row>
    <row r="259" spans="1:11" x14ac:dyDescent="0.25">
      <c r="A259" t="s">
        <v>10</v>
      </c>
      <c r="B259" t="s">
        <v>283</v>
      </c>
      <c r="C259" t="s">
        <v>227</v>
      </c>
      <c r="D259" t="s">
        <v>27</v>
      </c>
      <c r="E259">
        <v>26289</v>
      </c>
      <c r="F259">
        <v>188</v>
      </c>
      <c r="H259">
        <v>0.17065147739409048</v>
      </c>
      <c r="K259">
        <v>0</v>
      </c>
    </row>
    <row r="260" spans="1:11" x14ac:dyDescent="0.25">
      <c r="A260" t="s">
        <v>10</v>
      </c>
      <c r="B260" t="s">
        <v>284</v>
      </c>
      <c r="C260" t="s">
        <v>227</v>
      </c>
      <c r="D260" t="s">
        <v>27</v>
      </c>
      <c r="E260">
        <v>26291</v>
      </c>
      <c r="F260">
        <v>711</v>
      </c>
      <c r="H260">
        <v>0.27315689981096403</v>
      </c>
      <c r="K260">
        <v>0</v>
      </c>
    </row>
    <row r="261" spans="1:11" x14ac:dyDescent="0.25">
      <c r="A261" t="s">
        <v>10</v>
      </c>
      <c r="B261" t="s">
        <v>285</v>
      </c>
      <c r="C261" t="s">
        <v>227</v>
      </c>
      <c r="D261" t="s">
        <v>27</v>
      </c>
      <c r="E261">
        <v>26293</v>
      </c>
      <c r="F261">
        <v>592</v>
      </c>
      <c r="H261">
        <v>0.11479501417769389</v>
      </c>
      <c r="K261">
        <v>0</v>
      </c>
    </row>
    <row r="262" spans="1:11" x14ac:dyDescent="0.25">
      <c r="A262" t="s">
        <v>10</v>
      </c>
      <c r="B262" t="s">
        <v>286</v>
      </c>
      <c r="C262" t="s">
        <v>227</v>
      </c>
      <c r="D262" t="s">
        <v>27</v>
      </c>
      <c r="E262">
        <v>26294</v>
      </c>
      <c r="F262">
        <v>448</v>
      </c>
      <c r="H262">
        <v>0.40103660511823791</v>
      </c>
      <c r="K262">
        <v>0</v>
      </c>
    </row>
    <row r="263" spans="1:11" x14ac:dyDescent="0.25">
      <c r="A263" t="s">
        <v>10</v>
      </c>
      <c r="B263" t="s">
        <v>287</v>
      </c>
      <c r="C263" t="s">
        <v>227</v>
      </c>
      <c r="D263" t="s">
        <v>27</v>
      </c>
      <c r="E263">
        <v>26295</v>
      </c>
      <c r="F263">
        <v>724</v>
      </c>
      <c r="H263">
        <v>0.49203453186187263</v>
      </c>
      <c r="K263">
        <v>0</v>
      </c>
    </row>
    <row r="264" spans="1:11" x14ac:dyDescent="0.25">
      <c r="A264" t="s">
        <v>10</v>
      </c>
      <c r="B264" t="s">
        <v>288</v>
      </c>
      <c r="C264" t="s">
        <v>227</v>
      </c>
      <c r="D264" t="s">
        <v>27</v>
      </c>
      <c r="E264">
        <v>26296</v>
      </c>
      <c r="F264">
        <v>267</v>
      </c>
      <c r="H264">
        <v>0.13388734995383178</v>
      </c>
      <c r="K264">
        <v>0</v>
      </c>
    </row>
    <row r="265" spans="1:11" x14ac:dyDescent="0.25">
      <c r="A265" t="s">
        <v>10</v>
      </c>
      <c r="B265" t="s">
        <v>289</v>
      </c>
      <c r="C265" t="s">
        <v>227</v>
      </c>
      <c r="D265" t="s">
        <v>27</v>
      </c>
      <c r="E265">
        <v>26297</v>
      </c>
      <c r="F265">
        <v>121</v>
      </c>
      <c r="H265">
        <v>0.34129593103952094</v>
      </c>
      <c r="K265">
        <v>0</v>
      </c>
    </row>
    <row r="266" spans="1:11" x14ac:dyDescent="0.25">
      <c r="A266" t="s">
        <v>10</v>
      </c>
      <c r="B266" t="s">
        <v>290</v>
      </c>
      <c r="C266" t="s">
        <v>227</v>
      </c>
      <c r="D266" t="s">
        <v>27</v>
      </c>
      <c r="E266">
        <v>26298</v>
      </c>
      <c r="F266">
        <v>679</v>
      </c>
      <c r="H266">
        <v>0.13464649685289498</v>
      </c>
      <c r="K266">
        <v>0</v>
      </c>
    </row>
    <row r="267" spans="1:11" x14ac:dyDescent="0.25">
      <c r="A267" t="s">
        <v>10</v>
      </c>
      <c r="B267" t="s">
        <v>291</v>
      </c>
      <c r="C267" t="s">
        <v>227</v>
      </c>
      <c r="D267" t="s">
        <v>27</v>
      </c>
      <c r="E267">
        <v>26299</v>
      </c>
      <c r="F267">
        <v>234</v>
      </c>
      <c r="H267">
        <v>0.10822356710573178</v>
      </c>
      <c r="K267">
        <v>102</v>
      </c>
    </row>
    <row r="268" spans="1:11" x14ac:dyDescent="0.25">
      <c r="A268" t="s">
        <v>10</v>
      </c>
      <c r="B268" t="s">
        <v>292</v>
      </c>
      <c r="C268" t="s">
        <v>227</v>
      </c>
      <c r="D268" t="s">
        <v>27</v>
      </c>
      <c r="E268">
        <v>26311</v>
      </c>
      <c r="F268">
        <v>3602</v>
      </c>
      <c r="H268">
        <v>0.21171438249415908</v>
      </c>
      <c r="K268">
        <v>0</v>
      </c>
    </row>
    <row r="269" spans="1:11" x14ac:dyDescent="0.25">
      <c r="A269" t="s">
        <v>10</v>
      </c>
      <c r="B269" t="s">
        <v>293</v>
      </c>
      <c r="C269" t="s">
        <v>227</v>
      </c>
      <c r="D269" t="s">
        <v>27</v>
      </c>
      <c r="E269">
        <v>26317</v>
      </c>
      <c r="F269">
        <v>46</v>
      </c>
      <c r="H269">
        <v>0.15271449096357648</v>
      </c>
      <c r="K269">
        <v>0</v>
      </c>
    </row>
    <row r="270" spans="1:11" x14ac:dyDescent="0.25">
      <c r="A270" t="s">
        <v>10</v>
      </c>
      <c r="B270" t="s">
        <v>294</v>
      </c>
      <c r="C270" t="s">
        <v>227</v>
      </c>
      <c r="D270" t="s">
        <v>27</v>
      </c>
      <c r="E270">
        <v>26321</v>
      </c>
      <c r="F270">
        <v>1874</v>
      </c>
      <c r="H270">
        <v>0.56833670825440374</v>
      </c>
      <c r="K270">
        <v>0</v>
      </c>
    </row>
    <row r="271" spans="1:11" x14ac:dyDescent="0.25">
      <c r="A271" t="s">
        <v>10</v>
      </c>
      <c r="B271" t="s">
        <v>295</v>
      </c>
      <c r="C271" t="s">
        <v>227</v>
      </c>
      <c r="D271" t="s">
        <v>27</v>
      </c>
      <c r="E271">
        <v>26327</v>
      </c>
      <c r="F271">
        <v>93</v>
      </c>
      <c r="H271">
        <v>0.27754014557535944</v>
      </c>
      <c r="K271">
        <v>290</v>
      </c>
    </row>
    <row r="272" spans="1:11" x14ac:dyDescent="0.25">
      <c r="A272" t="s">
        <v>10</v>
      </c>
      <c r="B272" t="s">
        <v>296</v>
      </c>
      <c r="C272" t="s">
        <v>227</v>
      </c>
      <c r="D272" t="s">
        <v>27</v>
      </c>
      <c r="E272">
        <v>26331</v>
      </c>
      <c r="F272">
        <v>334</v>
      </c>
      <c r="H272">
        <v>0.18309751673198593</v>
      </c>
      <c r="K272">
        <v>137</v>
      </c>
    </row>
    <row r="273" spans="1:11" x14ac:dyDescent="0.25">
      <c r="A273" t="s">
        <v>10</v>
      </c>
      <c r="B273" t="s">
        <v>297</v>
      </c>
      <c r="C273" t="s">
        <v>227</v>
      </c>
      <c r="D273" t="s">
        <v>27</v>
      </c>
      <c r="E273">
        <v>26334</v>
      </c>
      <c r="F273">
        <v>3</v>
      </c>
      <c r="H273">
        <v>0.12053078221175428</v>
      </c>
      <c r="K273">
        <v>0</v>
      </c>
    </row>
    <row r="274" spans="1:11" x14ac:dyDescent="0.25">
      <c r="A274" t="s">
        <v>10</v>
      </c>
      <c r="B274" t="s">
        <v>298</v>
      </c>
      <c r="C274" t="s">
        <v>227</v>
      </c>
      <c r="D274" t="s">
        <v>27</v>
      </c>
      <c r="E274">
        <v>26337</v>
      </c>
      <c r="F274">
        <v>212</v>
      </c>
      <c r="H274">
        <v>0.12810264948287353</v>
      </c>
      <c r="K274">
        <v>0</v>
      </c>
    </row>
    <row r="275" spans="1:11" x14ac:dyDescent="0.25">
      <c r="A275" t="s">
        <v>10</v>
      </c>
      <c r="B275" t="s">
        <v>299</v>
      </c>
      <c r="C275" t="s">
        <v>227</v>
      </c>
      <c r="D275" t="s">
        <v>27</v>
      </c>
      <c r="E275">
        <v>26341</v>
      </c>
      <c r="F275">
        <v>998</v>
      </c>
      <c r="H275">
        <v>0.55548415634503057</v>
      </c>
      <c r="K275">
        <v>62</v>
      </c>
    </row>
    <row r="276" spans="1:11" x14ac:dyDescent="0.25">
      <c r="A276" t="s">
        <v>10</v>
      </c>
      <c r="B276" t="s">
        <v>300</v>
      </c>
      <c r="C276" t="s">
        <v>227</v>
      </c>
      <c r="D276" t="s">
        <v>27</v>
      </c>
      <c r="E276">
        <v>26347</v>
      </c>
      <c r="F276">
        <v>75</v>
      </c>
      <c r="H276">
        <v>0.19438934802571151</v>
      </c>
      <c r="K276">
        <v>0</v>
      </c>
    </row>
    <row r="277" spans="1:11" x14ac:dyDescent="0.25">
      <c r="A277" t="s">
        <v>10</v>
      </c>
      <c r="B277" t="s">
        <v>301</v>
      </c>
      <c r="C277" t="s">
        <v>302</v>
      </c>
      <c r="D277" t="s">
        <v>93</v>
      </c>
      <c r="E277">
        <v>62219</v>
      </c>
      <c r="F277">
        <v>1129</v>
      </c>
      <c r="H277">
        <v>3.5344668352284003E-2</v>
      </c>
      <c r="K277">
        <v>0</v>
      </c>
    </row>
    <row r="278" spans="1:11" x14ac:dyDescent="0.25">
      <c r="A278" t="s">
        <v>10</v>
      </c>
      <c r="B278" t="s">
        <v>303</v>
      </c>
      <c r="C278" t="s">
        <v>227</v>
      </c>
      <c r="D278" t="s">
        <v>27</v>
      </c>
      <c r="E278">
        <v>26351</v>
      </c>
      <c r="F278">
        <v>161</v>
      </c>
      <c r="H278">
        <v>4.9971187900213043E-2</v>
      </c>
      <c r="K278">
        <v>0</v>
      </c>
    </row>
    <row r="279" spans="1:11" x14ac:dyDescent="0.25">
      <c r="A279" t="s">
        <v>10</v>
      </c>
      <c r="B279" t="s">
        <v>304</v>
      </c>
      <c r="C279" t="s">
        <v>227</v>
      </c>
      <c r="D279" t="s">
        <v>27</v>
      </c>
      <c r="E279">
        <v>26357</v>
      </c>
      <c r="F279">
        <v>566</v>
      </c>
      <c r="H279">
        <v>0.29045049392305933</v>
      </c>
      <c r="K279">
        <v>0</v>
      </c>
    </row>
    <row r="280" spans="1:11" x14ac:dyDescent="0.25">
      <c r="A280" t="s">
        <v>10</v>
      </c>
      <c r="B280" t="s">
        <v>305</v>
      </c>
      <c r="C280" t="s">
        <v>85</v>
      </c>
      <c r="D280" t="s">
        <v>85</v>
      </c>
      <c r="E280">
        <v>35128</v>
      </c>
      <c r="F280">
        <v>1129</v>
      </c>
      <c r="H280">
        <v>8.8177421881118212E-3</v>
      </c>
      <c r="K280">
        <v>0</v>
      </c>
    </row>
    <row r="281" spans="1:11" x14ac:dyDescent="0.25">
      <c r="A281" t="s">
        <v>10</v>
      </c>
      <c r="B281" t="s">
        <v>306</v>
      </c>
      <c r="C281" t="s">
        <v>227</v>
      </c>
      <c r="D281" t="s">
        <v>27</v>
      </c>
      <c r="E281">
        <v>26361</v>
      </c>
      <c r="F281">
        <v>277</v>
      </c>
      <c r="H281">
        <v>0.11067593141338927</v>
      </c>
      <c r="K281">
        <v>0</v>
      </c>
    </row>
    <row r="282" spans="1:11" x14ac:dyDescent="0.25">
      <c r="A282" t="s">
        <v>10</v>
      </c>
      <c r="B282" t="s">
        <v>307</v>
      </c>
      <c r="C282" t="s">
        <v>227</v>
      </c>
      <c r="D282" t="s">
        <v>27</v>
      </c>
      <c r="E282">
        <v>26364</v>
      </c>
      <c r="F282">
        <v>51</v>
      </c>
      <c r="H282">
        <v>5.6554030650939668E-2</v>
      </c>
      <c r="K282">
        <v>97</v>
      </c>
    </row>
    <row r="283" spans="1:11" x14ac:dyDescent="0.25">
      <c r="A283" t="s">
        <v>10</v>
      </c>
      <c r="B283" t="s">
        <v>308</v>
      </c>
      <c r="C283" t="s">
        <v>227</v>
      </c>
      <c r="D283" t="s">
        <v>27</v>
      </c>
      <c r="E283">
        <v>26367</v>
      </c>
      <c r="F283">
        <v>1339</v>
      </c>
      <c r="H283">
        <v>7.7842130313302782E-2</v>
      </c>
      <c r="K283">
        <v>0</v>
      </c>
    </row>
    <row r="284" spans="1:11" x14ac:dyDescent="0.25">
      <c r="A284" t="s">
        <v>10</v>
      </c>
      <c r="B284" t="s">
        <v>309</v>
      </c>
      <c r="C284" t="s">
        <v>227</v>
      </c>
      <c r="D284" t="s">
        <v>27</v>
      </c>
      <c r="E284">
        <v>26371</v>
      </c>
      <c r="F284">
        <v>845</v>
      </c>
      <c r="H284">
        <v>0.14556943332476036</v>
      </c>
      <c r="K284">
        <v>0</v>
      </c>
    </row>
    <row r="285" spans="1:11" x14ac:dyDescent="0.25">
      <c r="A285" t="s">
        <v>10</v>
      </c>
      <c r="B285" t="s">
        <v>310</v>
      </c>
      <c r="C285" t="s">
        <v>227</v>
      </c>
      <c r="D285" t="s">
        <v>27</v>
      </c>
      <c r="E285">
        <v>26377</v>
      </c>
      <c r="F285">
        <v>118</v>
      </c>
      <c r="H285">
        <v>0.15841716201798539</v>
      </c>
      <c r="K285">
        <v>0</v>
      </c>
    </row>
    <row r="286" spans="1:11" x14ac:dyDescent="0.25">
      <c r="A286" t="s">
        <v>10</v>
      </c>
      <c r="B286" t="s">
        <v>311</v>
      </c>
      <c r="C286" t="s">
        <v>227</v>
      </c>
      <c r="D286" t="s">
        <v>27</v>
      </c>
      <c r="E286">
        <v>26381</v>
      </c>
      <c r="F286">
        <v>498</v>
      </c>
      <c r="H286">
        <v>0.12804910037155348</v>
      </c>
      <c r="K286">
        <v>0</v>
      </c>
    </row>
    <row r="287" spans="1:11" x14ac:dyDescent="0.25">
      <c r="A287" t="s">
        <v>10</v>
      </c>
      <c r="B287" t="s">
        <v>312</v>
      </c>
      <c r="C287" t="s">
        <v>227</v>
      </c>
      <c r="D287" t="s">
        <v>27</v>
      </c>
      <c r="E287">
        <v>26384</v>
      </c>
      <c r="F287">
        <v>1471</v>
      </c>
      <c r="H287">
        <v>0.1127134644314719</v>
      </c>
      <c r="K287">
        <v>0</v>
      </c>
    </row>
    <row r="288" spans="1:11" x14ac:dyDescent="0.25">
      <c r="A288" t="s">
        <v>10</v>
      </c>
      <c r="B288" t="s">
        <v>313</v>
      </c>
      <c r="C288" t="s">
        <v>227</v>
      </c>
      <c r="D288" t="s">
        <v>27</v>
      </c>
      <c r="E288">
        <v>26388</v>
      </c>
      <c r="F288">
        <v>23</v>
      </c>
      <c r="H288">
        <v>9.4514251981784647E-2</v>
      </c>
      <c r="K288">
        <v>0</v>
      </c>
    </row>
    <row r="289" spans="1:11" x14ac:dyDescent="0.25">
      <c r="A289" t="s">
        <v>10</v>
      </c>
      <c r="B289" t="s">
        <v>314</v>
      </c>
      <c r="C289" t="s">
        <v>315</v>
      </c>
      <c r="D289" t="s">
        <v>316</v>
      </c>
      <c r="E289">
        <v>31116</v>
      </c>
      <c r="F289">
        <v>41739</v>
      </c>
      <c r="H289">
        <v>6.9221165279322983E-2</v>
      </c>
      <c r="K289">
        <v>0</v>
      </c>
    </row>
    <row r="290" spans="1:11" x14ac:dyDescent="0.25">
      <c r="A290" t="s">
        <v>10</v>
      </c>
      <c r="B290" t="s">
        <v>317</v>
      </c>
      <c r="C290" t="s">
        <v>315</v>
      </c>
      <c r="D290" t="s">
        <v>316</v>
      </c>
      <c r="E290">
        <v>31121</v>
      </c>
      <c r="F290">
        <v>45602</v>
      </c>
      <c r="H290">
        <v>0.47931719718008137</v>
      </c>
      <c r="K290">
        <v>330</v>
      </c>
    </row>
    <row r="291" spans="1:11" x14ac:dyDescent="0.25">
      <c r="A291" t="s">
        <v>10</v>
      </c>
      <c r="B291" t="s">
        <v>318</v>
      </c>
      <c r="C291" t="s">
        <v>315</v>
      </c>
      <c r="D291" t="s">
        <v>316</v>
      </c>
      <c r="E291">
        <v>31126</v>
      </c>
      <c r="F291">
        <v>2209</v>
      </c>
      <c r="H291">
        <v>0.10186335840044991</v>
      </c>
      <c r="K291">
        <v>0</v>
      </c>
    </row>
    <row r="292" spans="1:11" x14ac:dyDescent="0.25">
      <c r="A292" t="s">
        <v>10</v>
      </c>
      <c r="B292" t="s">
        <v>319</v>
      </c>
      <c r="C292" t="s">
        <v>315</v>
      </c>
      <c r="D292" t="s">
        <v>316</v>
      </c>
      <c r="E292">
        <v>31131</v>
      </c>
      <c r="F292">
        <v>233</v>
      </c>
      <c r="H292">
        <v>4.7980954151586541E-2</v>
      </c>
      <c r="K292">
        <v>0</v>
      </c>
    </row>
    <row r="293" spans="1:11" x14ac:dyDescent="0.25">
      <c r="A293" t="s">
        <v>10</v>
      </c>
      <c r="B293" t="s">
        <v>320</v>
      </c>
      <c r="C293" t="s">
        <v>315</v>
      </c>
      <c r="D293" t="s">
        <v>316</v>
      </c>
      <c r="E293">
        <v>31136</v>
      </c>
      <c r="F293">
        <v>1533</v>
      </c>
      <c r="H293">
        <v>0.17556178582749671</v>
      </c>
      <c r="K293">
        <v>0</v>
      </c>
    </row>
    <row r="294" spans="1:11" x14ac:dyDescent="0.25">
      <c r="A294" t="s">
        <v>10</v>
      </c>
      <c r="B294" t="s">
        <v>321</v>
      </c>
      <c r="C294" t="s">
        <v>315</v>
      </c>
      <c r="D294" t="s">
        <v>316</v>
      </c>
      <c r="E294">
        <v>31146</v>
      </c>
      <c r="F294">
        <v>822</v>
      </c>
      <c r="H294">
        <v>3.3486612037385122E-2</v>
      </c>
      <c r="K294">
        <v>0</v>
      </c>
    </row>
    <row r="295" spans="1:11" x14ac:dyDescent="0.25">
      <c r="A295" t="s">
        <v>10</v>
      </c>
      <c r="B295" t="s">
        <v>322</v>
      </c>
      <c r="C295" t="s">
        <v>315</v>
      </c>
      <c r="D295" t="s">
        <v>316</v>
      </c>
      <c r="E295">
        <v>31151</v>
      </c>
      <c r="F295">
        <v>46753</v>
      </c>
      <c r="H295">
        <v>0.47608311326387986</v>
      </c>
      <c r="K295">
        <v>238</v>
      </c>
    </row>
    <row r="296" spans="1:11" x14ac:dyDescent="0.25">
      <c r="A296" t="s">
        <v>10</v>
      </c>
      <c r="B296" t="s">
        <v>323</v>
      </c>
      <c r="C296" t="s">
        <v>315</v>
      </c>
      <c r="D296" t="s">
        <v>316</v>
      </c>
      <c r="E296">
        <v>31156</v>
      </c>
      <c r="F296">
        <v>5178</v>
      </c>
      <c r="H296">
        <v>0.70123084813693293</v>
      </c>
      <c r="K296">
        <v>140</v>
      </c>
    </row>
    <row r="297" spans="1:11" x14ac:dyDescent="0.25">
      <c r="A297" t="s">
        <v>10</v>
      </c>
      <c r="B297" t="s">
        <v>324</v>
      </c>
      <c r="C297" t="s">
        <v>315</v>
      </c>
      <c r="D297" t="s">
        <v>316</v>
      </c>
      <c r="E297">
        <v>31161</v>
      </c>
      <c r="F297">
        <v>28043</v>
      </c>
      <c r="H297">
        <v>0.40532326127223661</v>
      </c>
      <c r="K297">
        <v>0</v>
      </c>
    </row>
    <row r="298" spans="1:11" x14ac:dyDescent="0.25">
      <c r="A298" t="s">
        <v>10</v>
      </c>
      <c r="B298" t="s">
        <v>325</v>
      </c>
      <c r="C298" t="s">
        <v>315</v>
      </c>
      <c r="D298" t="s">
        <v>316</v>
      </c>
      <c r="E298">
        <v>31166</v>
      </c>
      <c r="F298">
        <v>4758</v>
      </c>
      <c r="H298">
        <v>3.6399427509649473E-2</v>
      </c>
      <c r="K298">
        <v>2126</v>
      </c>
    </row>
    <row r="299" spans="1:11" x14ac:dyDescent="0.25">
      <c r="A299" t="s">
        <v>10</v>
      </c>
      <c r="B299" t="s">
        <v>326</v>
      </c>
      <c r="C299" t="s">
        <v>302</v>
      </c>
      <c r="D299" t="s">
        <v>93</v>
      </c>
      <c r="E299">
        <v>31171</v>
      </c>
      <c r="F299">
        <v>8519</v>
      </c>
      <c r="H299">
        <v>0.58959183673469384</v>
      </c>
      <c r="K299">
        <v>0</v>
      </c>
    </row>
    <row r="300" spans="1:11" x14ac:dyDescent="0.25">
      <c r="A300" t="s">
        <v>10</v>
      </c>
      <c r="B300" t="s">
        <v>327</v>
      </c>
      <c r="C300" t="s">
        <v>302</v>
      </c>
      <c r="D300" t="s">
        <v>93</v>
      </c>
      <c r="E300">
        <v>31176</v>
      </c>
      <c r="F300">
        <v>10694</v>
      </c>
      <c r="H300">
        <v>4.7023540063377056E-2</v>
      </c>
      <c r="K300">
        <v>0</v>
      </c>
    </row>
    <row r="301" spans="1:11" x14ac:dyDescent="0.25">
      <c r="A301" t="s">
        <v>10</v>
      </c>
      <c r="B301" t="s">
        <v>328</v>
      </c>
      <c r="C301" t="s">
        <v>315</v>
      </c>
      <c r="D301" t="s">
        <v>316</v>
      </c>
      <c r="E301">
        <v>31181</v>
      </c>
      <c r="F301">
        <v>10460</v>
      </c>
      <c r="H301">
        <v>0.39069669590450495</v>
      </c>
      <c r="K301">
        <v>0</v>
      </c>
    </row>
    <row r="302" spans="1:11" x14ac:dyDescent="0.25">
      <c r="A302" t="s">
        <v>10</v>
      </c>
      <c r="B302" t="s">
        <v>329</v>
      </c>
      <c r="C302" t="s">
        <v>315</v>
      </c>
      <c r="D302" t="s">
        <v>316</v>
      </c>
      <c r="E302">
        <v>31221</v>
      </c>
      <c r="F302">
        <v>6014</v>
      </c>
      <c r="H302">
        <v>5.0191462006081045E-2</v>
      </c>
      <c r="K302">
        <v>92</v>
      </c>
    </row>
    <row r="303" spans="1:11" x14ac:dyDescent="0.25">
      <c r="A303" t="s">
        <v>10</v>
      </c>
      <c r="B303" t="s">
        <v>330</v>
      </c>
      <c r="C303" t="s">
        <v>331</v>
      </c>
      <c r="D303" t="s">
        <v>316</v>
      </c>
      <c r="E303">
        <v>32155</v>
      </c>
      <c r="F303">
        <v>1674</v>
      </c>
      <c r="H303">
        <v>0.550547225426118</v>
      </c>
      <c r="K303">
        <v>0</v>
      </c>
    </row>
    <row r="304" spans="1:11" x14ac:dyDescent="0.25">
      <c r="A304" t="s">
        <v>10</v>
      </c>
      <c r="B304" t="s">
        <v>332</v>
      </c>
      <c r="C304" t="s">
        <v>333</v>
      </c>
      <c r="D304" t="s">
        <v>83</v>
      </c>
      <c r="E304">
        <v>32187</v>
      </c>
      <c r="F304">
        <v>3194</v>
      </c>
      <c r="H304">
        <v>3.0361604207758019E-2</v>
      </c>
      <c r="K304">
        <v>0</v>
      </c>
    </row>
    <row r="305" spans="1:11" x14ac:dyDescent="0.25">
      <c r="A305" t="s">
        <v>10</v>
      </c>
      <c r="B305" t="s">
        <v>334</v>
      </c>
      <c r="C305" t="s">
        <v>85</v>
      </c>
      <c r="D305" t="s">
        <v>85</v>
      </c>
      <c r="E305">
        <v>32193</v>
      </c>
      <c r="F305">
        <v>12</v>
      </c>
      <c r="H305">
        <v>0</v>
      </c>
      <c r="K305">
        <v>0</v>
      </c>
    </row>
    <row r="306" spans="1:11" x14ac:dyDescent="0.25">
      <c r="A306" t="s">
        <v>10</v>
      </c>
      <c r="B306" t="s">
        <v>331</v>
      </c>
      <c r="C306" t="s">
        <v>331</v>
      </c>
      <c r="D306" t="s">
        <v>316</v>
      </c>
      <c r="E306">
        <v>33111</v>
      </c>
      <c r="F306">
        <v>19905</v>
      </c>
      <c r="H306">
        <v>0.17306054831803008</v>
      </c>
      <c r="K306">
        <v>153</v>
      </c>
    </row>
    <row r="307" spans="1:11" x14ac:dyDescent="0.25">
      <c r="A307" t="s">
        <v>10</v>
      </c>
      <c r="B307" t="s">
        <v>335</v>
      </c>
      <c r="C307" t="s">
        <v>331</v>
      </c>
      <c r="D307" t="s">
        <v>316</v>
      </c>
      <c r="E307">
        <v>33117</v>
      </c>
      <c r="F307">
        <v>5495</v>
      </c>
      <c r="H307">
        <v>0.35442055189425004</v>
      </c>
      <c r="K307">
        <v>0</v>
      </c>
    </row>
    <row r="308" spans="1:11" x14ac:dyDescent="0.25">
      <c r="A308" t="s">
        <v>10</v>
      </c>
      <c r="B308" t="s">
        <v>336</v>
      </c>
      <c r="C308" t="s">
        <v>331</v>
      </c>
      <c r="D308" t="s">
        <v>316</v>
      </c>
      <c r="E308">
        <v>33119</v>
      </c>
      <c r="F308">
        <v>496</v>
      </c>
      <c r="H308">
        <v>0.25383279966050698</v>
      </c>
      <c r="K308">
        <v>0</v>
      </c>
    </row>
    <row r="309" spans="1:11" x14ac:dyDescent="0.25">
      <c r="A309" t="s">
        <v>10</v>
      </c>
      <c r="B309" t="s">
        <v>337</v>
      </c>
      <c r="C309" t="s">
        <v>331</v>
      </c>
      <c r="D309" t="s">
        <v>316</v>
      </c>
      <c r="E309">
        <v>33123</v>
      </c>
      <c r="F309">
        <v>5969</v>
      </c>
      <c r="H309">
        <v>0.2650888057787133</v>
      </c>
      <c r="K309">
        <v>0</v>
      </c>
    </row>
    <row r="310" spans="1:11" x14ac:dyDescent="0.25">
      <c r="A310" t="s">
        <v>10</v>
      </c>
      <c r="B310" t="s">
        <v>338</v>
      </c>
      <c r="C310" t="s">
        <v>331</v>
      </c>
      <c r="D310" t="s">
        <v>316</v>
      </c>
      <c r="E310">
        <v>33125</v>
      </c>
      <c r="F310">
        <v>403</v>
      </c>
      <c r="H310">
        <v>0.15091516019147133</v>
      </c>
      <c r="K310">
        <v>0</v>
      </c>
    </row>
    <row r="311" spans="1:11" x14ac:dyDescent="0.25">
      <c r="A311" t="s">
        <v>10</v>
      </c>
      <c r="B311" t="s">
        <v>339</v>
      </c>
      <c r="C311" t="s">
        <v>331</v>
      </c>
      <c r="D311" t="s">
        <v>316</v>
      </c>
      <c r="E311">
        <v>33129</v>
      </c>
      <c r="F311">
        <v>12023</v>
      </c>
      <c r="H311">
        <v>0.32287537277874678</v>
      </c>
      <c r="K311">
        <v>0</v>
      </c>
    </row>
    <row r="312" spans="1:11" x14ac:dyDescent="0.25">
      <c r="A312" t="s">
        <v>10</v>
      </c>
      <c r="B312" t="s">
        <v>340</v>
      </c>
      <c r="C312" t="s">
        <v>331</v>
      </c>
      <c r="D312" t="s">
        <v>316</v>
      </c>
      <c r="E312">
        <v>33133</v>
      </c>
      <c r="F312">
        <v>2557</v>
      </c>
      <c r="H312">
        <v>0.51267806012587869</v>
      </c>
      <c r="K312">
        <v>342</v>
      </c>
    </row>
    <row r="313" spans="1:11" x14ac:dyDescent="0.25">
      <c r="A313" t="s">
        <v>10</v>
      </c>
      <c r="B313" t="s">
        <v>341</v>
      </c>
      <c r="C313" t="s">
        <v>85</v>
      </c>
      <c r="D313" t="s">
        <v>85</v>
      </c>
      <c r="E313">
        <v>33137</v>
      </c>
      <c r="F313">
        <v>532</v>
      </c>
      <c r="H313">
        <v>0.25528819312937456</v>
      </c>
      <c r="K313">
        <v>0</v>
      </c>
    </row>
    <row r="314" spans="1:11" x14ac:dyDescent="0.25">
      <c r="A314" t="s">
        <v>10</v>
      </c>
      <c r="B314" t="s">
        <v>342</v>
      </c>
      <c r="C314" t="s">
        <v>331</v>
      </c>
      <c r="D314" t="s">
        <v>316</v>
      </c>
      <c r="E314">
        <v>33141</v>
      </c>
      <c r="F314">
        <v>1054</v>
      </c>
      <c r="H314">
        <v>2.107521865889217E-2</v>
      </c>
      <c r="K314">
        <v>48</v>
      </c>
    </row>
    <row r="315" spans="1:11" x14ac:dyDescent="0.25">
      <c r="A315" t="s">
        <v>10</v>
      </c>
      <c r="B315" t="s">
        <v>343</v>
      </c>
      <c r="C315" t="s">
        <v>331</v>
      </c>
      <c r="D315" t="s">
        <v>316</v>
      </c>
      <c r="E315">
        <v>33143</v>
      </c>
      <c r="F315">
        <v>995</v>
      </c>
      <c r="H315">
        <v>0.16098586727957331</v>
      </c>
      <c r="K315">
        <v>0</v>
      </c>
    </row>
    <row r="316" spans="1:11" x14ac:dyDescent="0.25">
      <c r="A316" t="s">
        <v>10</v>
      </c>
      <c r="B316" t="s">
        <v>344</v>
      </c>
      <c r="C316" t="s">
        <v>331</v>
      </c>
      <c r="D316" t="s">
        <v>316</v>
      </c>
      <c r="E316">
        <v>33145</v>
      </c>
      <c r="F316">
        <v>1169</v>
      </c>
      <c r="H316">
        <v>0.13125574443243726</v>
      </c>
      <c r="K316">
        <v>45</v>
      </c>
    </row>
    <row r="317" spans="1:11" x14ac:dyDescent="0.25">
      <c r="A317" t="s">
        <v>10</v>
      </c>
      <c r="B317" t="s">
        <v>345</v>
      </c>
      <c r="C317" t="s">
        <v>331</v>
      </c>
      <c r="D317" t="s">
        <v>316</v>
      </c>
      <c r="E317">
        <v>33147</v>
      </c>
      <c r="F317">
        <v>263</v>
      </c>
      <c r="H317">
        <v>0.16388564140716333</v>
      </c>
      <c r="K317">
        <v>0</v>
      </c>
    </row>
    <row r="318" spans="1:11" x14ac:dyDescent="0.25">
      <c r="A318" t="s">
        <v>10</v>
      </c>
      <c r="B318" t="s">
        <v>346</v>
      </c>
      <c r="C318" t="s">
        <v>85</v>
      </c>
      <c r="D318" t="s">
        <v>85</v>
      </c>
      <c r="E318">
        <v>33152</v>
      </c>
      <c r="F318">
        <v>0</v>
      </c>
      <c r="H318">
        <v>0.17733595398919144</v>
      </c>
      <c r="K318">
        <v>0</v>
      </c>
    </row>
    <row r="319" spans="1:11" x14ac:dyDescent="0.25">
      <c r="A319" t="s">
        <v>10</v>
      </c>
      <c r="B319" t="s">
        <v>347</v>
      </c>
      <c r="C319" t="s">
        <v>331</v>
      </c>
      <c r="D319" t="s">
        <v>316</v>
      </c>
      <c r="E319">
        <v>33153</v>
      </c>
      <c r="F319">
        <v>575</v>
      </c>
      <c r="H319">
        <v>9.984908936803627E-2</v>
      </c>
      <c r="K319">
        <v>0</v>
      </c>
    </row>
    <row r="320" spans="1:11" x14ac:dyDescent="0.25">
      <c r="A320" t="s">
        <v>10</v>
      </c>
      <c r="B320" t="s">
        <v>348</v>
      </c>
      <c r="C320" t="s">
        <v>331</v>
      </c>
      <c r="D320" t="s">
        <v>316</v>
      </c>
      <c r="E320">
        <v>33157</v>
      </c>
      <c r="F320">
        <v>251</v>
      </c>
      <c r="H320">
        <v>0.14495576657738818</v>
      </c>
      <c r="K320">
        <v>0</v>
      </c>
    </row>
    <row r="321" spans="1:11" x14ac:dyDescent="0.25">
      <c r="A321" t="s">
        <v>10</v>
      </c>
      <c r="B321" t="s">
        <v>349</v>
      </c>
      <c r="C321" t="s">
        <v>331</v>
      </c>
      <c r="D321" t="s">
        <v>316</v>
      </c>
      <c r="E321">
        <v>33159</v>
      </c>
      <c r="F321">
        <v>318</v>
      </c>
      <c r="H321">
        <v>0.12115892167027986</v>
      </c>
      <c r="K321">
        <v>0</v>
      </c>
    </row>
    <row r="322" spans="1:11" x14ac:dyDescent="0.25">
      <c r="A322" t="s">
        <v>10</v>
      </c>
      <c r="B322" t="s">
        <v>350</v>
      </c>
      <c r="C322" t="s">
        <v>331</v>
      </c>
      <c r="D322" t="s">
        <v>316</v>
      </c>
      <c r="E322">
        <v>33161</v>
      </c>
      <c r="F322">
        <v>950</v>
      </c>
      <c r="H322">
        <v>7.1513580246913455E-2</v>
      </c>
      <c r="K322">
        <v>0</v>
      </c>
    </row>
    <row r="323" spans="1:11" x14ac:dyDescent="0.25">
      <c r="A323" t="s">
        <v>10</v>
      </c>
      <c r="B323" t="s">
        <v>351</v>
      </c>
      <c r="C323" t="s">
        <v>331</v>
      </c>
      <c r="D323" t="s">
        <v>316</v>
      </c>
      <c r="E323">
        <v>33163</v>
      </c>
      <c r="F323">
        <v>950</v>
      </c>
      <c r="H323">
        <v>0.23779661016949127</v>
      </c>
      <c r="K323">
        <v>0</v>
      </c>
    </row>
    <row r="324" spans="1:11" x14ac:dyDescent="0.25">
      <c r="A324" t="s">
        <v>10</v>
      </c>
      <c r="B324" t="s">
        <v>352</v>
      </c>
      <c r="C324" t="s">
        <v>90</v>
      </c>
      <c r="D324" t="s">
        <v>27</v>
      </c>
      <c r="E324">
        <v>25241</v>
      </c>
      <c r="F324">
        <v>893</v>
      </c>
      <c r="H324">
        <v>0.19804007141440183</v>
      </c>
      <c r="K324">
        <v>0</v>
      </c>
    </row>
    <row r="325" spans="1:11" x14ac:dyDescent="0.25">
      <c r="A325" t="s">
        <v>10</v>
      </c>
      <c r="B325" t="s">
        <v>353</v>
      </c>
      <c r="C325" t="s">
        <v>331</v>
      </c>
      <c r="D325" t="s">
        <v>316</v>
      </c>
      <c r="E325">
        <v>33165</v>
      </c>
      <c r="F325">
        <v>675</v>
      </c>
      <c r="H325">
        <v>0.11439954841419864</v>
      </c>
      <c r="K325">
        <v>0</v>
      </c>
    </row>
    <row r="326" spans="1:11" x14ac:dyDescent="0.25">
      <c r="A326" t="s">
        <v>10</v>
      </c>
      <c r="B326" t="s">
        <v>354</v>
      </c>
      <c r="C326" t="s">
        <v>331</v>
      </c>
      <c r="D326" t="s">
        <v>316</v>
      </c>
      <c r="E326">
        <v>33167</v>
      </c>
      <c r="F326">
        <v>623</v>
      </c>
      <c r="H326">
        <v>0.52176930614022354</v>
      </c>
      <c r="K326">
        <v>0</v>
      </c>
    </row>
    <row r="327" spans="1:11" x14ac:dyDescent="0.25">
      <c r="A327" t="s">
        <v>10</v>
      </c>
      <c r="B327" t="s">
        <v>355</v>
      </c>
      <c r="C327" t="s">
        <v>331</v>
      </c>
      <c r="D327" t="s">
        <v>316</v>
      </c>
      <c r="E327">
        <v>33169</v>
      </c>
      <c r="F327">
        <v>1461</v>
      </c>
      <c r="H327">
        <v>0.19502961983861899</v>
      </c>
      <c r="K327">
        <v>0</v>
      </c>
    </row>
    <row r="328" spans="1:11" x14ac:dyDescent="0.25">
      <c r="A328" t="s">
        <v>10</v>
      </c>
      <c r="B328" t="s">
        <v>356</v>
      </c>
      <c r="C328" t="s">
        <v>85</v>
      </c>
      <c r="D328" t="s">
        <v>85</v>
      </c>
      <c r="E328">
        <v>33171</v>
      </c>
      <c r="F328">
        <v>46</v>
      </c>
      <c r="H328">
        <v>0.21385139096463912</v>
      </c>
      <c r="K328">
        <v>0</v>
      </c>
    </row>
    <row r="329" spans="1:11" x14ac:dyDescent="0.25">
      <c r="A329" t="s">
        <v>10</v>
      </c>
      <c r="B329" t="s">
        <v>357</v>
      </c>
      <c r="C329" t="s">
        <v>331</v>
      </c>
      <c r="D329" t="s">
        <v>316</v>
      </c>
      <c r="E329">
        <v>33219</v>
      </c>
      <c r="F329">
        <v>85</v>
      </c>
      <c r="H329">
        <v>7.0813138735405401E-2</v>
      </c>
      <c r="K329">
        <v>0</v>
      </c>
    </row>
    <row r="330" spans="1:11" x14ac:dyDescent="0.25">
      <c r="A330" t="s">
        <v>10</v>
      </c>
      <c r="B330" t="s">
        <v>358</v>
      </c>
      <c r="C330" t="s">
        <v>331</v>
      </c>
      <c r="D330" t="s">
        <v>316</v>
      </c>
      <c r="E330">
        <v>33223</v>
      </c>
      <c r="F330">
        <v>143</v>
      </c>
      <c r="H330">
        <v>2.3672596138135105E-2</v>
      </c>
      <c r="K330">
        <v>0</v>
      </c>
    </row>
    <row r="331" spans="1:11" x14ac:dyDescent="0.25">
      <c r="A331" t="s">
        <v>10</v>
      </c>
      <c r="B331" t="s">
        <v>359</v>
      </c>
      <c r="C331" t="s">
        <v>331</v>
      </c>
      <c r="D331" t="s">
        <v>316</v>
      </c>
      <c r="E331">
        <v>33227</v>
      </c>
      <c r="F331">
        <v>1071</v>
      </c>
      <c r="H331">
        <v>6.2476125522779369E-2</v>
      </c>
      <c r="K331">
        <v>0</v>
      </c>
    </row>
    <row r="332" spans="1:11" x14ac:dyDescent="0.25">
      <c r="A332" t="s">
        <v>10</v>
      </c>
      <c r="B332" t="s">
        <v>360</v>
      </c>
      <c r="C332" t="s">
        <v>331</v>
      </c>
      <c r="D332" t="s">
        <v>316</v>
      </c>
      <c r="E332">
        <v>33235</v>
      </c>
      <c r="F332">
        <v>215</v>
      </c>
      <c r="H332">
        <v>7.7808948955139345E-2</v>
      </c>
      <c r="K332">
        <v>0</v>
      </c>
    </row>
    <row r="333" spans="1:11" x14ac:dyDescent="0.25">
      <c r="A333" t="s">
        <v>10</v>
      </c>
      <c r="B333" t="s">
        <v>361</v>
      </c>
      <c r="C333" t="s">
        <v>331</v>
      </c>
      <c r="D333" t="s">
        <v>316</v>
      </c>
      <c r="E333">
        <v>33243</v>
      </c>
      <c r="F333">
        <v>1170</v>
      </c>
      <c r="H333">
        <v>8.9951592728623853E-2</v>
      </c>
      <c r="K333">
        <v>0</v>
      </c>
    </row>
    <row r="334" spans="1:11" x14ac:dyDescent="0.25">
      <c r="A334" t="s">
        <v>10</v>
      </c>
      <c r="B334" t="s">
        <v>362</v>
      </c>
      <c r="C334" t="s">
        <v>331</v>
      </c>
      <c r="D334" t="s">
        <v>316</v>
      </c>
      <c r="E334">
        <v>33251</v>
      </c>
      <c r="F334">
        <v>4264</v>
      </c>
      <c r="H334">
        <v>0.11284558286152013</v>
      </c>
      <c r="K334">
        <v>0</v>
      </c>
    </row>
    <row r="335" spans="1:11" x14ac:dyDescent="0.25">
      <c r="A335" t="s">
        <v>10</v>
      </c>
      <c r="B335" t="s">
        <v>363</v>
      </c>
      <c r="C335" t="s">
        <v>331</v>
      </c>
      <c r="D335" t="s">
        <v>316</v>
      </c>
      <c r="E335">
        <v>33255</v>
      </c>
      <c r="F335">
        <v>712</v>
      </c>
      <c r="H335">
        <v>9.3439283591990385E-2</v>
      </c>
      <c r="K335">
        <v>0</v>
      </c>
    </row>
    <row r="336" spans="1:11" x14ac:dyDescent="0.25">
      <c r="A336" t="s">
        <v>10</v>
      </c>
      <c r="B336" t="s">
        <v>364</v>
      </c>
      <c r="C336" t="s">
        <v>331</v>
      </c>
      <c r="D336" t="s">
        <v>316</v>
      </c>
      <c r="E336">
        <v>33259</v>
      </c>
      <c r="F336">
        <v>1383</v>
      </c>
      <c r="H336">
        <v>8.6365593894095261E-2</v>
      </c>
      <c r="K336">
        <v>0</v>
      </c>
    </row>
    <row r="337" spans="1:11" x14ac:dyDescent="0.25">
      <c r="A337" t="s">
        <v>10</v>
      </c>
      <c r="B337" t="s">
        <v>365</v>
      </c>
      <c r="C337" t="s">
        <v>331</v>
      </c>
      <c r="D337" t="s">
        <v>316</v>
      </c>
      <c r="E337">
        <v>33267</v>
      </c>
      <c r="F337">
        <v>1221</v>
      </c>
      <c r="H337">
        <v>0.25917834925040861</v>
      </c>
      <c r="K337">
        <v>0</v>
      </c>
    </row>
    <row r="338" spans="1:11" x14ac:dyDescent="0.25">
      <c r="A338" t="s">
        <v>10</v>
      </c>
      <c r="B338" t="s">
        <v>366</v>
      </c>
      <c r="C338" t="s">
        <v>331</v>
      </c>
      <c r="D338" t="s">
        <v>316</v>
      </c>
      <c r="E338">
        <v>33271</v>
      </c>
      <c r="F338">
        <v>5333</v>
      </c>
      <c r="H338">
        <v>1.6280810724131012E-2</v>
      </c>
      <c r="K338">
        <v>193</v>
      </c>
    </row>
    <row r="339" spans="1:11" x14ac:dyDescent="0.25">
      <c r="A339" t="s">
        <v>10</v>
      </c>
      <c r="B339" t="s">
        <v>367</v>
      </c>
      <c r="C339" t="s">
        <v>331</v>
      </c>
      <c r="D339" t="s">
        <v>316</v>
      </c>
      <c r="E339">
        <v>33275</v>
      </c>
      <c r="F339">
        <v>958</v>
      </c>
      <c r="H339">
        <v>0.33994047974145825</v>
      </c>
      <c r="K339">
        <v>0</v>
      </c>
    </row>
    <row r="340" spans="1:11" x14ac:dyDescent="0.25">
      <c r="A340" t="s">
        <v>10</v>
      </c>
      <c r="B340" t="s">
        <v>368</v>
      </c>
      <c r="C340" t="s">
        <v>331</v>
      </c>
      <c r="D340" t="s">
        <v>316</v>
      </c>
      <c r="E340">
        <v>33279</v>
      </c>
      <c r="F340">
        <v>182</v>
      </c>
      <c r="H340">
        <v>0.35046963610586013</v>
      </c>
      <c r="K340">
        <v>0</v>
      </c>
    </row>
    <row r="341" spans="1:11" x14ac:dyDescent="0.25">
      <c r="A341" t="s">
        <v>10</v>
      </c>
      <c r="B341" t="s">
        <v>369</v>
      </c>
      <c r="C341" t="s">
        <v>331</v>
      </c>
      <c r="D341" t="s">
        <v>316</v>
      </c>
      <c r="E341">
        <v>33287</v>
      </c>
      <c r="F341">
        <v>490</v>
      </c>
      <c r="H341">
        <v>0.51727589449583733</v>
      </c>
      <c r="K341">
        <v>0</v>
      </c>
    </row>
    <row r="342" spans="1:11" x14ac:dyDescent="0.25">
      <c r="A342" t="s">
        <v>10</v>
      </c>
      <c r="B342" t="s">
        <v>370</v>
      </c>
      <c r="C342" t="s">
        <v>331</v>
      </c>
      <c r="D342" t="s">
        <v>316</v>
      </c>
      <c r="E342">
        <v>33291</v>
      </c>
      <c r="F342">
        <v>204</v>
      </c>
      <c r="H342">
        <v>0.22702286334512112</v>
      </c>
      <c r="K342">
        <v>0</v>
      </c>
    </row>
    <row r="343" spans="1:11" x14ac:dyDescent="0.25">
      <c r="A343" t="s">
        <v>10</v>
      </c>
      <c r="B343" t="s">
        <v>371</v>
      </c>
      <c r="C343" t="s">
        <v>85</v>
      </c>
      <c r="D343" t="s">
        <v>85</v>
      </c>
      <c r="E343">
        <v>34211</v>
      </c>
      <c r="F343">
        <v>138</v>
      </c>
      <c r="H343">
        <v>0.35025419145484038</v>
      </c>
      <c r="K343">
        <v>0</v>
      </c>
    </row>
    <row r="344" spans="1:11" x14ac:dyDescent="0.25">
      <c r="A344" t="s">
        <v>10</v>
      </c>
      <c r="B344" t="s">
        <v>372</v>
      </c>
      <c r="C344" t="s">
        <v>331</v>
      </c>
      <c r="D344" t="s">
        <v>316</v>
      </c>
      <c r="E344">
        <v>34212</v>
      </c>
      <c r="F344">
        <v>505</v>
      </c>
      <c r="H344">
        <v>0.13368009185100393</v>
      </c>
      <c r="K344">
        <v>0</v>
      </c>
    </row>
    <row r="345" spans="1:11" x14ac:dyDescent="0.25">
      <c r="A345" t="s">
        <v>10</v>
      </c>
      <c r="B345" t="s">
        <v>373</v>
      </c>
      <c r="C345" t="s">
        <v>234</v>
      </c>
      <c r="D345" t="s">
        <v>88</v>
      </c>
      <c r="E345">
        <v>34243</v>
      </c>
      <c r="F345">
        <v>796</v>
      </c>
      <c r="H345">
        <v>0.19477660240426953</v>
      </c>
      <c r="K345">
        <v>0</v>
      </c>
    </row>
    <row r="346" spans="1:11" x14ac:dyDescent="0.25">
      <c r="A346" t="s">
        <v>10</v>
      </c>
      <c r="B346" t="s">
        <v>374</v>
      </c>
      <c r="C346" t="s">
        <v>82</v>
      </c>
      <c r="D346" t="s">
        <v>83</v>
      </c>
      <c r="E346">
        <v>34247</v>
      </c>
      <c r="F346">
        <v>250</v>
      </c>
      <c r="H346">
        <v>0.14561330986571863</v>
      </c>
      <c r="K346">
        <v>0</v>
      </c>
    </row>
    <row r="347" spans="1:11" x14ac:dyDescent="0.25">
      <c r="A347" t="s">
        <v>10</v>
      </c>
      <c r="B347" t="s">
        <v>375</v>
      </c>
      <c r="C347" t="s">
        <v>85</v>
      </c>
      <c r="D347" t="s">
        <v>85</v>
      </c>
      <c r="E347">
        <v>35111</v>
      </c>
      <c r="F347">
        <v>15896</v>
      </c>
      <c r="H347">
        <v>0.52601456673049496</v>
      </c>
      <c r="K347">
        <v>256</v>
      </c>
    </row>
    <row r="348" spans="1:11" x14ac:dyDescent="0.25">
      <c r="A348" t="s">
        <v>10</v>
      </c>
      <c r="B348" t="s">
        <v>376</v>
      </c>
      <c r="C348" t="s">
        <v>85</v>
      </c>
      <c r="D348" t="s">
        <v>85</v>
      </c>
      <c r="E348">
        <v>35113</v>
      </c>
      <c r="F348">
        <v>3142</v>
      </c>
      <c r="H348">
        <v>0.52123676589026569</v>
      </c>
      <c r="K348">
        <v>43</v>
      </c>
    </row>
    <row r="349" spans="1:11" x14ac:dyDescent="0.25">
      <c r="A349" t="s">
        <v>10</v>
      </c>
      <c r="B349" t="s">
        <v>377</v>
      </c>
      <c r="C349" t="s">
        <v>85</v>
      </c>
      <c r="D349" t="s">
        <v>85</v>
      </c>
      <c r="E349">
        <v>35115</v>
      </c>
      <c r="F349">
        <v>1014</v>
      </c>
      <c r="H349">
        <v>0.21389378796786207</v>
      </c>
      <c r="K349">
        <v>0</v>
      </c>
    </row>
    <row r="350" spans="1:11" x14ac:dyDescent="0.25">
      <c r="A350" t="s">
        <v>10</v>
      </c>
      <c r="B350" t="s">
        <v>378</v>
      </c>
      <c r="C350" t="s">
        <v>85</v>
      </c>
      <c r="D350" t="s">
        <v>85</v>
      </c>
      <c r="E350">
        <v>35117</v>
      </c>
      <c r="F350">
        <v>1769</v>
      </c>
      <c r="H350">
        <v>0.32467105065729862</v>
      </c>
      <c r="K350">
        <v>0</v>
      </c>
    </row>
    <row r="351" spans="1:11" x14ac:dyDescent="0.25">
      <c r="A351" t="s">
        <v>10</v>
      </c>
      <c r="B351" t="s">
        <v>379</v>
      </c>
      <c r="C351" t="s">
        <v>85</v>
      </c>
      <c r="D351" t="s">
        <v>85</v>
      </c>
      <c r="E351">
        <v>35119</v>
      </c>
      <c r="F351">
        <v>921</v>
      </c>
      <c r="H351">
        <v>3.7310612770279139E-2</v>
      </c>
      <c r="K351">
        <v>0</v>
      </c>
    </row>
    <row r="352" spans="1:11" x14ac:dyDescent="0.25">
      <c r="A352" t="s">
        <v>10</v>
      </c>
      <c r="B352" t="s">
        <v>380</v>
      </c>
      <c r="C352" t="s">
        <v>85</v>
      </c>
      <c r="D352" t="s">
        <v>85</v>
      </c>
      <c r="E352">
        <v>35121</v>
      </c>
      <c r="F352">
        <v>185</v>
      </c>
      <c r="H352">
        <v>0</v>
      </c>
      <c r="K352">
        <v>0</v>
      </c>
    </row>
    <row r="353" spans="1:11" x14ac:dyDescent="0.25">
      <c r="A353" t="s">
        <v>10</v>
      </c>
      <c r="B353" t="s">
        <v>381</v>
      </c>
      <c r="C353" t="s">
        <v>85</v>
      </c>
      <c r="D353" t="s">
        <v>85</v>
      </c>
      <c r="E353">
        <v>35123</v>
      </c>
      <c r="F353">
        <v>2338</v>
      </c>
      <c r="H353">
        <v>0.25802706349352544</v>
      </c>
      <c r="K353">
        <v>0</v>
      </c>
    </row>
    <row r="354" spans="1:11" x14ac:dyDescent="0.25">
      <c r="A354" t="s">
        <v>10</v>
      </c>
      <c r="B354" t="s">
        <v>382</v>
      </c>
      <c r="C354" t="s">
        <v>85</v>
      </c>
      <c r="D354" t="s">
        <v>85</v>
      </c>
      <c r="E354">
        <v>35126</v>
      </c>
      <c r="F354">
        <v>2541</v>
      </c>
      <c r="H354">
        <v>0.13323176373991585</v>
      </c>
      <c r="K354">
        <v>0</v>
      </c>
    </row>
    <row r="355" spans="1:11" x14ac:dyDescent="0.25">
      <c r="A355" t="s">
        <v>10</v>
      </c>
      <c r="B355" t="s">
        <v>383</v>
      </c>
      <c r="C355" t="s">
        <v>85</v>
      </c>
      <c r="D355" t="s">
        <v>85</v>
      </c>
      <c r="E355">
        <v>35127</v>
      </c>
      <c r="F355">
        <v>2134</v>
      </c>
      <c r="H355">
        <v>0.18379181258302135</v>
      </c>
      <c r="K355">
        <v>0</v>
      </c>
    </row>
    <row r="356" spans="1:11" x14ac:dyDescent="0.25">
      <c r="A356" t="s">
        <v>10</v>
      </c>
      <c r="B356" t="s">
        <v>384</v>
      </c>
      <c r="C356" t="s">
        <v>85</v>
      </c>
      <c r="D356" t="s">
        <v>85</v>
      </c>
      <c r="E356">
        <v>35129</v>
      </c>
      <c r="F356">
        <v>6756</v>
      </c>
      <c r="H356">
        <v>0.62560455712209573</v>
      </c>
      <c r="K356">
        <v>64</v>
      </c>
    </row>
    <row r="357" spans="1:11" x14ac:dyDescent="0.25">
      <c r="A357" t="s">
        <v>10</v>
      </c>
      <c r="B357" t="s">
        <v>385</v>
      </c>
      <c r="C357" t="s">
        <v>85</v>
      </c>
      <c r="D357" t="s">
        <v>85</v>
      </c>
      <c r="E357">
        <v>35131</v>
      </c>
      <c r="F357">
        <v>641</v>
      </c>
      <c r="H357">
        <v>0.2248639609759705</v>
      </c>
      <c r="K357">
        <v>0</v>
      </c>
    </row>
    <row r="358" spans="1:11" x14ac:dyDescent="0.25">
      <c r="A358" t="s">
        <v>10</v>
      </c>
      <c r="B358" t="s">
        <v>386</v>
      </c>
      <c r="C358" t="s">
        <v>85</v>
      </c>
      <c r="D358" t="s">
        <v>85</v>
      </c>
      <c r="E358">
        <v>35133</v>
      </c>
      <c r="F358">
        <v>753</v>
      </c>
      <c r="H358">
        <v>0.62902805204890577</v>
      </c>
      <c r="K358">
        <v>0</v>
      </c>
    </row>
    <row r="359" spans="1:11" x14ac:dyDescent="0.25">
      <c r="A359" t="s">
        <v>10</v>
      </c>
      <c r="B359" t="s">
        <v>387</v>
      </c>
      <c r="C359" t="s">
        <v>85</v>
      </c>
      <c r="D359" t="s">
        <v>85</v>
      </c>
      <c r="E359">
        <v>35134</v>
      </c>
      <c r="F359">
        <v>122</v>
      </c>
      <c r="H359">
        <v>0.6023585904950215</v>
      </c>
      <c r="K359">
        <v>0</v>
      </c>
    </row>
    <row r="360" spans="1:11" x14ac:dyDescent="0.25">
      <c r="A360" t="s">
        <v>10</v>
      </c>
      <c r="B360" t="s">
        <v>388</v>
      </c>
      <c r="C360" t="s">
        <v>85</v>
      </c>
      <c r="D360" t="s">
        <v>85</v>
      </c>
      <c r="E360">
        <v>35137</v>
      </c>
      <c r="F360">
        <v>5383</v>
      </c>
      <c r="H360">
        <v>6.6590798576098287E-3</v>
      </c>
      <c r="K360">
        <v>53</v>
      </c>
    </row>
    <row r="361" spans="1:11" x14ac:dyDescent="0.25">
      <c r="A361" t="s">
        <v>10</v>
      </c>
      <c r="B361" t="s">
        <v>389</v>
      </c>
      <c r="C361" t="s">
        <v>85</v>
      </c>
      <c r="D361" t="s">
        <v>85</v>
      </c>
      <c r="E361">
        <v>35139</v>
      </c>
      <c r="F361">
        <v>1487</v>
      </c>
      <c r="H361">
        <v>1.6718853812953016E-2</v>
      </c>
      <c r="K361">
        <v>0</v>
      </c>
    </row>
    <row r="362" spans="1:11" x14ac:dyDescent="0.25">
      <c r="A362" t="s">
        <v>10</v>
      </c>
      <c r="B362" t="s">
        <v>390</v>
      </c>
      <c r="C362" t="s">
        <v>85</v>
      </c>
      <c r="D362" t="s">
        <v>85</v>
      </c>
      <c r="E362">
        <v>35141</v>
      </c>
      <c r="F362">
        <v>5483</v>
      </c>
      <c r="H362">
        <v>2.4332869133200541E-2</v>
      </c>
      <c r="K362">
        <v>0</v>
      </c>
    </row>
    <row r="363" spans="1:11" x14ac:dyDescent="0.25">
      <c r="A363" t="s">
        <v>10</v>
      </c>
      <c r="B363" t="s">
        <v>391</v>
      </c>
      <c r="C363" t="s">
        <v>85</v>
      </c>
      <c r="D363" t="s">
        <v>85</v>
      </c>
      <c r="E363">
        <v>35143</v>
      </c>
      <c r="F363">
        <v>1291</v>
      </c>
      <c r="H363">
        <v>1.0365228666118997E-2</v>
      </c>
      <c r="K363">
        <v>0</v>
      </c>
    </row>
    <row r="364" spans="1:11" x14ac:dyDescent="0.25">
      <c r="A364" t="s">
        <v>10</v>
      </c>
      <c r="B364" t="s">
        <v>392</v>
      </c>
      <c r="C364" t="s">
        <v>85</v>
      </c>
      <c r="D364" t="s">
        <v>85</v>
      </c>
      <c r="E364">
        <v>35145</v>
      </c>
      <c r="F364">
        <v>1049</v>
      </c>
      <c r="H364">
        <v>0.53603672925002566</v>
      </c>
      <c r="K364">
        <v>0</v>
      </c>
    </row>
    <row r="365" spans="1:11" x14ac:dyDescent="0.25">
      <c r="A365" t="s">
        <v>10</v>
      </c>
      <c r="B365" t="s">
        <v>393</v>
      </c>
      <c r="C365" t="s">
        <v>85</v>
      </c>
      <c r="D365" t="s">
        <v>85</v>
      </c>
      <c r="E365">
        <v>35147</v>
      </c>
      <c r="F365">
        <v>2622</v>
      </c>
      <c r="H365">
        <v>0.16995748900280017</v>
      </c>
      <c r="K365">
        <v>38</v>
      </c>
    </row>
    <row r="366" spans="1:11" x14ac:dyDescent="0.25">
      <c r="A366" t="s">
        <v>10</v>
      </c>
      <c r="B366" t="s">
        <v>394</v>
      </c>
      <c r="C366" t="s">
        <v>85</v>
      </c>
      <c r="D366" t="s">
        <v>85</v>
      </c>
      <c r="E366">
        <v>35149</v>
      </c>
      <c r="F366">
        <v>7974</v>
      </c>
      <c r="H366">
        <v>0.54728745411106572</v>
      </c>
      <c r="K366">
        <v>74</v>
      </c>
    </row>
    <row r="367" spans="1:11" x14ac:dyDescent="0.25">
      <c r="A367" t="s">
        <v>10</v>
      </c>
      <c r="B367" t="s">
        <v>395</v>
      </c>
      <c r="C367" t="s">
        <v>85</v>
      </c>
      <c r="D367" t="s">
        <v>85</v>
      </c>
      <c r="E367">
        <v>35151</v>
      </c>
      <c r="F367">
        <v>1720</v>
      </c>
      <c r="H367">
        <v>9.4538595546987958E-3</v>
      </c>
      <c r="K367">
        <v>0</v>
      </c>
    </row>
    <row r="368" spans="1:11" x14ac:dyDescent="0.25">
      <c r="A368" t="s">
        <v>10</v>
      </c>
      <c r="B368" t="s">
        <v>396</v>
      </c>
      <c r="C368" t="s">
        <v>85</v>
      </c>
      <c r="D368" t="s">
        <v>85</v>
      </c>
      <c r="E368">
        <v>35153</v>
      </c>
      <c r="F368">
        <v>636</v>
      </c>
      <c r="H368">
        <v>1.8053634677011154E-2</v>
      </c>
      <c r="K368">
        <v>0</v>
      </c>
    </row>
    <row r="369" spans="1:11" x14ac:dyDescent="0.25">
      <c r="A369" t="s">
        <v>10</v>
      </c>
      <c r="B369" t="s">
        <v>397</v>
      </c>
      <c r="C369" t="s">
        <v>85</v>
      </c>
      <c r="D369" t="s">
        <v>85</v>
      </c>
      <c r="E369">
        <v>35155</v>
      </c>
      <c r="F369">
        <v>614</v>
      </c>
      <c r="H369">
        <v>0.2846013699597485</v>
      </c>
      <c r="K369">
        <v>0</v>
      </c>
    </row>
    <row r="370" spans="1:11" x14ac:dyDescent="0.25">
      <c r="A370" t="s">
        <v>10</v>
      </c>
      <c r="B370" t="s">
        <v>398</v>
      </c>
      <c r="C370" t="s">
        <v>85</v>
      </c>
      <c r="D370" t="s">
        <v>85</v>
      </c>
      <c r="E370">
        <v>35159</v>
      </c>
      <c r="F370">
        <v>599</v>
      </c>
      <c r="H370">
        <v>9.6450892836545066E-2</v>
      </c>
      <c r="K370">
        <v>0</v>
      </c>
    </row>
    <row r="371" spans="1:11" x14ac:dyDescent="0.25">
      <c r="A371" t="s">
        <v>10</v>
      </c>
      <c r="B371" t="s">
        <v>399</v>
      </c>
      <c r="C371" t="s">
        <v>85</v>
      </c>
      <c r="D371" t="s">
        <v>85</v>
      </c>
      <c r="E371">
        <v>35161</v>
      </c>
      <c r="F371">
        <v>463</v>
      </c>
      <c r="H371">
        <v>0.27494020792019724</v>
      </c>
      <c r="K371">
        <v>0</v>
      </c>
    </row>
    <row r="372" spans="1:11" x14ac:dyDescent="0.25">
      <c r="A372" t="s">
        <v>10</v>
      </c>
      <c r="B372" t="s">
        <v>400</v>
      </c>
      <c r="C372" t="s">
        <v>85</v>
      </c>
      <c r="D372" t="s">
        <v>85</v>
      </c>
      <c r="E372">
        <v>35163</v>
      </c>
      <c r="F372">
        <v>1284</v>
      </c>
      <c r="H372">
        <v>0.19142291021483615</v>
      </c>
      <c r="K372">
        <v>0</v>
      </c>
    </row>
    <row r="373" spans="1:11" x14ac:dyDescent="0.25">
      <c r="A373" t="s">
        <v>10</v>
      </c>
      <c r="B373" t="s">
        <v>401</v>
      </c>
      <c r="C373" t="s">
        <v>85</v>
      </c>
      <c r="D373" t="s">
        <v>85</v>
      </c>
      <c r="E373">
        <v>35167</v>
      </c>
      <c r="F373">
        <v>1051</v>
      </c>
      <c r="H373">
        <v>6.904405058430152E-3</v>
      </c>
      <c r="K373">
        <v>0</v>
      </c>
    </row>
    <row r="374" spans="1:11" x14ac:dyDescent="0.25">
      <c r="A374" t="s">
        <v>10</v>
      </c>
      <c r="B374" t="s">
        <v>402</v>
      </c>
      <c r="C374" t="s">
        <v>85</v>
      </c>
      <c r="D374" t="s">
        <v>85</v>
      </c>
      <c r="E374">
        <v>35169</v>
      </c>
      <c r="F374">
        <v>224</v>
      </c>
      <c r="H374">
        <v>0.13774046126049533</v>
      </c>
      <c r="K374">
        <v>0</v>
      </c>
    </row>
    <row r="375" spans="1:11" x14ac:dyDescent="0.25">
      <c r="A375" t="s">
        <v>10</v>
      </c>
      <c r="B375" t="s">
        <v>403</v>
      </c>
      <c r="C375" t="s">
        <v>85</v>
      </c>
      <c r="D375" t="s">
        <v>85</v>
      </c>
      <c r="E375">
        <v>35171</v>
      </c>
      <c r="F375">
        <v>5726</v>
      </c>
      <c r="H375">
        <v>7.6218940083940256E-2</v>
      </c>
      <c r="K375">
        <v>73</v>
      </c>
    </row>
    <row r="376" spans="1:11" x14ac:dyDescent="0.25">
      <c r="A376" t="s">
        <v>10</v>
      </c>
      <c r="B376" t="s">
        <v>404</v>
      </c>
      <c r="C376" t="s">
        <v>85</v>
      </c>
      <c r="D376" t="s">
        <v>85</v>
      </c>
      <c r="E376">
        <v>35174</v>
      </c>
      <c r="F376">
        <v>1027</v>
      </c>
      <c r="H376">
        <v>0.19137012101741846</v>
      </c>
      <c r="K376">
        <v>0</v>
      </c>
    </row>
    <row r="377" spans="1:11" x14ac:dyDescent="0.25">
      <c r="A377" t="s">
        <v>10</v>
      </c>
      <c r="B377" t="s">
        <v>405</v>
      </c>
      <c r="C377" t="s">
        <v>85</v>
      </c>
      <c r="D377" t="s">
        <v>85</v>
      </c>
      <c r="E377">
        <v>35175</v>
      </c>
      <c r="F377">
        <v>2220</v>
      </c>
      <c r="H377">
        <v>0.44977225363893758</v>
      </c>
      <c r="K377">
        <v>0</v>
      </c>
    </row>
    <row r="378" spans="1:11" x14ac:dyDescent="0.25">
      <c r="A378" t="s">
        <v>10</v>
      </c>
      <c r="B378" t="s">
        <v>406</v>
      </c>
      <c r="C378" t="s">
        <v>85</v>
      </c>
      <c r="D378" t="s">
        <v>85</v>
      </c>
      <c r="E378">
        <v>35177</v>
      </c>
      <c r="F378">
        <v>1157</v>
      </c>
      <c r="H378">
        <v>2.263286613120552E-2</v>
      </c>
      <c r="K378">
        <v>0</v>
      </c>
    </row>
    <row r="379" spans="1:11" x14ac:dyDescent="0.25">
      <c r="A379" t="s">
        <v>10</v>
      </c>
      <c r="B379" t="s">
        <v>407</v>
      </c>
      <c r="C379" t="s">
        <v>85</v>
      </c>
      <c r="D379" t="s">
        <v>85</v>
      </c>
      <c r="E379">
        <v>35179</v>
      </c>
      <c r="F379">
        <v>734</v>
      </c>
      <c r="H379">
        <v>0.41515827664399063</v>
      </c>
      <c r="K379">
        <v>0</v>
      </c>
    </row>
    <row r="380" spans="1:11" x14ac:dyDescent="0.25">
      <c r="A380" t="s">
        <v>10</v>
      </c>
      <c r="B380" t="s">
        <v>408</v>
      </c>
      <c r="C380" t="s">
        <v>85</v>
      </c>
      <c r="D380" t="s">
        <v>85</v>
      </c>
      <c r="E380">
        <v>35181</v>
      </c>
      <c r="F380">
        <v>418</v>
      </c>
      <c r="H380">
        <v>0.53064755313890255</v>
      </c>
      <c r="K380">
        <v>0</v>
      </c>
    </row>
    <row r="381" spans="1:11" x14ac:dyDescent="0.25">
      <c r="A381" t="s">
        <v>10</v>
      </c>
      <c r="B381" t="s">
        <v>409</v>
      </c>
      <c r="C381" t="s">
        <v>85</v>
      </c>
      <c r="D381" t="s">
        <v>85</v>
      </c>
      <c r="E381">
        <v>35183</v>
      </c>
      <c r="F381">
        <v>927</v>
      </c>
      <c r="H381">
        <v>2.5340241507373573E-2</v>
      </c>
      <c r="K381">
        <v>0</v>
      </c>
    </row>
    <row r="382" spans="1:11" x14ac:dyDescent="0.25">
      <c r="A382" t="s">
        <v>10</v>
      </c>
      <c r="B382" t="s">
        <v>410</v>
      </c>
      <c r="C382" t="s">
        <v>85</v>
      </c>
      <c r="D382" t="s">
        <v>85</v>
      </c>
      <c r="E382">
        <v>35185</v>
      </c>
      <c r="F382">
        <v>1885</v>
      </c>
      <c r="H382">
        <v>3.1707569311381967E-2</v>
      </c>
      <c r="K382">
        <v>0</v>
      </c>
    </row>
    <row r="383" spans="1:11" x14ac:dyDescent="0.25">
      <c r="A383" t="s">
        <v>10</v>
      </c>
      <c r="B383" t="s">
        <v>411</v>
      </c>
      <c r="C383" t="s">
        <v>85</v>
      </c>
      <c r="D383" t="s">
        <v>85</v>
      </c>
      <c r="E383">
        <v>35187</v>
      </c>
      <c r="F383">
        <v>1820</v>
      </c>
      <c r="H383">
        <v>0.21000693492958378</v>
      </c>
      <c r="K383">
        <v>0</v>
      </c>
    </row>
    <row r="384" spans="1:11" x14ac:dyDescent="0.25">
      <c r="A384" t="s">
        <v>10</v>
      </c>
      <c r="B384" t="s">
        <v>412</v>
      </c>
      <c r="C384" t="s">
        <v>85</v>
      </c>
      <c r="D384" t="s">
        <v>85</v>
      </c>
      <c r="E384">
        <v>35189</v>
      </c>
      <c r="F384">
        <v>2924</v>
      </c>
      <c r="H384">
        <v>0.57219727354974581</v>
      </c>
      <c r="K384">
        <v>49</v>
      </c>
    </row>
    <row r="385" spans="1:11" x14ac:dyDescent="0.25">
      <c r="A385" t="s">
        <v>10</v>
      </c>
      <c r="B385" t="s">
        <v>413</v>
      </c>
      <c r="C385" t="s">
        <v>85</v>
      </c>
      <c r="D385" t="s">
        <v>85</v>
      </c>
      <c r="E385">
        <v>35191</v>
      </c>
      <c r="F385">
        <v>10147</v>
      </c>
      <c r="H385">
        <v>2.170504312594046E-2</v>
      </c>
      <c r="K385">
        <v>111</v>
      </c>
    </row>
    <row r="386" spans="1:11" x14ac:dyDescent="0.25">
      <c r="A386" t="s">
        <v>10</v>
      </c>
      <c r="B386" t="s">
        <v>414</v>
      </c>
      <c r="C386" t="s">
        <v>85</v>
      </c>
      <c r="D386" t="s">
        <v>85</v>
      </c>
      <c r="E386">
        <v>35213</v>
      </c>
      <c r="F386">
        <v>2255</v>
      </c>
      <c r="H386">
        <v>0.54349683744884381</v>
      </c>
      <c r="K386">
        <v>0</v>
      </c>
    </row>
    <row r="387" spans="1:11" x14ac:dyDescent="0.25">
      <c r="A387" t="s">
        <v>10</v>
      </c>
      <c r="B387" t="s">
        <v>415</v>
      </c>
      <c r="C387" t="s">
        <v>85</v>
      </c>
      <c r="D387" t="s">
        <v>85</v>
      </c>
      <c r="E387">
        <v>35215</v>
      </c>
      <c r="F387">
        <v>1985</v>
      </c>
      <c r="H387">
        <v>1.1572978637101161E-2</v>
      </c>
      <c r="K387">
        <v>0</v>
      </c>
    </row>
    <row r="388" spans="1:11" x14ac:dyDescent="0.25">
      <c r="A388" t="s">
        <v>10</v>
      </c>
      <c r="B388" t="s">
        <v>416</v>
      </c>
      <c r="C388" t="s">
        <v>85</v>
      </c>
      <c r="D388" t="s">
        <v>85</v>
      </c>
      <c r="E388">
        <v>35216</v>
      </c>
      <c r="F388">
        <v>6692</v>
      </c>
      <c r="H388">
        <v>3.1083636906698464E-2</v>
      </c>
      <c r="K388">
        <v>0</v>
      </c>
    </row>
    <row r="389" spans="1:11" x14ac:dyDescent="0.25">
      <c r="A389" t="s">
        <v>10</v>
      </c>
      <c r="B389" t="s">
        <v>417</v>
      </c>
      <c r="C389" t="s">
        <v>85</v>
      </c>
      <c r="D389" t="s">
        <v>85</v>
      </c>
      <c r="E389">
        <v>35217</v>
      </c>
      <c r="F389">
        <v>1192</v>
      </c>
      <c r="H389">
        <v>8.46273699690131E-2</v>
      </c>
      <c r="K389">
        <v>0</v>
      </c>
    </row>
    <row r="390" spans="1:11" x14ac:dyDescent="0.25">
      <c r="A390" t="s">
        <v>10</v>
      </c>
      <c r="B390" t="s">
        <v>418</v>
      </c>
      <c r="C390" t="s">
        <v>85</v>
      </c>
      <c r="D390" t="s">
        <v>85</v>
      </c>
      <c r="E390">
        <v>35221</v>
      </c>
      <c r="F390">
        <v>4651</v>
      </c>
      <c r="H390">
        <v>0.51813593696763305</v>
      </c>
      <c r="K390">
        <v>0</v>
      </c>
    </row>
    <row r="391" spans="1:11" x14ac:dyDescent="0.25">
      <c r="A391" t="s">
        <v>10</v>
      </c>
      <c r="B391" t="s">
        <v>419</v>
      </c>
      <c r="C391" t="s">
        <v>85</v>
      </c>
      <c r="D391" t="s">
        <v>85</v>
      </c>
      <c r="E391">
        <v>35224</v>
      </c>
      <c r="F391">
        <v>4376</v>
      </c>
      <c r="H391">
        <v>1.7352834614137946E-2</v>
      </c>
      <c r="K391">
        <v>0</v>
      </c>
    </row>
    <row r="392" spans="1:11" x14ac:dyDescent="0.25">
      <c r="A392" t="s">
        <v>10</v>
      </c>
      <c r="B392" t="s">
        <v>420</v>
      </c>
      <c r="C392" t="s">
        <v>85</v>
      </c>
      <c r="D392" t="s">
        <v>85</v>
      </c>
      <c r="E392">
        <v>35225</v>
      </c>
      <c r="F392">
        <v>1116</v>
      </c>
      <c r="H392">
        <v>0.40778443511531526</v>
      </c>
      <c r="K392">
        <v>0</v>
      </c>
    </row>
    <row r="393" spans="1:11" x14ac:dyDescent="0.25">
      <c r="A393" t="s">
        <v>10</v>
      </c>
      <c r="B393" t="s">
        <v>421</v>
      </c>
      <c r="C393" t="s">
        <v>85</v>
      </c>
      <c r="D393" t="s">
        <v>85</v>
      </c>
      <c r="E393">
        <v>35227</v>
      </c>
      <c r="F393">
        <v>2272</v>
      </c>
      <c r="H393">
        <v>2.8979238754325065E-2</v>
      </c>
      <c r="K393">
        <v>0</v>
      </c>
    </row>
    <row r="394" spans="1:11" x14ac:dyDescent="0.25">
      <c r="A394" t="s">
        <v>10</v>
      </c>
      <c r="B394" t="s">
        <v>422</v>
      </c>
      <c r="C394" t="s">
        <v>85</v>
      </c>
      <c r="D394" t="s">
        <v>85</v>
      </c>
      <c r="E394">
        <v>35229</v>
      </c>
      <c r="F394">
        <v>4800</v>
      </c>
      <c r="H394">
        <v>0.34636121783479867</v>
      </c>
      <c r="K394">
        <v>0</v>
      </c>
    </row>
    <row r="395" spans="1:11" x14ac:dyDescent="0.25">
      <c r="A395" t="s">
        <v>10</v>
      </c>
      <c r="B395" t="s">
        <v>423</v>
      </c>
      <c r="C395" t="s">
        <v>424</v>
      </c>
      <c r="D395" t="s">
        <v>93</v>
      </c>
      <c r="E395">
        <v>35234</v>
      </c>
      <c r="F395">
        <v>1737</v>
      </c>
      <c r="H395">
        <v>5.733806346774406E-2</v>
      </c>
      <c r="K395">
        <v>0</v>
      </c>
    </row>
    <row r="396" spans="1:11" x14ac:dyDescent="0.25">
      <c r="A396" t="s">
        <v>10</v>
      </c>
      <c r="B396" t="s">
        <v>425</v>
      </c>
      <c r="C396" t="s">
        <v>85</v>
      </c>
      <c r="D396" t="s">
        <v>85</v>
      </c>
      <c r="E396">
        <v>35235</v>
      </c>
      <c r="F396">
        <v>2817</v>
      </c>
      <c r="H396">
        <v>0.22784203435311201</v>
      </c>
      <c r="K396">
        <v>34</v>
      </c>
    </row>
    <row r="397" spans="1:11" x14ac:dyDescent="0.25">
      <c r="A397" t="s">
        <v>10</v>
      </c>
      <c r="B397" t="s">
        <v>426</v>
      </c>
      <c r="C397" t="s">
        <v>85</v>
      </c>
      <c r="D397" t="s">
        <v>85</v>
      </c>
      <c r="E397">
        <v>35237</v>
      </c>
      <c r="F397">
        <v>3081</v>
      </c>
      <c r="H397">
        <v>0.47764153672442911</v>
      </c>
      <c r="K397">
        <v>41</v>
      </c>
    </row>
    <row r="398" spans="1:11" x14ac:dyDescent="0.25">
      <c r="A398" t="s">
        <v>10</v>
      </c>
      <c r="B398" t="s">
        <v>427</v>
      </c>
      <c r="C398" t="s">
        <v>302</v>
      </c>
      <c r="D398" t="s">
        <v>93</v>
      </c>
      <c r="E398">
        <v>35239</v>
      </c>
      <c r="F398">
        <v>714</v>
      </c>
      <c r="H398">
        <v>0.1447238228593104</v>
      </c>
      <c r="K398">
        <v>0</v>
      </c>
    </row>
    <row r="399" spans="1:11" x14ac:dyDescent="0.25">
      <c r="A399" t="s">
        <v>10</v>
      </c>
      <c r="B399" t="s">
        <v>428</v>
      </c>
      <c r="C399" t="s">
        <v>85</v>
      </c>
      <c r="D399" t="s">
        <v>85</v>
      </c>
      <c r="E399">
        <v>35243</v>
      </c>
      <c r="F399">
        <v>4510</v>
      </c>
      <c r="H399">
        <v>2.7975891620498516E-2</v>
      </c>
      <c r="K399">
        <v>0</v>
      </c>
    </row>
    <row r="400" spans="1:11" x14ac:dyDescent="0.25">
      <c r="A400" t="s">
        <v>10</v>
      </c>
      <c r="B400" t="s">
        <v>429</v>
      </c>
      <c r="C400" t="s">
        <v>85</v>
      </c>
      <c r="D400" t="s">
        <v>85</v>
      </c>
      <c r="E400">
        <v>35245</v>
      </c>
      <c r="F400">
        <v>860</v>
      </c>
      <c r="H400">
        <v>0</v>
      </c>
      <c r="K400">
        <v>0</v>
      </c>
    </row>
    <row r="401" spans="1:11" x14ac:dyDescent="0.25">
      <c r="A401" t="s">
        <v>10</v>
      </c>
      <c r="B401" t="s">
        <v>430</v>
      </c>
      <c r="C401" t="s">
        <v>85</v>
      </c>
      <c r="D401" t="s">
        <v>85</v>
      </c>
      <c r="E401">
        <v>35249</v>
      </c>
      <c r="F401">
        <v>2641</v>
      </c>
      <c r="H401">
        <v>0.3634083063245066</v>
      </c>
      <c r="K401">
        <v>0</v>
      </c>
    </row>
    <row r="402" spans="1:11" x14ac:dyDescent="0.25">
      <c r="A402" t="s">
        <v>10</v>
      </c>
      <c r="B402" t="s">
        <v>431</v>
      </c>
      <c r="C402" t="s">
        <v>85</v>
      </c>
      <c r="D402" t="s">
        <v>85</v>
      </c>
      <c r="E402">
        <v>35253</v>
      </c>
      <c r="F402">
        <v>1196</v>
      </c>
      <c r="H402">
        <v>0.33676726583578098</v>
      </c>
      <c r="K402">
        <v>0</v>
      </c>
    </row>
    <row r="403" spans="1:11" x14ac:dyDescent="0.25">
      <c r="A403" t="s">
        <v>10</v>
      </c>
      <c r="B403" t="s">
        <v>432</v>
      </c>
      <c r="C403" t="s">
        <v>85</v>
      </c>
      <c r="D403" t="s">
        <v>85</v>
      </c>
      <c r="E403">
        <v>35261</v>
      </c>
      <c r="F403">
        <v>5307</v>
      </c>
      <c r="H403">
        <v>1.9085448408687755E-2</v>
      </c>
      <c r="K403">
        <v>0</v>
      </c>
    </row>
    <row r="404" spans="1:11" x14ac:dyDescent="0.25">
      <c r="A404" t="s">
        <v>10</v>
      </c>
      <c r="B404" t="s">
        <v>433</v>
      </c>
      <c r="C404" t="s">
        <v>85</v>
      </c>
      <c r="D404" t="s">
        <v>85</v>
      </c>
      <c r="E404">
        <v>35265</v>
      </c>
      <c r="F404">
        <v>1306</v>
      </c>
      <c r="H404">
        <v>0</v>
      </c>
      <c r="K404">
        <v>0</v>
      </c>
    </row>
    <row r="405" spans="1:11" x14ac:dyDescent="0.25">
      <c r="A405" t="s">
        <v>10</v>
      </c>
      <c r="B405" t="s">
        <v>434</v>
      </c>
      <c r="C405" t="s">
        <v>85</v>
      </c>
      <c r="D405" t="s">
        <v>85</v>
      </c>
      <c r="E405">
        <v>35267</v>
      </c>
      <c r="F405">
        <v>1577</v>
      </c>
      <c r="H405">
        <v>1.2549189639037173E-2</v>
      </c>
      <c r="K405">
        <v>0</v>
      </c>
    </row>
    <row r="406" spans="1:11" x14ac:dyDescent="0.25">
      <c r="A406" t="s">
        <v>10</v>
      </c>
      <c r="B406" t="s">
        <v>435</v>
      </c>
      <c r="C406" t="s">
        <v>85</v>
      </c>
      <c r="D406" t="s">
        <v>85</v>
      </c>
      <c r="E406">
        <v>35271</v>
      </c>
      <c r="F406">
        <v>3004</v>
      </c>
      <c r="H406">
        <v>0.50742774439717564</v>
      </c>
      <c r="K406">
        <v>0</v>
      </c>
    </row>
    <row r="407" spans="1:11" x14ac:dyDescent="0.25">
      <c r="A407" t="s">
        <v>10</v>
      </c>
      <c r="B407" t="s">
        <v>436</v>
      </c>
      <c r="C407" t="s">
        <v>85</v>
      </c>
      <c r="D407" t="s">
        <v>85</v>
      </c>
      <c r="E407">
        <v>35273</v>
      </c>
      <c r="F407">
        <v>1055</v>
      </c>
      <c r="H407">
        <v>0.21907706338235677</v>
      </c>
      <c r="K407">
        <v>0</v>
      </c>
    </row>
    <row r="408" spans="1:11" x14ac:dyDescent="0.25">
      <c r="A408" t="s">
        <v>10</v>
      </c>
      <c r="B408" t="s">
        <v>437</v>
      </c>
      <c r="C408" t="s">
        <v>85</v>
      </c>
      <c r="D408" t="s">
        <v>85</v>
      </c>
      <c r="E408">
        <v>35275</v>
      </c>
      <c r="F408">
        <v>23577</v>
      </c>
      <c r="H408">
        <v>1.2390570929489253E-2</v>
      </c>
      <c r="K408">
        <v>91</v>
      </c>
    </row>
    <row r="409" spans="1:11" x14ac:dyDescent="0.25">
      <c r="A409" t="s">
        <v>10</v>
      </c>
      <c r="B409" t="s">
        <v>438</v>
      </c>
      <c r="C409" t="s">
        <v>85</v>
      </c>
      <c r="D409" t="s">
        <v>85</v>
      </c>
      <c r="E409">
        <v>35277</v>
      </c>
      <c r="F409">
        <v>68737</v>
      </c>
      <c r="H409">
        <v>1.2713416051832072E-2</v>
      </c>
      <c r="K409">
        <v>0</v>
      </c>
    </row>
    <row r="410" spans="1:11" x14ac:dyDescent="0.25">
      <c r="A410" t="s">
        <v>10</v>
      </c>
      <c r="B410" t="s">
        <v>439</v>
      </c>
      <c r="C410" t="s">
        <v>85</v>
      </c>
      <c r="D410" t="s">
        <v>85</v>
      </c>
      <c r="E410">
        <v>35311</v>
      </c>
      <c r="F410">
        <v>176</v>
      </c>
      <c r="H410">
        <v>0.13414283366206425</v>
      </c>
      <c r="K410">
        <v>0</v>
      </c>
    </row>
    <row r="411" spans="1:11" x14ac:dyDescent="0.25">
      <c r="A411" t="s">
        <v>10</v>
      </c>
      <c r="B411" t="s">
        <v>440</v>
      </c>
      <c r="C411" t="s">
        <v>85</v>
      </c>
      <c r="D411" t="s">
        <v>85</v>
      </c>
      <c r="E411">
        <v>35314</v>
      </c>
      <c r="F411">
        <v>12521</v>
      </c>
      <c r="H411">
        <v>1.1371976639710568E-2</v>
      </c>
      <c r="K411">
        <v>98</v>
      </c>
    </row>
    <row r="412" spans="1:11" x14ac:dyDescent="0.25">
      <c r="A412" t="s">
        <v>10</v>
      </c>
      <c r="B412" t="s">
        <v>441</v>
      </c>
      <c r="C412" t="s">
        <v>85</v>
      </c>
      <c r="D412" t="s">
        <v>85</v>
      </c>
      <c r="E412">
        <v>35316</v>
      </c>
      <c r="F412">
        <v>2935</v>
      </c>
      <c r="H412">
        <v>1.2229147429978604E-2</v>
      </c>
      <c r="K412">
        <v>0</v>
      </c>
    </row>
    <row r="413" spans="1:11" x14ac:dyDescent="0.25">
      <c r="A413" t="s">
        <v>10</v>
      </c>
      <c r="B413" t="s">
        <v>442</v>
      </c>
      <c r="C413" t="s">
        <v>85</v>
      </c>
      <c r="D413" t="s">
        <v>85</v>
      </c>
      <c r="E413">
        <v>35317</v>
      </c>
      <c r="F413">
        <v>187</v>
      </c>
      <c r="H413">
        <v>0.1395746579417011</v>
      </c>
      <c r="K413">
        <v>0</v>
      </c>
    </row>
    <row r="414" spans="1:11" x14ac:dyDescent="0.25">
      <c r="A414" t="s">
        <v>10</v>
      </c>
      <c r="B414" t="s">
        <v>443</v>
      </c>
      <c r="C414" t="s">
        <v>85</v>
      </c>
      <c r="D414" t="s">
        <v>85</v>
      </c>
      <c r="E414">
        <v>35320</v>
      </c>
      <c r="F414">
        <v>1678</v>
      </c>
      <c r="H414">
        <v>2.0271903167918714E-2</v>
      </c>
      <c r="K414">
        <v>0</v>
      </c>
    </row>
    <row r="415" spans="1:11" x14ac:dyDescent="0.25">
      <c r="A415" t="s">
        <v>10</v>
      </c>
      <c r="B415" t="s">
        <v>444</v>
      </c>
      <c r="C415" t="s">
        <v>85</v>
      </c>
      <c r="D415" t="s">
        <v>85</v>
      </c>
      <c r="E415">
        <v>35321</v>
      </c>
      <c r="F415">
        <v>973</v>
      </c>
      <c r="H415">
        <v>8.6122542295382631E-3</v>
      </c>
      <c r="K415">
        <v>0</v>
      </c>
    </row>
    <row r="416" spans="1:11" x14ac:dyDescent="0.25">
      <c r="A416" t="s">
        <v>10</v>
      </c>
      <c r="B416" t="s">
        <v>445</v>
      </c>
      <c r="C416" t="s">
        <v>85</v>
      </c>
      <c r="D416" t="s">
        <v>85</v>
      </c>
      <c r="E416">
        <v>35322</v>
      </c>
      <c r="F416">
        <v>1827</v>
      </c>
      <c r="H416">
        <v>0.12839512562611788</v>
      </c>
      <c r="K416">
        <v>0</v>
      </c>
    </row>
    <row r="417" spans="1:11" x14ac:dyDescent="0.25">
      <c r="A417" t="s">
        <v>10</v>
      </c>
      <c r="B417" t="s">
        <v>446</v>
      </c>
      <c r="C417" t="s">
        <v>85</v>
      </c>
      <c r="D417" t="s">
        <v>85</v>
      </c>
      <c r="E417">
        <v>35324</v>
      </c>
      <c r="F417">
        <v>1555</v>
      </c>
      <c r="H417">
        <v>2.0502284920158598E-3</v>
      </c>
      <c r="K417">
        <v>0</v>
      </c>
    </row>
    <row r="418" spans="1:11" x14ac:dyDescent="0.25">
      <c r="A418" t="s">
        <v>10</v>
      </c>
      <c r="B418" t="s">
        <v>447</v>
      </c>
      <c r="C418" t="s">
        <v>85</v>
      </c>
      <c r="D418" t="s">
        <v>85</v>
      </c>
      <c r="E418">
        <v>35325</v>
      </c>
      <c r="F418">
        <v>3346</v>
      </c>
      <c r="H418">
        <v>1.0716956112073794E-2</v>
      </c>
      <c r="K418">
        <v>0</v>
      </c>
    </row>
    <row r="419" spans="1:11" x14ac:dyDescent="0.25">
      <c r="A419" t="s">
        <v>10</v>
      </c>
      <c r="B419" t="s">
        <v>448</v>
      </c>
      <c r="C419" t="s">
        <v>85</v>
      </c>
      <c r="D419" t="s">
        <v>85</v>
      </c>
      <c r="E419">
        <v>35326</v>
      </c>
      <c r="F419">
        <v>1475</v>
      </c>
      <c r="H419">
        <v>0.14783736969335515</v>
      </c>
      <c r="K419">
        <v>22</v>
      </c>
    </row>
    <row r="420" spans="1:11" x14ac:dyDescent="0.25">
      <c r="A420" t="s">
        <v>10</v>
      </c>
      <c r="B420" t="s">
        <v>449</v>
      </c>
      <c r="C420" t="s">
        <v>85</v>
      </c>
      <c r="D420" t="s">
        <v>85</v>
      </c>
      <c r="E420">
        <v>35328</v>
      </c>
      <c r="F420">
        <v>4172</v>
      </c>
      <c r="H420">
        <v>7.5600445803809202E-2</v>
      </c>
      <c r="K420">
        <v>0</v>
      </c>
    </row>
    <row r="421" spans="1:11" x14ac:dyDescent="0.25">
      <c r="A421" t="s">
        <v>10</v>
      </c>
      <c r="B421" t="s">
        <v>450</v>
      </c>
      <c r="C421" t="s">
        <v>85</v>
      </c>
      <c r="D421" t="s">
        <v>85</v>
      </c>
      <c r="E421">
        <v>35331</v>
      </c>
      <c r="F421">
        <v>562</v>
      </c>
      <c r="H421">
        <v>0.37021211912986796</v>
      </c>
      <c r="K421">
        <v>0</v>
      </c>
    </row>
    <row r="422" spans="1:11" x14ac:dyDescent="0.25">
      <c r="A422" t="s">
        <v>10</v>
      </c>
      <c r="B422" t="s">
        <v>451</v>
      </c>
      <c r="C422" t="s">
        <v>85</v>
      </c>
      <c r="D422" t="s">
        <v>85</v>
      </c>
      <c r="E422">
        <v>35334</v>
      </c>
      <c r="F422">
        <v>850</v>
      </c>
      <c r="H422">
        <v>0.11683585479133951</v>
      </c>
      <c r="K422">
        <v>0</v>
      </c>
    </row>
    <row r="423" spans="1:11" x14ac:dyDescent="0.25">
      <c r="A423" t="s">
        <v>10</v>
      </c>
      <c r="B423" t="s">
        <v>452</v>
      </c>
      <c r="C423" t="s">
        <v>85</v>
      </c>
      <c r="D423" t="s">
        <v>85</v>
      </c>
      <c r="E423">
        <v>35337</v>
      </c>
      <c r="F423">
        <v>1024</v>
      </c>
      <c r="H423">
        <v>4.0641126426581575E-3</v>
      </c>
      <c r="K423">
        <v>0</v>
      </c>
    </row>
    <row r="424" spans="1:11" x14ac:dyDescent="0.25">
      <c r="A424" t="s">
        <v>10</v>
      </c>
      <c r="B424" t="s">
        <v>453</v>
      </c>
      <c r="C424" t="s">
        <v>85</v>
      </c>
      <c r="D424" t="s">
        <v>85</v>
      </c>
      <c r="E424">
        <v>35341</v>
      </c>
      <c r="F424">
        <v>2227</v>
      </c>
      <c r="H424">
        <v>8.9768590569510032E-3</v>
      </c>
      <c r="K424">
        <v>0</v>
      </c>
    </row>
    <row r="425" spans="1:11" x14ac:dyDescent="0.25">
      <c r="A425" t="s">
        <v>10</v>
      </c>
      <c r="B425" t="s">
        <v>454</v>
      </c>
      <c r="C425" t="s">
        <v>85</v>
      </c>
      <c r="D425" t="s">
        <v>85</v>
      </c>
      <c r="E425">
        <v>35344</v>
      </c>
      <c r="F425">
        <v>3326</v>
      </c>
      <c r="H425">
        <v>1.0593922804384093E-2</v>
      </c>
      <c r="K425">
        <v>0</v>
      </c>
    </row>
    <row r="426" spans="1:11" x14ac:dyDescent="0.25">
      <c r="A426" t="s">
        <v>10</v>
      </c>
      <c r="B426" t="s">
        <v>455</v>
      </c>
      <c r="C426" t="s">
        <v>85</v>
      </c>
      <c r="D426" t="s">
        <v>85</v>
      </c>
      <c r="E426">
        <v>35347</v>
      </c>
      <c r="F426">
        <v>242</v>
      </c>
      <c r="H426">
        <v>5.3474203882985405E-2</v>
      </c>
      <c r="K426">
        <v>0</v>
      </c>
    </row>
    <row r="427" spans="1:11" x14ac:dyDescent="0.25">
      <c r="A427" t="s">
        <v>10</v>
      </c>
      <c r="B427" t="s">
        <v>456</v>
      </c>
      <c r="C427" t="s">
        <v>227</v>
      </c>
      <c r="D427" t="s">
        <v>27</v>
      </c>
      <c r="E427">
        <v>26218</v>
      </c>
      <c r="F427">
        <v>2003</v>
      </c>
      <c r="H427">
        <v>0.14592486858217346</v>
      </c>
      <c r="K427">
        <v>0</v>
      </c>
    </row>
    <row r="428" spans="1:11" x14ac:dyDescent="0.25">
      <c r="A428" t="s">
        <v>10</v>
      </c>
      <c r="B428" t="s">
        <v>457</v>
      </c>
      <c r="C428" t="s">
        <v>85</v>
      </c>
      <c r="D428" t="s">
        <v>85</v>
      </c>
      <c r="E428">
        <v>35351</v>
      </c>
      <c r="F428">
        <v>6622</v>
      </c>
      <c r="H428">
        <v>1.0214214855059245E-2</v>
      </c>
      <c r="K428">
        <v>0</v>
      </c>
    </row>
    <row r="429" spans="1:11" x14ac:dyDescent="0.25">
      <c r="A429" t="s">
        <v>10</v>
      </c>
      <c r="B429" t="s">
        <v>458</v>
      </c>
      <c r="C429" t="s">
        <v>85</v>
      </c>
      <c r="D429" t="s">
        <v>85</v>
      </c>
      <c r="E429">
        <v>35352</v>
      </c>
      <c r="F429">
        <v>2929</v>
      </c>
      <c r="H429">
        <v>4.3749892853907069E-3</v>
      </c>
      <c r="K429">
        <v>0</v>
      </c>
    </row>
    <row r="430" spans="1:11" x14ac:dyDescent="0.25">
      <c r="A430" t="s">
        <v>10</v>
      </c>
      <c r="B430" t="s">
        <v>459</v>
      </c>
      <c r="C430" t="s">
        <v>85</v>
      </c>
      <c r="D430" t="s">
        <v>85</v>
      </c>
      <c r="E430">
        <v>35353</v>
      </c>
      <c r="F430">
        <v>12172</v>
      </c>
      <c r="H430">
        <v>0.13229717220579917</v>
      </c>
      <c r="K430">
        <v>0</v>
      </c>
    </row>
    <row r="431" spans="1:11" x14ac:dyDescent="0.25">
      <c r="A431" t="s">
        <v>10</v>
      </c>
      <c r="B431" t="s">
        <v>460</v>
      </c>
      <c r="C431" t="s">
        <v>85</v>
      </c>
      <c r="D431" t="s">
        <v>85</v>
      </c>
      <c r="E431">
        <v>35354</v>
      </c>
      <c r="F431">
        <v>1319</v>
      </c>
      <c r="H431">
        <v>1.222650296635952E-2</v>
      </c>
      <c r="K431">
        <v>0</v>
      </c>
    </row>
    <row r="432" spans="1:11" x14ac:dyDescent="0.25">
      <c r="A432" t="s">
        <v>10</v>
      </c>
      <c r="B432" t="s">
        <v>461</v>
      </c>
      <c r="C432" t="s">
        <v>85</v>
      </c>
      <c r="D432" t="s">
        <v>85</v>
      </c>
      <c r="E432">
        <v>35356</v>
      </c>
      <c r="F432">
        <v>268</v>
      </c>
      <c r="H432">
        <v>0.1620233750922272</v>
      </c>
      <c r="K432">
        <v>0</v>
      </c>
    </row>
    <row r="433" spans="1:11" x14ac:dyDescent="0.25">
      <c r="A433" t="s">
        <v>10</v>
      </c>
      <c r="B433" t="s">
        <v>462</v>
      </c>
      <c r="C433" t="s">
        <v>85</v>
      </c>
      <c r="D433" t="s">
        <v>85</v>
      </c>
      <c r="E433">
        <v>35357</v>
      </c>
      <c r="F433">
        <v>8220</v>
      </c>
      <c r="H433">
        <v>0.22188168177855039</v>
      </c>
      <c r="K433">
        <v>106</v>
      </c>
    </row>
    <row r="434" spans="1:11" x14ac:dyDescent="0.25">
      <c r="A434" t="s">
        <v>10</v>
      </c>
      <c r="B434" t="s">
        <v>463</v>
      </c>
      <c r="C434" t="s">
        <v>85</v>
      </c>
      <c r="D434" t="s">
        <v>85</v>
      </c>
      <c r="E434">
        <v>35364</v>
      </c>
      <c r="F434">
        <v>7447</v>
      </c>
      <c r="H434">
        <v>7.3186328592644845E-3</v>
      </c>
      <c r="K434">
        <v>0</v>
      </c>
    </row>
    <row r="435" spans="1:11" x14ac:dyDescent="0.25">
      <c r="A435" t="s">
        <v>10</v>
      </c>
      <c r="B435" t="s">
        <v>464</v>
      </c>
      <c r="C435" t="s">
        <v>85</v>
      </c>
      <c r="D435" t="s">
        <v>85</v>
      </c>
      <c r="E435">
        <v>35367</v>
      </c>
      <c r="F435">
        <v>180</v>
      </c>
      <c r="H435">
        <v>2.4894522154724319E-2</v>
      </c>
      <c r="K435">
        <v>0</v>
      </c>
    </row>
    <row r="436" spans="1:11" x14ac:dyDescent="0.25">
      <c r="A436" t="s">
        <v>10</v>
      </c>
      <c r="B436" t="s">
        <v>465</v>
      </c>
      <c r="C436" t="s">
        <v>85</v>
      </c>
      <c r="D436" t="s">
        <v>85</v>
      </c>
      <c r="E436">
        <v>35371</v>
      </c>
      <c r="F436">
        <v>256</v>
      </c>
      <c r="H436">
        <v>0.1824086917157085</v>
      </c>
      <c r="K436">
        <v>0</v>
      </c>
    </row>
    <row r="437" spans="1:11" x14ac:dyDescent="0.25">
      <c r="A437" t="s">
        <v>10</v>
      </c>
      <c r="B437" t="s">
        <v>466</v>
      </c>
      <c r="C437" t="s">
        <v>85</v>
      </c>
      <c r="D437" t="s">
        <v>85</v>
      </c>
      <c r="E437">
        <v>35402</v>
      </c>
      <c r="F437">
        <v>784</v>
      </c>
      <c r="H437">
        <v>0.36955507224682815</v>
      </c>
      <c r="K437">
        <v>0</v>
      </c>
    </row>
    <row r="438" spans="1:11" x14ac:dyDescent="0.25">
      <c r="A438" t="s">
        <v>10</v>
      </c>
      <c r="B438" t="s">
        <v>467</v>
      </c>
      <c r="C438" t="s">
        <v>85</v>
      </c>
      <c r="D438" t="s">
        <v>85</v>
      </c>
      <c r="E438">
        <v>35404</v>
      </c>
      <c r="F438">
        <v>751</v>
      </c>
      <c r="H438">
        <v>0.60990004164931277</v>
      </c>
      <c r="K438">
        <v>0</v>
      </c>
    </row>
    <row r="439" spans="1:11" x14ac:dyDescent="0.25">
      <c r="A439" t="s">
        <v>10</v>
      </c>
      <c r="B439" t="s">
        <v>468</v>
      </c>
      <c r="C439" t="s">
        <v>85</v>
      </c>
      <c r="D439" t="s">
        <v>85</v>
      </c>
      <c r="E439">
        <v>35406</v>
      </c>
      <c r="F439">
        <v>217</v>
      </c>
      <c r="H439">
        <v>0.202552026727851</v>
      </c>
      <c r="K439">
        <v>0</v>
      </c>
    </row>
    <row r="440" spans="1:11" x14ac:dyDescent="0.25">
      <c r="A440" t="s">
        <v>10</v>
      </c>
      <c r="B440" t="s">
        <v>469</v>
      </c>
      <c r="C440" t="s">
        <v>85</v>
      </c>
      <c r="D440" t="s">
        <v>85</v>
      </c>
      <c r="E440">
        <v>35412</v>
      </c>
      <c r="F440">
        <v>306</v>
      </c>
      <c r="H440">
        <v>0.6185668771918561</v>
      </c>
      <c r="K440">
        <v>0</v>
      </c>
    </row>
    <row r="441" spans="1:11" x14ac:dyDescent="0.25">
      <c r="A441" t="s">
        <v>10</v>
      </c>
      <c r="B441" t="s">
        <v>470</v>
      </c>
      <c r="C441" t="s">
        <v>80</v>
      </c>
      <c r="D441" t="s">
        <v>27</v>
      </c>
      <c r="E441">
        <v>23467</v>
      </c>
      <c r="F441">
        <v>682</v>
      </c>
      <c r="H441">
        <v>0.6185668771918561</v>
      </c>
      <c r="K441">
        <v>0</v>
      </c>
    </row>
    <row r="442" spans="1:11" x14ac:dyDescent="0.25">
      <c r="A442" t="s">
        <v>10</v>
      </c>
      <c r="B442" t="s">
        <v>471</v>
      </c>
      <c r="C442" t="s">
        <v>85</v>
      </c>
      <c r="D442" t="s">
        <v>85</v>
      </c>
      <c r="E442">
        <v>35414</v>
      </c>
      <c r="F442">
        <v>1231</v>
      </c>
      <c r="H442">
        <v>0.25067934560460936</v>
      </c>
      <c r="K442">
        <v>0</v>
      </c>
    </row>
    <row r="443" spans="1:11" x14ac:dyDescent="0.25">
      <c r="A443" t="s">
        <v>10</v>
      </c>
      <c r="B443" t="s">
        <v>472</v>
      </c>
      <c r="C443" t="s">
        <v>234</v>
      </c>
      <c r="D443" t="s">
        <v>88</v>
      </c>
      <c r="E443">
        <v>35415</v>
      </c>
      <c r="F443">
        <v>123</v>
      </c>
      <c r="H443">
        <v>3.1737773152965554E-2</v>
      </c>
      <c r="K443">
        <v>0</v>
      </c>
    </row>
    <row r="444" spans="1:11" x14ac:dyDescent="0.25">
      <c r="A444" t="s">
        <v>10</v>
      </c>
      <c r="B444" t="s">
        <v>473</v>
      </c>
      <c r="C444" t="s">
        <v>85</v>
      </c>
      <c r="D444" t="s">
        <v>85</v>
      </c>
      <c r="E444">
        <v>35417</v>
      </c>
      <c r="F444">
        <v>2756</v>
      </c>
      <c r="H444">
        <v>4.4374400786376E-2</v>
      </c>
      <c r="K444">
        <v>0</v>
      </c>
    </row>
    <row r="445" spans="1:11" x14ac:dyDescent="0.25">
      <c r="A445" t="s">
        <v>10</v>
      </c>
      <c r="B445" t="s">
        <v>474</v>
      </c>
      <c r="C445" t="s">
        <v>85</v>
      </c>
      <c r="D445" t="s">
        <v>85</v>
      </c>
      <c r="E445">
        <v>35419</v>
      </c>
      <c r="F445">
        <v>720</v>
      </c>
      <c r="H445">
        <v>0.58295909855161421</v>
      </c>
      <c r="K445">
        <v>0</v>
      </c>
    </row>
    <row r="446" spans="1:11" x14ac:dyDescent="0.25">
      <c r="A446" t="s">
        <v>10</v>
      </c>
      <c r="B446" t="s">
        <v>475</v>
      </c>
      <c r="C446" t="s">
        <v>85</v>
      </c>
      <c r="D446" t="s">
        <v>85</v>
      </c>
      <c r="E446">
        <v>35420</v>
      </c>
      <c r="F446">
        <v>941</v>
      </c>
      <c r="H446">
        <v>0.37877156735396433</v>
      </c>
      <c r="K446">
        <v>0</v>
      </c>
    </row>
    <row r="447" spans="1:11" x14ac:dyDescent="0.25">
      <c r="A447" t="s">
        <v>10</v>
      </c>
      <c r="B447" t="s">
        <v>476</v>
      </c>
      <c r="C447" t="s">
        <v>85</v>
      </c>
      <c r="D447" t="s">
        <v>85</v>
      </c>
      <c r="E447">
        <v>35423</v>
      </c>
      <c r="F447">
        <v>50</v>
      </c>
      <c r="H447">
        <v>0</v>
      </c>
      <c r="K447">
        <v>0</v>
      </c>
    </row>
    <row r="448" spans="1:11" x14ac:dyDescent="0.25">
      <c r="A448" t="s">
        <v>10</v>
      </c>
      <c r="B448" t="s">
        <v>477</v>
      </c>
      <c r="C448" t="s">
        <v>85</v>
      </c>
      <c r="D448" t="s">
        <v>85</v>
      </c>
      <c r="E448">
        <v>35427</v>
      </c>
      <c r="F448">
        <v>1854</v>
      </c>
      <c r="H448">
        <v>0.17939484455079935</v>
      </c>
      <c r="K448">
        <v>0</v>
      </c>
    </row>
    <row r="449" spans="1:11" x14ac:dyDescent="0.25">
      <c r="A449" t="s">
        <v>10</v>
      </c>
      <c r="B449" t="s">
        <v>478</v>
      </c>
      <c r="C449" t="s">
        <v>85</v>
      </c>
      <c r="D449" t="s">
        <v>85</v>
      </c>
      <c r="E449">
        <v>35429</v>
      </c>
      <c r="F449">
        <v>3858</v>
      </c>
      <c r="H449">
        <v>1.2567994831375162E-2</v>
      </c>
      <c r="K449">
        <v>23</v>
      </c>
    </row>
    <row r="450" spans="1:11" x14ac:dyDescent="0.25">
      <c r="A450" t="s">
        <v>10</v>
      </c>
      <c r="B450" t="s">
        <v>479</v>
      </c>
      <c r="C450" t="s">
        <v>85</v>
      </c>
      <c r="D450" t="s">
        <v>85</v>
      </c>
      <c r="E450">
        <v>35431</v>
      </c>
      <c r="F450">
        <v>986</v>
      </c>
      <c r="H450">
        <v>1.1504674940929771E-2</v>
      </c>
      <c r="K450">
        <v>0</v>
      </c>
    </row>
    <row r="451" spans="1:11" x14ac:dyDescent="0.25">
      <c r="A451" t="s">
        <v>10</v>
      </c>
      <c r="B451" t="s">
        <v>480</v>
      </c>
      <c r="C451" t="s">
        <v>85</v>
      </c>
      <c r="D451" t="s">
        <v>85</v>
      </c>
      <c r="E451">
        <v>35432</v>
      </c>
      <c r="F451">
        <v>805</v>
      </c>
      <c r="H451">
        <v>0.58710840372673423</v>
      </c>
      <c r="K451">
        <v>0</v>
      </c>
    </row>
    <row r="452" spans="1:11" x14ac:dyDescent="0.25">
      <c r="A452" t="s">
        <v>10</v>
      </c>
      <c r="B452" t="s">
        <v>481</v>
      </c>
      <c r="C452" t="s">
        <v>85</v>
      </c>
      <c r="D452" t="s">
        <v>85</v>
      </c>
      <c r="E452">
        <v>35433</v>
      </c>
      <c r="F452">
        <v>523</v>
      </c>
      <c r="H452">
        <v>0.14076947603358481</v>
      </c>
      <c r="K452">
        <v>0</v>
      </c>
    </row>
    <row r="453" spans="1:11" x14ac:dyDescent="0.25">
      <c r="A453" t="s">
        <v>10</v>
      </c>
      <c r="B453" t="s">
        <v>482</v>
      </c>
      <c r="C453" t="s">
        <v>85</v>
      </c>
      <c r="D453" t="s">
        <v>85</v>
      </c>
      <c r="E453">
        <v>35435</v>
      </c>
      <c r="F453">
        <v>588</v>
      </c>
      <c r="H453">
        <v>3.018571534800718E-2</v>
      </c>
      <c r="K453">
        <v>0</v>
      </c>
    </row>
    <row r="454" spans="1:11" x14ac:dyDescent="0.25">
      <c r="A454" t="s">
        <v>10</v>
      </c>
      <c r="B454" t="s">
        <v>483</v>
      </c>
      <c r="C454" t="s">
        <v>85</v>
      </c>
      <c r="D454" t="s">
        <v>85</v>
      </c>
      <c r="E454">
        <v>35437</v>
      </c>
      <c r="F454">
        <v>13368</v>
      </c>
      <c r="H454">
        <v>2.6986290092970711E-2</v>
      </c>
      <c r="K454">
        <v>0</v>
      </c>
    </row>
    <row r="455" spans="1:11" x14ac:dyDescent="0.25">
      <c r="A455" t="s">
        <v>10</v>
      </c>
      <c r="B455" t="s">
        <v>484</v>
      </c>
      <c r="C455" t="s">
        <v>85</v>
      </c>
      <c r="D455" t="s">
        <v>85</v>
      </c>
      <c r="E455">
        <v>35439</v>
      </c>
      <c r="F455">
        <v>2583</v>
      </c>
      <c r="H455">
        <v>8.6042578324250218E-3</v>
      </c>
      <c r="K455">
        <v>0</v>
      </c>
    </row>
    <row r="456" spans="1:11" x14ac:dyDescent="0.25">
      <c r="A456" t="s">
        <v>10</v>
      </c>
      <c r="B456" t="s">
        <v>485</v>
      </c>
      <c r="C456" t="s">
        <v>85</v>
      </c>
      <c r="D456" t="s">
        <v>85</v>
      </c>
      <c r="E456">
        <v>35441</v>
      </c>
      <c r="F456">
        <v>852</v>
      </c>
      <c r="H456">
        <v>0.1394808004326662</v>
      </c>
      <c r="K456">
        <v>0</v>
      </c>
    </row>
    <row r="457" spans="1:11" x14ac:dyDescent="0.25">
      <c r="A457" t="s">
        <v>10</v>
      </c>
      <c r="B457" t="s">
        <v>486</v>
      </c>
      <c r="C457" t="s">
        <v>85</v>
      </c>
      <c r="D457" t="s">
        <v>85</v>
      </c>
      <c r="E457">
        <v>35443</v>
      </c>
      <c r="F457">
        <v>548</v>
      </c>
      <c r="H457">
        <v>1.1998294382348673E-2</v>
      </c>
      <c r="K457">
        <v>0</v>
      </c>
    </row>
    <row r="458" spans="1:11" x14ac:dyDescent="0.25">
      <c r="A458" t="s">
        <v>10</v>
      </c>
      <c r="B458" t="s">
        <v>487</v>
      </c>
      <c r="C458" t="s">
        <v>85</v>
      </c>
      <c r="D458" t="s">
        <v>85</v>
      </c>
      <c r="E458">
        <v>35447</v>
      </c>
      <c r="F458">
        <v>511</v>
      </c>
      <c r="H458">
        <v>0.11368217799212432</v>
      </c>
      <c r="K458">
        <v>0</v>
      </c>
    </row>
    <row r="459" spans="1:11" x14ac:dyDescent="0.25">
      <c r="A459" t="s">
        <v>10</v>
      </c>
      <c r="B459" t="s">
        <v>488</v>
      </c>
      <c r="C459" t="s">
        <v>85</v>
      </c>
      <c r="D459" t="s">
        <v>85</v>
      </c>
      <c r="E459">
        <v>35449</v>
      </c>
      <c r="F459">
        <v>1565</v>
      </c>
      <c r="H459">
        <v>0.22686795224977052</v>
      </c>
      <c r="K459">
        <v>0</v>
      </c>
    </row>
    <row r="460" spans="1:11" x14ac:dyDescent="0.25">
      <c r="A460" t="s">
        <v>10</v>
      </c>
      <c r="B460" t="s">
        <v>489</v>
      </c>
      <c r="C460" t="s">
        <v>85</v>
      </c>
      <c r="D460" t="s">
        <v>85</v>
      </c>
      <c r="E460">
        <v>35453</v>
      </c>
      <c r="F460">
        <v>279</v>
      </c>
      <c r="H460">
        <v>0.27948927483721908</v>
      </c>
      <c r="K460">
        <v>0</v>
      </c>
    </row>
    <row r="461" spans="1:11" x14ac:dyDescent="0.25">
      <c r="A461" t="s">
        <v>10</v>
      </c>
      <c r="B461" t="s">
        <v>490</v>
      </c>
      <c r="C461" t="s">
        <v>85</v>
      </c>
      <c r="D461" t="s">
        <v>85</v>
      </c>
      <c r="E461">
        <v>35455</v>
      </c>
      <c r="F461">
        <v>442</v>
      </c>
      <c r="H461">
        <v>2.0027572689749085E-2</v>
      </c>
      <c r="K461">
        <v>0</v>
      </c>
    </row>
    <row r="462" spans="1:11" x14ac:dyDescent="0.25">
      <c r="A462" t="s">
        <v>10</v>
      </c>
      <c r="B462" t="s">
        <v>491</v>
      </c>
      <c r="C462" t="s">
        <v>85</v>
      </c>
      <c r="D462" t="s">
        <v>85</v>
      </c>
      <c r="E462">
        <v>35457</v>
      </c>
      <c r="F462">
        <v>519</v>
      </c>
      <c r="H462">
        <v>0.41588522445631204</v>
      </c>
      <c r="K462">
        <v>0</v>
      </c>
    </row>
    <row r="463" spans="1:11" x14ac:dyDescent="0.25">
      <c r="A463" t="s">
        <v>10</v>
      </c>
      <c r="B463" t="s">
        <v>492</v>
      </c>
      <c r="C463" t="s">
        <v>85</v>
      </c>
      <c r="D463" t="s">
        <v>85</v>
      </c>
      <c r="E463">
        <v>35459</v>
      </c>
      <c r="F463">
        <v>3059</v>
      </c>
      <c r="H463">
        <v>0.66040744302511245</v>
      </c>
      <c r="K463">
        <v>0</v>
      </c>
    </row>
    <row r="464" spans="1:11" x14ac:dyDescent="0.25">
      <c r="A464" t="s">
        <v>10</v>
      </c>
      <c r="B464" t="s">
        <v>493</v>
      </c>
      <c r="C464" t="s">
        <v>85</v>
      </c>
      <c r="D464" t="s">
        <v>85</v>
      </c>
      <c r="E464">
        <v>35463</v>
      </c>
      <c r="F464">
        <v>974</v>
      </c>
      <c r="H464">
        <v>0.59957749742560229</v>
      </c>
      <c r="K464">
        <v>0</v>
      </c>
    </row>
    <row r="465" spans="1:11" x14ac:dyDescent="0.25">
      <c r="A465" t="s">
        <v>10</v>
      </c>
      <c r="B465" t="s">
        <v>494</v>
      </c>
      <c r="C465" t="s">
        <v>302</v>
      </c>
      <c r="D465" t="s">
        <v>93</v>
      </c>
      <c r="E465">
        <v>62267</v>
      </c>
      <c r="F465">
        <v>861</v>
      </c>
      <c r="H465">
        <v>2.1633836120592664E-2</v>
      </c>
      <c r="K465">
        <v>0</v>
      </c>
    </row>
    <row r="466" spans="1:11" x14ac:dyDescent="0.25">
      <c r="A466" t="s">
        <v>10</v>
      </c>
      <c r="B466" t="s">
        <v>495</v>
      </c>
      <c r="C466" t="s">
        <v>82</v>
      </c>
      <c r="D466" t="s">
        <v>83</v>
      </c>
      <c r="E466">
        <v>53322</v>
      </c>
      <c r="F466">
        <v>1077</v>
      </c>
      <c r="H466">
        <v>5.7971269566931105E-2</v>
      </c>
      <c r="K466">
        <v>0</v>
      </c>
    </row>
    <row r="467" spans="1:11" x14ac:dyDescent="0.25">
      <c r="A467" t="s">
        <v>10</v>
      </c>
      <c r="B467" t="s">
        <v>496</v>
      </c>
      <c r="C467" t="s">
        <v>85</v>
      </c>
      <c r="D467" t="s">
        <v>85</v>
      </c>
      <c r="E467">
        <v>35467</v>
      </c>
      <c r="F467">
        <v>4234</v>
      </c>
      <c r="H467">
        <v>0.28185969948048728</v>
      </c>
      <c r="K467">
        <v>0</v>
      </c>
    </row>
    <row r="468" spans="1:11" x14ac:dyDescent="0.25">
      <c r="A468" t="s">
        <v>10</v>
      </c>
      <c r="B468" t="s">
        <v>497</v>
      </c>
      <c r="C468" t="s">
        <v>85</v>
      </c>
      <c r="D468" t="s">
        <v>85</v>
      </c>
      <c r="E468">
        <v>35469</v>
      </c>
      <c r="F468">
        <v>318</v>
      </c>
      <c r="H468">
        <v>1.1342115729580104E-2</v>
      </c>
      <c r="K468">
        <v>0</v>
      </c>
    </row>
    <row r="469" spans="1:11" x14ac:dyDescent="0.25">
      <c r="A469" t="s">
        <v>10</v>
      </c>
      <c r="B469" t="s">
        <v>498</v>
      </c>
      <c r="C469" t="s">
        <v>331</v>
      </c>
      <c r="D469" t="s">
        <v>316</v>
      </c>
      <c r="E469">
        <v>35470</v>
      </c>
      <c r="F469">
        <v>15</v>
      </c>
      <c r="H469">
        <v>0.13566344751270054</v>
      </c>
      <c r="K469">
        <v>0</v>
      </c>
    </row>
    <row r="470" spans="1:11" x14ac:dyDescent="0.25">
      <c r="A470" t="s">
        <v>10</v>
      </c>
      <c r="B470" t="s">
        <v>499</v>
      </c>
      <c r="C470" t="s">
        <v>85</v>
      </c>
      <c r="D470" t="s">
        <v>85</v>
      </c>
      <c r="E470">
        <v>35471</v>
      </c>
      <c r="F470">
        <v>84</v>
      </c>
      <c r="H470">
        <v>0.3231294840181822</v>
      </c>
      <c r="K470">
        <v>0</v>
      </c>
    </row>
    <row r="471" spans="1:11" x14ac:dyDescent="0.25">
      <c r="A471" t="s">
        <v>10</v>
      </c>
      <c r="B471" t="s">
        <v>500</v>
      </c>
      <c r="C471" t="s">
        <v>85</v>
      </c>
      <c r="D471" t="s">
        <v>85</v>
      </c>
      <c r="E471">
        <v>35475</v>
      </c>
      <c r="F471">
        <v>963</v>
      </c>
      <c r="H471">
        <v>0.44789688872322331</v>
      </c>
      <c r="K471">
        <v>0</v>
      </c>
    </row>
    <row r="472" spans="1:11" x14ac:dyDescent="0.25">
      <c r="A472" t="s">
        <v>10</v>
      </c>
      <c r="B472" t="s">
        <v>501</v>
      </c>
      <c r="C472" t="s">
        <v>85</v>
      </c>
      <c r="D472" t="s">
        <v>85</v>
      </c>
      <c r="E472">
        <v>35486</v>
      </c>
      <c r="F472">
        <v>3312</v>
      </c>
      <c r="H472">
        <v>0.30151456504638585</v>
      </c>
      <c r="K472">
        <v>0</v>
      </c>
    </row>
    <row r="473" spans="1:11" x14ac:dyDescent="0.25">
      <c r="A473" t="s">
        <v>10</v>
      </c>
      <c r="B473" t="s">
        <v>502</v>
      </c>
      <c r="C473" t="s">
        <v>85</v>
      </c>
      <c r="D473" t="s">
        <v>85</v>
      </c>
      <c r="E473">
        <v>35487</v>
      </c>
      <c r="F473">
        <v>8480</v>
      </c>
      <c r="H473">
        <v>0.17380208513982698</v>
      </c>
      <c r="K473">
        <v>0</v>
      </c>
    </row>
    <row r="474" spans="1:11" x14ac:dyDescent="0.25">
      <c r="A474" t="s">
        <v>10</v>
      </c>
      <c r="B474" t="s">
        <v>503</v>
      </c>
      <c r="C474" t="s">
        <v>85</v>
      </c>
      <c r="D474" t="s">
        <v>85</v>
      </c>
      <c r="E474">
        <v>35498</v>
      </c>
      <c r="F474">
        <v>4412</v>
      </c>
      <c r="H474">
        <v>0.17062717765378066</v>
      </c>
      <c r="K474">
        <v>0</v>
      </c>
    </row>
    <row r="475" spans="1:11" x14ac:dyDescent="0.25">
      <c r="A475" t="s">
        <v>10</v>
      </c>
      <c r="B475" t="s">
        <v>504</v>
      </c>
      <c r="C475" t="s">
        <v>85</v>
      </c>
      <c r="D475" t="s">
        <v>85</v>
      </c>
      <c r="E475">
        <v>35512</v>
      </c>
      <c r="F475">
        <v>20409</v>
      </c>
      <c r="H475">
        <v>5.684400616833063E-2</v>
      </c>
      <c r="K475">
        <v>0</v>
      </c>
    </row>
    <row r="476" spans="1:11" x14ac:dyDescent="0.25">
      <c r="A476" t="s">
        <v>10</v>
      </c>
      <c r="B476" t="s">
        <v>505</v>
      </c>
      <c r="C476" t="s">
        <v>85</v>
      </c>
      <c r="D476" t="s">
        <v>85</v>
      </c>
      <c r="E476">
        <v>35514</v>
      </c>
      <c r="F476">
        <v>2201</v>
      </c>
      <c r="H476">
        <v>0.1109519341330869</v>
      </c>
      <c r="K476">
        <v>0</v>
      </c>
    </row>
    <row r="477" spans="1:11" x14ac:dyDescent="0.25">
      <c r="A477" t="s">
        <v>10</v>
      </c>
      <c r="B477" t="s">
        <v>506</v>
      </c>
      <c r="C477" t="s">
        <v>85</v>
      </c>
      <c r="D477" t="s">
        <v>85</v>
      </c>
      <c r="E477">
        <v>35516</v>
      </c>
      <c r="F477">
        <v>12696</v>
      </c>
      <c r="H477">
        <v>4.9024816487635903E-2</v>
      </c>
      <c r="K477">
        <v>0</v>
      </c>
    </row>
    <row r="478" spans="1:11" x14ac:dyDescent="0.25">
      <c r="A478" t="s">
        <v>10</v>
      </c>
      <c r="B478" t="s">
        <v>507</v>
      </c>
      <c r="C478" t="s">
        <v>85</v>
      </c>
      <c r="D478" t="s">
        <v>85</v>
      </c>
      <c r="E478">
        <v>36134</v>
      </c>
      <c r="F478">
        <v>228</v>
      </c>
      <c r="H478">
        <v>0</v>
      </c>
      <c r="K478">
        <v>0</v>
      </c>
    </row>
    <row r="479" spans="1:11" x14ac:dyDescent="0.25">
      <c r="A479" t="s">
        <v>10</v>
      </c>
      <c r="B479" t="s">
        <v>508</v>
      </c>
      <c r="C479" t="s">
        <v>315</v>
      </c>
      <c r="D479" t="s">
        <v>316</v>
      </c>
      <c r="E479">
        <v>37231</v>
      </c>
      <c r="F479">
        <v>63116</v>
      </c>
      <c r="H479">
        <v>2.1340271306925285E-2</v>
      </c>
      <c r="K479">
        <v>0</v>
      </c>
    </row>
    <row r="480" spans="1:11" x14ac:dyDescent="0.25">
      <c r="A480" t="s">
        <v>10</v>
      </c>
      <c r="B480" t="s">
        <v>509</v>
      </c>
      <c r="C480" t="s">
        <v>26</v>
      </c>
      <c r="D480" t="s">
        <v>27</v>
      </c>
      <c r="E480">
        <v>37321</v>
      </c>
      <c r="F480">
        <v>254</v>
      </c>
      <c r="H480">
        <v>0.60045064658607084</v>
      </c>
      <c r="K480">
        <v>0</v>
      </c>
    </row>
    <row r="481" spans="1:11" x14ac:dyDescent="0.25">
      <c r="A481" t="s">
        <v>10</v>
      </c>
      <c r="B481" t="s">
        <v>510</v>
      </c>
      <c r="C481" t="s">
        <v>82</v>
      </c>
      <c r="D481" t="s">
        <v>83</v>
      </c>
      <c r="E481">
        <v>37337</v>
      </c>
      <c r="F481">
        <v>2190</v>
      </c>
      <c r="H481">
        <v>0.11721076585941448</v>
      </c>
      <c r="K481">
        <v>0</v>
      </c>
    </row>
    <row r="482" spans="1:11" x14ac:dyDescent="0.25">
      <c r="A482" t="s">
        <v>10</v>
      </c>
      <c r="B482" t="s">
        <v>511</v>
      </c>
      <c r="C482" t="s">
        <v>100</v>
      </c>
      <c r="D482" t="s">
        <v>96</v>
      </c>
      <c r="E482">
        <v>51113</v>
      </c>
      <c r="F482">
        <v>1341</v>
      </c>
      <c r="H482">
        <v>0.82228237063821852</v>
      </c>
      <c r="K482">
        <v>0</v>
      </c>
    </row>
    <row r="483" spans="1:11" x14ac:dyDescent="0.25">
      <c r="A483" t="s">
        <v>10</v>
      </c>
      <c r="B483" t="s">
        <v>512</v>
      </c>
      <c r="C483" t="s">
        <v>100</v>
      </c>
      <c r="D483" t="s">
        <v>96</v>
      </c>
      <c r="E483">
        <v>51117</v>
      </c>
      <c r="F483">
        <v>4131</v>
      </c>
      <c r="H483">
        <v>0.63857414410961466</v>
      </c>
      <c r="K483">
        <v>0</v>
      </c>
    </row>
    <row r="484" spans="1:11" x14ac:dyDescent="0.25">
      <c r="A484" t="s">
        <v>10</v>
      </c>
      <c r="B484" t="s">
        <v>513</v>
      </c>
      <c r="C484" t="s">
        <v>100</v>
      </c>
      <c r="D484" t="s">
        <v>96</v>
      </c>
      <c r="E484">
        <v>51119</v>
      </c>
      <c r="F484">
        <v>1597</v>
      </c>
      <c r="H484">
        <v>0.73172523249410548</v>
      </c>
      <c r="K484">
        <v>0</v>
      </c>
    </row>
    <row r="485" spans="1:11" x14ac:dyDescent="0.25">
      <c r="A485" t="s">
        <v>10</v>
      </c>
      <c r="B485" t="s">
        <v>514</v>
      </c>
      <c r="C485" t="s">
        <v>100</v>
      </c>
      <c r="D485" t="s">
        <v>96</v>
      </c>
      <c r="E485">
        <v>51121</v>
      </c>
      <c r="F485">
        <v>16591</v>
      </c>
      <c r="H485">
        <v>0.79648561883556135</v>
      </c>
      <c r="K485">
        <v>0</v>
      </c>
    </row>
    <row r="486" spans="1:11" x14ac:dyDescent="0.25">
      <c r="A486" t="s">
        <v>10</v>
      </c>
      <c r="B486" t="s">
        <v>515</v>
      </c>
      <c r="C486" t="s">
        <v>100</v>
      </c>
      <c r="D486" t="s">
        <v>96</v>
      </c>
      <c r="E486">
        <v>51123</v>
      </c>
      <c r="F486">
        <v>49</v>
      </c>
      <c r="H486">
        <v>0.6848625587889634</v>
      </c>
      <c r="K486">
        <v>0</v>
      </c>
    </row>
    <row r="487" spans="1:11" x14ac:dyDescent="0.25">
      <c r="A487" t="s">
        <v>10</v>
      </c>
      <c r="B487" t="s">
        <v>516</v>
      </c>
      <c r="C487" t="s">
        <v>100</v>
      </c>
      <c r="D487" t="s">
        <v>96</v>
      </c>
      <c r="E487">
        <v>51127</v>
      </c>
      <c r="F487">
        <v>4165</v>
      </c>
      <c r="H487">
        <v>0.79078708838158596</v>
      </c>
      <c r="K487">
        <v>0</v>
      </c>
    </row>
    <row r="488" spans="1:11" x14ac:dyDescent="0.25">
      <c r="A488" t="s">
        <v>10</v>
      </c>
      <c r="B488" t="s">
        <v>517</v>
      </c>
      <c r="C488" t="s">
        <v>100</v>
      </c>
      <c r="D488" t="s">
        <v>96</v>
      </c>
      <c r="E488">
        <v>51129</v>
      </c>
      <c r="F488">
        <v>48</v>
      </c>
      <c r="H488">
        <v>0.65351303161269381</v>
      </c>
      <c r="K488">
        <v>0</v>
      </c>
    </row>
    <row r="489" spans="1:11" x14ac:dyDescent="0.25">
      <c r="A489" t="s">
        <v>10</v>
      </c>
      <c r="B489" t="s">
        <v>518</v>
      </c>
      <c r="C489" t="s">
        <v>100</v>
      </c>
      <c r="D489" t="s">
        <v>96</v>
      </c>
      <c r="E489">
        <v>51135</v>
      </c>
      <c r="F489">
        <v>4174</v>
      </c>
      <c r="H489">
        <v>0.75064204023472292</v>
      </c>
      <c r="K489">
        <v>0</v>
      </c>
    </row>
    <row r="490" spans="1:11" x14ac:dyDescent="0.25">
      <c r="A490" t="s">
        <v>10</v>
      </c>
      <c r="B490" t="s">
        <v>519</v>
      </c>
      <c r="C490" t="s">
        <v>100</v>
      </c>
      <c r="D490" t="s">
        <v>96</v>
      </c>
      <c r="E490">
        <v>51139</v>
      </c>
      <c r="F490">
        <v>6431</v>
      </c>
      <c r="H490">
        <v>0.37551937122906054</v>
      </c>
      <c r="K490">
        <v>81</v>
      </c>
    </row>
    <row r="491" spans="1:11" x14ac:dyDescent="0.25">
      <c r="A491" t="s">
        <v>10</v>
      </c>
      <c r="B491" t="s">
        <v>520</v>
      </c>
      <c r="C491" t="s">
        <v>100</v>
      </c>
      <c r="D491" t="s">
        <v>96</v>
      </c>
      <c r="E491">
        <v>51145</v>
      </c>
      <c r="F491">
        <v>198</v>
      </c>
      <c r="H491">
        <v>0.55212302294345006</v>
      </c>
      <c r="K491">
        <v>0</v>
      </c>
    </row>
    <row r="492" spans="1:11" x14ac:dyDescent="0.25">
      <c r="A492" t="s">
        <v>10</v>
      </c>
      <c r="B492" t="s">
        <v>521</v>
      </c>
      <c r="C492" t="s">
        <v>100</v>
      </c>
      <c r="D492" t="s">
        <v>96</v>
      </c>
      <c r="E492">
        <v>51151</v>
      </c>
      <c r="F492">
        <v>717</v>
      </c>
      <c r="H492">
        <v>7.1425896157090274E-2</v>
      </c>
      <c r="K492">
        <v>0</v>
      </c>
    </row>
    <row r="493" spans="1:11" x14ac:dyDescent="0.25">
      <c r="A493" t="s">
        <v>10</v>
      </c>
      <c r="B493" t="s">
        <v>522</v>
      </c>
      <c r="C493" t="s">
        <v>100</v>
      </c>
      <c r="D493" t="s">
        <v>96</v>
      </c>
      <c r="E493">
        <v>51157</v>
      </c>
      <c r="F493">
        <v>1969</v>
      </c>
      <c r="H493">
        <v>4.7774700050152497E-2</v>
      </c>
      <c r="K493">
        <v>477</v>
      </c>
    </row>
    <row r="494" spans="1:11" x14ac:dyDescent="0.25">
      <c r="A494" t="s">
        <v>10</v>
      </c>
      <c r="B494" t="s">
        <v>523</v>
      </c>
      <c r="C494" t="s">
        <v>100</v>
      </c>
      <c r="D494" t="s">
        <v>96</v>
      </c>
      <c r="E494">
        <v>51163</v>
      </c>
      <c r="F494">
        <v>5421</v>
      </c>
      <c r="H494">
        <v>0.66298246608060463</v>
      </c>
      <c r="K494">
        <v>232</v>
      </c>
    </row>
    <row r="495" spans="1:11" x14ac:dyDescent="0.25">
      <c r="A495" t="s">
        <v>10</v>
      </c>
      <c r="B495" t="s">
        <v>524</v>
      </c>
      <c r="C495" t="s">
        <v>100</v>
      </c>
      <c r="D495" t="s">
        <v>96</v>
      </c>
      <c r="E495">
        <v>51173</v>
      </c>
      <c r="F495">
        <v>1552</v>
      </c>
      <c r="H495">
        <v>0.5823245036287672</v>
      </c>
      <c r="K495">
        <v>0</v>
      </c>
    </row>
    <row r="496" spans="1:11" x14ac:dyDescent="0.25">
      <c r="A496" t="s">
        <v>10</v>
      </c>
      <c r="B496" t="s">
        <v>525</v>
      </c>
      <c r="C496" t="s">
        <v>100</v>
      </c>
      <c r="D496" t="s">
        <v>96</v>
      </c>
      <c r="E496">
        <v>51189</v>
      </c>
      <c r="F496">
        <v>1172</v>
      </c>
      <c r="H496">
        <v>0.44381164564124331</v>
      </c>
      <c r="K496">
        <v>80</v>
      </c>
    </row>
    <row r="497" spans="1:11" x14ac:dyDescent="0.25">
      <c r="A497" t="s">
        <v>10</v>
      </c>
      <c r="B497" t="s">
        <v>526</v>
      </c>
      <c r="C497" t="s">
        <v>100</v>
      </c>
      <c r="D497" t="s">
        <v>96</v>
      </c>
      <c r="E497">
        <v>51211</v>
      </c>
      <c r="F497">
        <v>3599</v>
      </c>
      <c r="H497">
        <v>0.76220021650525638</v>
      </c>
      <c r="K497">
        <v>0</v>
      </c>
    </row>
    <row r="498" spans="1:11" x14ac:dyDescent="0.25">
      <c r="A498" t="s">
        <v>10</v>
      </c>
      <c r="B498" t="s">
        <v>527</v>
      </c>
      <c r="C498" t="s">
        <v>100</v>
      </c>
      <c r="D498" t="s">
        <v>96</v>
      </c>
      <c r="E498">
        <v>51217</v>
      </c>
      <c r="F498">
        <v>3367</v>
      </c>
      <c r="H498">
        <v>0.57499579979265314</v>
      </c>
      <c r="K498">
        <v>77</v>
      </c>
    </row>
    <row r="499" spans="1:11" x14ac:dyDescent="0.25">
      <c r="A499" t="s">
        <v>10</v>
      </c>
      <c r="B499" t="s">
        <v>528</v>
      </c>
      <c r="C499" t="s">
        <v>100</v>
      </c>
      <c r="D499" t="s">
        <v>96</v>
      </c>
      <c r="E499">
        <v>51221</v>
      </c>
      <c r="F499">
        <v>17577</v>
      </c>
      <c r="H499">
        <v>0.60124673410683871</v>
      </c>
      <c r="K499">
        <v>0</v>
      </c>
    </row>
    <row r="500" spans="1:11" x14ac:dyDescent="0.25">
      <c r="A500" t="s">
        <v>10</v>
      </c>
      <c r="B500" t="s">
        <v>529</v>
      </c>
      <c r="C500" t="s">
        <v>100</v>
      </c>
      <c r="D500" t="s">
        <v>96</v>
      </c>
      <c r="E500">
        <v>51224</v>
      </c>
      <c r="F500">
        <v>6891</v>
      </c>
      <c r="H500">
        <v>0.73878734906384669</v>
      </c>
      <c r="K500">
        <v>121</v>
      </c>
    </row>
    <row r="501" spans="1:11" x14ac:dyDescent="0.25">
      <c r="A501" t="s">
        <v>10</v>
      </c>
      <c r="B501" t="s">
        <v>530</v>
      </c>
      <c r="C501" t="s">
        <v>100</v>
      </c>
      <c r="D501" t="s">
        <v>96</v>
      </c>
      <c r="E501">
        <v>51227</v>
      </c>
      <c r="F501">
        <v>4303</v>
      </c>
      <c r="H501">
        <v>0.52335735850855281</v>
      </c>
      <c r="K501">
        <v>44</v>
      </c>
    </row>
    <row r="502" spans="1:11" x14ac:dyDescent="0.25">
      <c r="A502" t="s">
        <v>10</v>
      </c>
      <c r="B502" t="s">
        <v>531</v>
      </c>
      <c r="C502" t="s">
        <v>100</v>
      </c>
      <c r="D502" t="s">
        <v>96</v>
      </c>
      <c r="E502">
        <v>51231</v>
      </c>
      <c r="F502">
        <v>17998</v>
      </c>
      <c r="H502">
        <v>6.3416258831766492E-2</v>
      </c>
      <c r="K502">
        <v>0</v>
      </c>
    </row>
    <row r="503" spans="1:11" x14ac:dyDescent="0.25">
      <c r="A503" t="s">
        <v>10</v>
      </c>
      <c r="B503" t="s">
        <v>532</v>
      </c>
      <c r="C503" t="s">
        <v>100</v>
      </c>
      <c r="D503" t="s">
        <v>96</v>
      </c>
      <c r="E503">
        <v>51234</v>
      </c>
      <c r="F503">
        <v>26381</v>
      </c>
      <c r="H503">
        <v>0.52486773557158739</v>
      </c>
      <c r="K503">
        <v>691</v>
      </c>
    </row>
    <row r="504" spans="1:11" x14ac:dyDescent="0.25">
      <c r="A504" t="s">
        <v>10</v>
      </c>
      <c r="B504" t="s">
        <v>533</v>
      </c>
      <c r="C504" t="s">
        <v>100</v>
      </c>
      <c r="D504" t="s">
        <v>96</v>
      </c>
      <c r="E504">
        <v>51241</v>
      </c>
      <c r="F504">
        <v>1294</v>
      </c>
      <c r="H504">
        <v>0.6256405693820416</v>
      </c>
      <c r="K504">
        <v>0</v>
      </c>
    </row>
    <row r="505" spans="1:11" x14ac:dyDescent="0.25">
      <c r="A505" t="s">
        <v>10</v>
      </c>
      <c r="B505" t="s">
        <v>534</v>
      </c>
      <c r="C505" t="s">
        <v>80</v>
      </c>
      <c r="D505" t="s">
        <v>27</v>
      </c>
      <c r="E505">
        <v>24481</v>
      </c>
      <c r="F505">
        <v>99</v>
      </c>
      <c r="H505">
        <v>0.6256405693820416</v>
      </c>
      <c r="K505">
        <v>0</v>
      </c>
    </row>
    <row r="506" spans="1:11" x14ac:dyDescent="0.25">
      <c r="A506" t="s">
        <v>10</v>
      </c>
      <c r="B506" t="s">
        <v>535</v>
      </c>
      <c r="C506" t="s">
        <v>100</v>
      </c>
      <c r="D506" t="s">
        <v>96</v>
      </c>
      <c r="E506">
        <v>51244</v>
      </c>
      <c r="F506">
        <v>1279</v>
      </c>
      <c r="H506">
        <v>8.9423351862558675E-2</v>
      </c>
      <c r="K506">
        <v>69</v>
      </c>
    </row>
    <row r="507" spans="1:11" x14ac:dyDescent="0.25">
      <c r="A507" t="s">
        <v>10</v>
      </c>
      <c r="B507" t="s">
        <v>536</v>
      </c>
      <c r="C507" t="s">
        <v>100</v>
      </c>
      <c r="D507" t="s">
        <v>96</v>
      </c>
      <c r="E507">
        <v>51257</v>
      </c>
      <c r="F507">
        <v>830</v>
      </c>
      <c r="H507">
        <v>0.6854903775085901</v>
      </c>
      <c r="K507">
        <v>0</v>
      </c>
    </row>
    <row r="508" spans="1:11" x14ac:dyDescent="0.25">
      <c r="A508" t="s">
        <v>10</v>
      </c>
      <c r="B508" t="s">
        <v>537</v>
      </c>
      <c r="C508" t="s">
        <v>100</v>
      </c>
      <c r="D508" t="s">
        <v>96</v>
      </c>
      <c r="E508">
        <v>51267</v>
      </c>
      <c r="F508">
        <v>37304</v>
      </c>
      <c r="H508">
        <v>0.17428214136027032</v>
      </c>
      <c r="K508">
        <v>180</v>
      </c>
    </row>
    <row r="509" spans="1:11" x14ac:dyDescent="0.25">
      <c r="A509" t="s">
        <v>10</v>
      </c>
      <c r="B509" t="s">
        <v>538</v>
      </c>
      <c r="C509" t="s">
        <v>100</v>
      </c>
      <c r="D509" t="s">
        <v>96</v>
      </c>
      <c r="E509">
        <v>51284</v>
      </c>
      <c r="F509">
        <v>17146</v>
      </c>
      <c r="H509">
        <v>1.6915431866956321E-2</v>
      </c>
      <c r="K509">
        <v>0</v>
      </c>
    </row>
    <row r="510" spans="1:11" x14ac:dyDescent="0.25">
      <c r="A510" t="s">
        <v>10</v>
      </c>
      <c r="B510" t="s">
        <v>539</v>
      </c>
      <c r="C510" t="s">
        <v>100</v>
      </c>
      <c r="D510" t="s">
        <v>96</v>
      </c>
      <c r="E510">
        <v>51287</v>
      </c>
      <c r="F510">
        <v>157</v>
      </c>
      <c r="H510">
        <v>0.29815609701356449</v>
      </c>
      <c r="K510">
        <v>0</v>
      </c>
    </row>
    <row r="511" spans="1:11" x14ac:dyDescent="0.25">
      <c r="A511" t="s">
        <v>10</v>
      </c>
      <c r="B511" t="s">
        <v>540</v>
      </c>
      <c r="C511" t="s">
        <v>100</v>
      </c>
      <c r="D511" t="s">
        <v>96</v>
      </c>
      <c r="E511">
        <v>51311</v>
      </c>
      <c r="F511">
        <v>8437</v>
      </c>
      <c r="H511">
        <v>0.75378600333050083</v>
      </c>
      <c r="K511">
        <v>0</v>
      </c>
    </row>
    <row r="512" spans="1:11" x14ac:dyDescent="0.25">
      <c r="A512" t="s">
        <v>10</v>
      </c>
      <c r="B512" t="s">
        <v>541</v>
      </c>
      <c r="C512" t="s">
        <v>100</v>
      </c>
      <c r="D512" t="s">
        <v>96</v>
      </c>
      <c r="E512">
        <v>51317</v>
      </c>
      <c r="F512">
        <v>4666</v>
      </c>
      <c r="H512">
        <v>0.76614392626403172</v>
      </c>
      <c r="K512">
        <v>0</v>
      </c>
    </row>
    <row r="513" spans="1:11" x14ac:dyDescent="0.25">
      <c r="A513" t="s">
        <v>10</v>
      </c>
      <c r="B513" t="s">
        <v>542</v>
      </c>
      <c r="C513" t="s">
        <v>100</v>
      </c>
      <c r="D513" t="s">
        <v>96</v>
      </c>
      <c r="E513">
        <v>51323</v>
      </c>
      <c r="F513">
        <v>8616</v>
      </c>
      <c r="H513">
        <v>4.5646717426622962E-2</v>
      </c>
      <c r="K513">
        <v>0</v>
      </c>
    </row>
    <row r="514" spans="1:11" x14ac:dyDescent="0.25">
      <c r="A514" t="s">
        <v>10</v>
      </c>
      <c r="B514" t="s">
        <v>543</v>
      </c>
      <c r="C514" t="s">
        <v>100</v>
      </c>
      <c r="D514" t="s">
        <v>96</v>
      </c>
      <c r="E514">
        <v>51329</v>
      </c>
      <c r="F514">
        <v>713</v>
      </c>
      <c r="H514">
        <v>0.30412498717167025</v>
      </c>
      <c r="K514">
        <v>0</v>
      </c>
    </row>
    <row r="515" spans="1:11" x14ac:dyDescent="0.25">
      <c r="A515" t="s">
        <v>10</v>
      </c>
      <c r="B515" t="s">
        <v>544</v>
      </c>
      <c r="C515" t="s">
        <v>100</v>
      </c>
      <c r="D515" t="s">
        <v>96</v>
      </c>
      <c r="E515">
        <v>51347</v>
      </c>
      <c r="F515">
        <v>571</v>
      </c>
      <c r="H515">
        <v>0.54023949608614297</v>
      </c>
      <c r="K515">
        <v>146</v>
      </c>
    </row>
    <row r="516" spans="1:11" x14ac:dyDescent="0.25">
      <c r="A516" t="s">
        <v>10</v>
      </c>
      <c r="B516" t="s">
        <v>545</v>
      </c>
      <c r="C516" t="s">
        <v>100</v>
      </c>
      <c r="D516" t="s">
        <v>96</v>
      </c>
      <c r="E516">
        <v>51353</v>
      </c>
      <c r="F516">
        <v>658</v>
      </c>
      <c r="H516">
        <v>0.36003539550630959</v>
      </c>
      <c r="K516">
        <v>0</v>
      </c>
    </row>
    <row r="517" spans="1:11" x14ac:dyDescent="0.25">
      <c r="A517" t="s">
        <v>10</v>
      </c>
      <c r="B517" t="s">
        <v>546</v>
      </c>
      <c r="C517" t="s">
        <v>100</v>
      </c>
      <c r="D517" t="s">
        <v>96</v>
      </c>
      <c r="E517">
        <v>51359</v>
      </c>
      <c r="F517">
        <v>3897</v>
      </c>
      <c r="H517">
        <v>0.2554307102325335</v>
      </c>
      <c r="K517">
        <v>98</v>
      </c>
    </row>
    <row r="518" spans="1:11" x14ac:dyDescent="0.25">
      <c r="A518" t="s">
        <v>10</v>
      </c>
      <c r="B518" t="s">
        <v>547</v>
      </c>
      <c r="C518" t="s">
        <v>100</v>
      </c>
      <c r="D518" t="s">
        <v>96</v>
      </c>
      <c r="E518">
        <v>51365</v>
      </c>
      <c r="F518">
        <v>5817</v>
      </c>
      <c r="H518">
        <v>0.59154203313274145</v>
      </c>
      <c r="K518">
        <v>0</v>
      </c>
    </row>
    <row r="519" spans="1:11" x14ac:dyDescent="0.25">
      <c r="A519" t="s">
        <v>10</v>
      </c>
      <c r="B519" t="s">
        <v>548</v>
      </c>
      <c r="C519" t="s">
        <v>100</v>
      </c>
      <c r="D519" t="s">
        <v>96</v>
      </c>
      <c r="E519">
        <v>51371</v>
      </c>
      <c r="F519">
        <v>1122</v>
      </c>
      <c r="H519">
        <v>4.3525552335952566E-2</v>
      </c>
      <c r="K519">
        <v>0</v>
      </c>
    </row>
    <row r="520" spans="1:11" x14ac:dyDescent="0.25">
      <c r="A520" t="s">
        <v>10</v>
      </c>
      <c r="B520" t="s">
        <v>549</v>
      </c>
      <c r="C520" t="s">
        <v>100</v>
      </c>
      <c r="D520" t="s">
        <v>96</v>
      </c>
      <c r="E520">
        <v>51377</v>
      </c>
      <c r="F520">
        <v>1432</v>
      </c>
      <c r="H520">
        <v>0.60994438260126915</v>
      </c>
      <c r="K520">
        <v>0</v>
      </c>
    </row>
    <row r="521" spans="1:11" x14ac:dyDescent="0.25">
      <c r="A521" t="s">
        <v>10</v>
      </c>
      <c r="B521" t="s">
        <v>550</v>
      </c>
      <c r="C521" t="s">
        <v>100</v>
      </c>
      <c r="D521" t="s">
        <v>96</v>
      </c>
      <c r="E521">
        <v>51383</v>
      </c>
      <c r="F521">
        <v>9825</v>
      </c>
      <c r="H521">
        <v>8.9355286110554877E-2</v>
      </c>
      <c r="K521">
        <v>0</v>
      </c>
    </row>
    <row r="522" spans="1:11" x14ac:dyDescent="0.25">
      <c r="A522" t="s">
        <v>10</v>
      </c>
      <c r="B522" t="s">
        <v>551</v>
      </c>
      <c r="C522" t="s">
        <v>100</v>
      </c>
      <c r="D522" t="s">
        <v>96</v>
      </c>
      <c r="E522">
        <v>51389</v>
      </c>
      <c r="F522">
        <v>8388</v>
      </c>
      <c r="H522">
        <v>0.59051756127907573</v>
      </c>
      <c r="K522">
        <v>0</v>
      </c>
    </row>
    <row r="523" spans="1:11" x14ac:dyDescent="0.25">
      <c r="A523" t="s">
        <v>10</v>
      </c>
      <c r="B523" t="s">
        <v>552</v>
      </c>
      <c r="C523" t="s">
        <v>553</v>
      </c>
      <c r="D523" t="s">
        <v>96</v>
      </c>
      <c r="E523">
        <v>52111</v>
      </c>
      <c r="F523">
        <v>8173</v>
      </c>
      <c r="H523">
        <v>0.55389596655423645</v>
      </c>
      <c r="K523">
        <v>0</v>
      </c>
    </row>
    <row r="524" spans="1:11" x14ac:dyDescent="0.25">
      <c r="A524" t="s">
        <v>10</v>
      </c>
      <c r="B524" t="s">
        <v>554</v>
      </c>
      <c r="C524" t="s">
        <v>553</v>
      </c>
      <c r="D524" t="s">
        <v>96</v>
      </c>
      <c r="E524">
        <v>52116</v>
      </c>
      <c r="F524">
        <v>1492</v>
      </c>
      <c r="H524">
        <v>2.0469262898746066E-2</v>
      </c>
      <c r="K524">
        <v>0</v>
      </c>
    </row>
    <row r="525" spans="1:11" x14ac:dyDescent="0.25">
      <c r="A525" t="s">
        <v>10</v>
      </c>
      <c r="B525" t="s">
        <v>555</v>
      </c>
      <c r="C525" t="s">
        <v>553</v>
      </c>
      <c r="D525" t="s">
        <v>96</v>
      </c>
      <c r="E525">
        <v>52121</v>
      </c>
      <c r="F525">
        <v>739</v>
      </c>
      <c r="H525">
        <v>0.59210116053537787</v>
      </c>
      <c r="K525">
        <v>0</v>
      </c>
    </row>
    <row r="526" spans="1:11" x14ac:dyDescent="0.25">
      <c r="A526" t="s">
        <v>10</v>
      </c>
      <c r="B526" t="s">
        <v>556</v>
      </c>
      <c r="C526" t="s">
        <v>553</v>
      </c>
      <c r="D526" t="s">
        <v>96</v>
      </c>
      <c r="E526">
        <v>52126</v>
      </c>
      <c r="F526">
        <v>475</v>
      </c>
      <c r="H526">
        <v>0.58057136320741232</v>
      </c>
      <c r="K526">
        <v>0</v>
      </c>
    </row>
    <row r="527" spans="1:11" x14ac:dyDescent="0.25">
      <c r="A527" t="s">
        <v>10</v>
      </c>
      <c r="B527" t="s">
        <v>557</v>
      </c>
      <c r="C527" t="s">
        <v>553</v>
      </c>
      <c r="D527" t="s">
        <v>96</v>
      </c>
      <c r="E527">
        <v>52136</v>
      </c>
      <c r="F527">
        <v>2186</v>
      </c>
      <c r="H527">
        <v>0.56078080876819414</v>
      </c>
      <c r="K527">
        <v>120</v>
      </c>
    </row>
    <row r="528" spans="1:11" x14ac:dyDescent="0.25">
      <c r="A528" t="s">
        <v>10</v>
      </c>
      <c r="B528" t="s">
        <v>558</v>
      </c>
      <c r="C528" t="s">
        <v>553</v>
      </c>
      <c r="D528" t="s">
        <v>96</v>
      </c>
      <c r="E528">
        <v>52141</v>
      </c>
      <c r="F528">
        <v>253</v>
      </c>
      <c r="H528">
        <v>0</v>
      </c>
      <c r="K528">
        <v>0</v>
      </c>
    </row>
    <row r="529" spans="1:11" x14ac:dyDescent="0.25">
      <c r="A529" t="s">
        <v>10</v>
      </c>
      <c r="B529" t="s">
        <v>559</v>
      </c>
      <c r="C529" t="s">
        <v>553</v>
      </c>
      <c r="D529" t="s">
        <v>96</v>
      </c>
      <c r="E529">
        <v>52146</v>
      </c>
      <c r="F529">
        <v>1101</v>
      </c>
      <c r="H529">
        <v>0.39423233595377905</v>
      </c>
      <c r="K529">
        <v>0</v>
      </c>
    </row>
    <row r="530" spans="1:11" x14ac:dyDescent="0.25">
      <c r="A530" t="s">
        <v>10</v>
      </c>
      <c r="B530" t="s">
        <v>560</v>
      </c>
      <c r="C530" t="s">
        <v>553</v>
      </c>
      <c r="D530" t="s">
        <v>96</v>
      </c>
      <c r="E530">
        <v>52151</v>
      </c>
      <c r="F530">
        <v>4206</v>
      </c>
      <c r="H530">
        <v>0.67030805502520963</v>
      </c>
      <c r="K530">
        <v>14</v>
      </c>
    </row>
    <row r="531" spans="1:11" x14ac:dyDescent="0.25">
      <c r="A531" t="s">
        <v>10</v>
      </c>
      <c r="B531" t="s">
        <v>561</v>
      </c>
      <c r="C531" t="s">
        <v>553</v>
      </c>
      <c r="D531" t="s">
        <v>96</v>
      </c>
      <c r="E531">
        <v>52161</v>
      </c>
      <c r="F531">
        <v>1120</v>
      </c>
      <c r="H531">
        <v>0.458081767678716</v>
      </c>
      <c r="K531">
        <v>0</v>
      </c>
    </row>
    <row r="532" spans="1:11" x14ac:dyDescent="0.25">
      <c r="A532" t="s">
        <v>10</v>
      </c>
      <c r="B532" t="s">
        <v>562</v>
      </c>
      <c r="C532" t="s">
        <v>553</v>
      </c>
      <c r="D532" t="s">
        <v>96</v>
      </c>
      <c r="E532">
        <v>52171</v>
      </c>
      <c r="F532">
        <v>3595</v>
      </c>
      <c r="H532">
        <v>0.64985875769345958</v>
      </c>
      <c r="K532">
        <v>180</v>
      </c>
    </row>
    <row r="533" spans="1:11" x14ac:dyDescent="0.25">
      <c r="A533" t="s">
        <v>10</v>
      </c>
      <c r="B533" t="s">
        <v>563</v>
      </c>
      <c r="C533" t="s">
        <v>553</v>
      </c>
      <c r="D533" t="s">
        <v>96</v>
      </c>
      <c r="E533">
        <v>52176</v>
      </c>
      <c r="F533">
        <v>737</v>
      </c>
      <c r="H533">
        <v>0.70123681469331078</v>
      </c>
      <c r="K533">
        <v>0</v>
      </c>
    </row>
    <row r="534" spans="1:11" x14ac:dyDescent="0.25">
      <c r="A534" t="s">
        <v>10</v>
      </c>
      <c r="B534" t="s">
        <v>564</v>
      </c>
      <c r="C534" t="s">
        <v>553</v>
      </c>
      <c r="D534" t="s">
        <v>96</v>
      </c>
      <c r="E534">
        <v>52181</v>
      </c>
      <c r="F534">
        <v>0</v>
      </c>
      <c r="H534">
        <v>0.58448979591836736</v>
      </c>
      <c r="K534">
        <v>0</v>
      </c>
    </row>
    <row r="535" spans="1:11" x14ac:dyDescent="0.25">
      <c r="A535" t="s">
        <v>10</v>
      </c>
      <c r="B535" t="s">
        <v>565</v>
      </c>
      <c r="C535" t="s">
        <v>553</v>
      </c>
      <c r="D535" t="s">
        <v>96</v>
      </c>
      <c r="E535">
        <v>52211</v>
      </c>
      <c r="F535">
        <v>12372</v>
      </c>
      <c r="H535">
        <v>0.37141527763347149</v>
      </c>
      <c r="K535">
        <v>228</v>
      </c>
    </row>
    <row r="536" spans="1:11" x14ac:dyDescent="0.25">
      <c r="A536" t="s">
        <v>10</v>
      </c>
      <c r="B536" t="s">
        <v>566</v>
      </c>
      <c r="C536" t="s">
        <v>553</v>
      </c>
      <c r="D536" t="s">
        <v>96</v>
      </c>
      <c r="E536">
        <v>52214</v>
      </c>
      <c r="F536">
        <v>3164</v>
      </c>
      <c r="H536">
        <v>1.8445044397151777E-2</v>
      </c>
      <c r="K536">
        <v>151</v>
      </c>
    </row>
    <row r="537" spans="1:11" x14ac:dyDescent="0.25">
      <c r="A537" t="s">
        <v>10</v>
      </c>
      <c r="B537" t="s">
        <v>567</v>
      </c>
      <c r="C537" t="s">
        <v>553</v>
      </c>
      <c r="D537" t="s">
        <v>96</v>
      </c>
      <c r="E537">
        <v>52217</v>
      </c>
      <c r="F537">
        <v>7509</v>
      </c>
      <c r="H537">
        <v>2.4454824049900847E-2</v>
      </c>
      <c r="K537">
        <v>293</v>
      </c>
    </row>
    <row r="538" spans="1:11" x14ac:dyDescent="0.25">
      <c r="A538" t="s">
        <v>10</v>
      </c>
      <c r="B538" t="s">
        <v>568</v>
      </c>
      <c r="C538" t="s">
        <v>553</v>
      </c>
      <c r="D538" t="s">
        <v>96</v>
      </c>
      <c r="E538">
        <v>52224</v>
      </c>
      <c r="F538">
        <v>1858</v>
      </c>
      <c r="H538">
        <v>5.3132222714520005E-2</v>
      </c>
      <c r="K538">
        <v>288</v>
      </c>
    </row>
    <row r="539" spans="1:11" x14ac:dyDescent="0.25">
      <c r="A539" t="s">
        <v>10</v>
      </c>
      <c r="B539" t="s">
        <v>569</v>
      </c>
      <c r="C539" t="s">
        <v>553</v>
      </c>
      <c r="D539" t="s">
        <v>96</v>
      </c>
      <c r="E539">
        <v>52227</v>
      </c>
      <c r="F539">
        <v>15651</v>
      </c>
      <c r="H539">
        <v>2.3065548657362989E-2</v>
      </c>
      <c r="K539">
        <v>361</v>
      </c>
    </row>
    <row r="540" spans="1:11" x14ac:dyDescent="0.25">
      <c r="A540" t="s">
        <v>10</v>
      </c>
      <c r="B540" t="s">
        <v>570</v>
      </c>
      <c r="C540" t="s">
        <v>553</v>
      </c>
      <c r="D540" t="s">
        <v>96</v>
      </c>
      <c r="E540">
        <v>52231</v>
      </c>
      <c r="F540">
        <v>2289</v>
      </c>
      <c r="H540">
        <v>1.369887966917771E-2</v>
      </c>
      <c r="K540">
        <v>0</v>
      </c>
    </row>
    <row r="541" spans="1:11" x14ac:dyDescent="0.25">
      <c r="A541" t="s">
        <v>10</v>
      </c>
      <c r="B541" t="s">
        <v>571</v>
      </c>
      <c r="C541" t="s">
        <v>553</v>
      </c>
      <c r="D541" t="s">
        <v>96</v>
      </c>
      <c r="E541">
        <v>52234</v>
      </c>
      <c r="F541">
        <v>2409</v>
      </c>
      <c r="H541">
        <v>5.3925925925926044E-2</v>
      </c>
      <c r="K541">
        <v>212</v>
      </c>
    </row>
    <row r="542" spans="1:11" x14ac:dyDescent="0.25">
      <c r="A542" t="s">
        <v>10</v>
      </c>
      <c r="B542" t="s">
        <v>572</v>
      </c>
      <c r="C542" t="s">
        <v>553</v>
      </c>
      <c r="D542" t="s">
        <v>96</v>
      </c>
      <c r="E542">
        <v>52237</v>
      </c>
      <c r="F542">
        <v>7079</v>
      </c>
      <c r="H542">
        <v>0.25756543134985954</v>
      </c>
      <c r="K542">
        <v>265</v>
      </c>
    </row>
    <row r="543" spans="1:11" x14ac:dyDescent="0.25">
      <c r="A543" t="s">
        <v>10</v>
      </c>
      <c r="B543" t="s">
        <v>573</v>
      </c>
      <c r="C543" t="s">
        <v>553</v>
      </c>
      <c r="D543" t="s">
        <v>96</v>
      </c>
      <c r="E543">
        <v>52251</v>
      </c>
      <c r="F543">
        <v>857</v>
      </c>
      <c r="H543">
        <v>0.67152110726643599</v>
      </c>
      <c r="K543">
        <v>0</v>
      </c>
    </row>
    <row r="544" spans="1:11" x14ac:dyDescent="0.25">
      <c r="A544" t="s">
        <v>10</v>
      </c>
      <c r="B544" t="s">
        <v>574</v>
      </c>
      <c r="C544" t="s">
        <v>553</v>
      </c>
      <c r="D544" t="s">
        <v>96</v>
      </c>
      <c r="E544">
        <v>52254</v>
      </c>
      <c r="F544">
        <v>5126</v>
      </c>
      <c r="H544">
        <v>3.247552798594433E-2</v>
      </c>
      <c r="K544">
        <v>82</v>
      </c>
    </row>
    <row r="545" spans="1:11" x14ac:dyDescent="0.25">
      <c r="A545" t="s">
        <v>10</v>
      </c>
      <c r="B545" t="s">
        <v>575</v>
      </c>
      <c r="C545" t="s">
        <v>100</v>
      </c>
      <c r="D545" t="s">
        <v>96</v>
      </c>
      <c r="E545">
        <v>52261</v>
      </c>
      <c r="F545">
        <v>0</v>
      </c>
      <c r="H545">
        <v>0.2363789409243956</v>
      </c>
      <c r="K545">
        <v>0</v>
      </c>
    </row>
    <row r="546" spans="1:11" x14ac:dyDescent="0.25">
      <c r="A546" t="s">
        <v>10</v>
      </c>
      <c r="B546" t="s">
        <v>576</v>
      </c>
      <c r="C546" t="s">
        <v>553</v>
      </c>
      <c r="D546" t="s">
        <v>96</v>
      </c>
      <c r="E546">
        <v>52264</v>
      </c>
      <c r="F546">
        <v>5104</v>
      </c>
      <c r="H546">
        <v>0.20367027006804217</v>
      </c>
      <c r="K546">
        <v>119</v>
      </c>
    </row>
    <row r="547" spans="1:11" x14ac:dyDescent="0.25">
      <c r="A547" t="s">
        <v>10</v>
      </c>
      <c r="B547" t="s">
        <v>577</v>
      </c>
      <c r="C547" t="s">
        <v>553</v>
      </c>
      <c r="D547" t="s">
        <v>96</v>
      </c>
      <c r="E547">
        <v>52267</v>
      </c>
      <c r="F547">
        <v>5097</v>
      </c>
      <c r="H547">
        <v>4.7811529130210251E-2</v>
      </c>
      <c r="K547">
        <v>0</v>
      </c>
    </row>
    <row r="548" spans="1:11" x14ac:dyDescent="0.25">
      <c r="A548" t="s">
        <v>10</v>
      </c>
      <c r="B548" t="s">
        <v>578</v>
      </c>
      <c r="C548" t="s">
        <v>553</v>
      </c>
      <c r="D548" t="s">
        <v>96</v>
      </c>
      <c r="E548">
        <v>52274</v>
      </c>
      <c r="F548">
        <v>2377</v>
      </c>
      <c r="H548">
        <v>5.6046793269602602E-2</v>
      </c>
      <c r="K548">
        <v>0</v>
      </c>
    </row>
    <row r="549" spans="1:11" x14ac:dyDescent="0.25">
      <c r="A549" t="s">
        <v>10</v>
      </c>
      <c r="B549" t="s">
        <v>579</v>
      </c>
      <c r="C549" t="s">
        <v>553</v>
      </c>
      <c r="D549" t="s">
        <v>96</v>
      </c>
      <c r="E549">
        <v>52277</v>
      </c>
      <c r="F549">
        <v>18478</v>
      </c>
      <c r="H549">
        <v>6.0788770820181304E-2</v>
      </c>
      <c r="K549">
        <v>282</v>
      </c>
    </row>
    <row r="550" spans="1:11" x14ac:dyDescent="0.25">
      <c r="A550" t="s">
        <v>10</v>
      </c>
      <c r="B550" t="s">
        <v>580</v>
      </c>
      <c r="C550" t="s">
        <v>553</v>
      </c>
      <c r="D550" t="s">
        <v>96</v>
      </c>
      <c r="E550">
        <v>52284</v>
      </c>
      <c r="F550">
        <v>192</v>
      </c>
      <c r="H550">
        <v>4.1455251117164194E-2</v>
      </c>
      <c r="K550">
        <v>0</v>
      </c>
    </row>
    <row r="551" spans="1:11" x14ac:dyDescent="0.25">
      <c r="A551" t="s">
        <v>10</v>
      </c>
      <c r="B551" t="s">
        <v>581</v>
      </c>
      <c r="C551" t="s">
        <v>553</v>
      </c>
      <c r="D551" t="s">
        <v>96</v>
      </c>
      <c r="E551">
        <v>52287</v>
      </c>
      <c r="F551">
        <v>51</v>
      </c>
      <c r="H551">
        <v>1.7134363852556511E-2</v>
      </c>
      <c r="K551">
        <v>0</v>
      </c>
    </row>
    <row r="552" spans="1:11" x14ac:dyDescent="0.25">
      <c r="A552" t="s">
        <v>10</v>
      </c>
      <c r="B552" t="s">
        <v>582</v>
      </c>
      <c r="C552" t="s">
        <v>553</v>
      </c>
      <c r="D552" t="s">
        <v>96</v>
      </c>
      <c r="E552">
        <v>52295</v>
      </c>
      <c r="F552">
        <v>1317</v>
      </c>
      <c r="H552">
        <v>2.8601606321588924E-2</v>
      </c>
      <c r="K552">
        <v>0</v>
      </c>
    </row>
    <row r="553" spans="1:11" x14ac:dyDescent="0.25">
      <c r="A553" t="s">
        <v>10</v>
      </c>
      <c r="B553" t="s">
        <v>82</v>
      </c>
      <c r="C553" t="s">
        <v>82</v>
      </c>
      <c r="D553" t="s">
        <v>83</v>
      </c>
      <c r="E553">
        <v>53111</v>
      </c>
      <c r="F553">
        <v>65558</v>
      </c>
      <c r="H553">
        <v>0.40066264690851472</v>
      </c>
      <c r="K553">
        <v>42</v>
      </c>
    </row>
    <row r="554" spans="1:11" x14ac:dyDescent="0.25">
      <c r="A554" t="s">
        <v>10</v>
      </c>
      <c r="B554" t="s">
        <v>583</v>
      </c>
      <c r="C554" t="s">
        <v>82</v>
      </c>
      <c r="D554" t="s">
        <v>83</v>
      </c>
      <c r="E554">
        <v>53119</v>
      </c>
      <c r="F554">
        <v>11441</v>
      </c>
      <c r="H554">
        <v>0.70359245731698628</v>
      </c>
      <c r="K554">
        <v>0</v>
      </c>
    </row>
    <row r="555" spans="1:11" x14ac:dyDescent="0.25">
      <c r="A555" t="s">
        <v>10</v>
      </c>
      <c r="B555" t="s">
        <v>584</v>
      </c>
      <c r="C555" t="s">
        <v>82</v>
      </c>
      <c r="D555" t="s">
        <v>83</v>
      </c>
      <c r="E555">
        <v>53123</v>
      </c>
      <c r="F555">
        <v>6292</v>
      </c>
      <c r="H555">
        <v>0.30514261809543741</v>
      </c>
      <c r="K555">
        <v>0</v>
      </c>
    </row>
    <row r="556" spans="1:11" x14ac:dyDescent="0.25">
      <c r="A556" t="s">
        <v>10</v>
      </c>
      <c r="B556" t="s">
        <v>585</v>
      </c>
      <c r="C556" t="s">
        <v>82</v>
      </c>
      <c r="D556" t="s">
        <v>83</v>
      </c>
      <c r="E556">
        <v>53135</v>
      </c>
      <c r="F556">
        <v>1271</v>
      </c>
      <c r="H556">
        <v>0.43448553495373599</v>
      </c>
      <c r="K556">
        <v>0</v>
      </c>
    </row>
    <row r="557" spans="1:11" x14ac:dyDescent="0.25">
      <c r="A557" t="s">
        <v>10</v>
      </c>
      <c r="B557" t="s">
        <v>586</v>
      </c>
      <c r="C557" t="s">
        <v>82</v>
      </c>
      <c r="D557" t="s">
        <v>83</v>
      </c>
      <c r="E557">
        <v>53139</v>
      </c>
      <c r="F557">
        <v>1473</v>
      </c>
      <c r="H557">
        <v>0.17426282198913146</v>
      </c>
      <c r="K557">
        <v>0</v>
      </c>
    </row>
    <row r="558" spans="1:11" x14ac:dyDescent="0.25">
      <c r="A558" t="s">
        <v>10</v>
      </c>
      <c r="B558" t="s">
        <v>587</v>
      </c>
      <c r="C558" t="s">
        <v>234</v>
      </c>
      <c r="D558" t="s">
        <v>88</v>
      </c>
      <c r="E558">
        <v>73232</v>
      </c>
      <c r="F558">
        <v>2149</v>
      </c>
      <c r="H558">
        <v>0.17426282198913146</v>
      </c>
      <c r="K558">
        <v>0</v>
      </c>
    </row>
    <row r="559" spans="1:11" x14ac:dyDescent="0.25">
      <c r="A559" t="s">
        <v>10</v>
      </c>
      <c r="B559" t="s">
        <v>588</v>
      </c>
      <c r="C559" t="s">
        <v>82</v>
      </c>
      <c r="D559" t="s">
        <v>83</v>
      </c>
      <c r="E559">
        <v>53143</v>
      </c>
      <c r="F559">
        <v>2951</v>
      </c>
      <c r="H559">
        <v>3.2457937830033035E-2</v>
      </c>
      <c r="K559">
        <v>0</v>
      </c>
    </row>
    <row r="560" spans="1:11" x14ac:dyDescent="0.25">
      <c r="A560" t="s">
        <v>10</v>
      </c>
      <c r="B560" t="s">
        <v>589</v>
      </c>
      <c r="C560" t="s">
        <v>82</v>
      </c>
      <c r="D560" t="s">
        <v>83</v>
      </c>
      <c r="E560">
        <v>53147</v>
      </c>
      <c r="F560">
        <v>2453</v>
      </c>
      <c r="H560">
        <v>0.69232118156387745</v>
      </c>
      <c r="K560">
        <v>0</v>
      </c>
    </row>
    <row r="561" spans="1:11" x14ac:dyDescent="0.25">
      <c r="A561" t="s">
        <v>10</v>
      </c>
      <c r="B561" t="s">
        <v>590</v>
      </c>
      <c r="C561" t="s">
        <v>82</v>
      </c>
      <c r="D561" t="s">
        <v>83</v>
      </c>
      <c r="E561">
        <v>53151</v>
      </c>
      <c r="F561">
        <v>812</v>
      </c>
      <c r="H561">
        <v>0.69294154442934164</v>
      </c>
      <c r="K561">
        <v>0</v>
      </c>
    </row>
    <row r="562" spans="1:11" x14ac:dyDescent="0.25">
      <c r="A562" t="s">
        <v>10</v>
      </c>
      <c r="B562" t="s">
        <v>591</v>
      </c>
      <c r="C562" t="s">
        <v>82</v>
      </c>
      <c r="D562" t="s">
        <v>83</v>
      </c>
      <c r="E562">
        <v>53155</v>
      </c>
      <c r="F562">
        <v>2348</v>
      </c>
      <c r="H562">
        <v>5.0606380965409148E-2</v>
      </c>
      <c r="K562">
        <v>0</v>
      </c>
    </row>
    <row r="563" spans="1:11" x14ac:dyDescent="0.25">
      <c r="A563" t="s">
        <v>10</v>
      </c>
      <c r="B563" t="s">
        <v>592</v>
      </c>
      <c r="C563" t="s">
        <v>82</v>
      </c>
      <c r="D563" t="s">
        <v>83</v>
      </c>
      <c r="E563">
        <v>53167</v>
      </c>
      <c r="F563">
        <v>2816</v>
      </c>
      <c r="H563">
        <v>9.1367221540683774E-2</v>
      </c>
      <c r="K563">
        <v>0</v>
      </c>
    </row>
    <row r="564" spans="1:11" x14ac:dyDescent="0.25">
      <c r="A564" t="s">
        <v>10</v>
      </c>
      <c r="B564" t="s">
        <v>593</v>
      </c>
      <c r="C564" t="s">
        <v>82</v>
      </c>
      <c r="D564" t="s">
        <v>83</v>
      </c>
      <c r="E564">
        <v>53171</v>
      </c>
      <c r="F564">
        <v>163</v>
      </c>
      <c r="H564">
        <v>4.3236168947055398E-2</v>
      </c>
      <c r="K564">
        <v>0</v>
      </c>
    </row>
    <row r="565" spans="1:11" x14ac:dyDescent="0.25">
      <c r="A565" t="s">
        <v>10</v>
      </c>
      <c r="B565" t="s">
        <v>594</v>
      </c>
      <c r="C565" t="s">
        <v>82</v>
      </c>
      <c r="D565" t="s">
        <v>83</v>
      </c>
      <c r="E565">
        <v>53179</v>
      </c>
      <c r="F565">
        <v>1571</v>
      </c>
      <c r="H565">
        <v>5.0203210713759105E-2</v>
      </c>
      <c r="K565">
        <v>0</v>
      </c>
    </row>
    <row r="566" spans="1:11" x14ac:dyDescent="0.25">
      <c r="A566" t="s">
        <v>10</v>
      </c>
      <c r="B566" t="s">
        <v>595</v>
      </c>
      <c r="C566" t="s">
        <v>82</v>
      </c>
      <c r="D566" t="s">
        <v>83</v>
      </c>
      <c r="E566">
        <v>53211</v>
      </c>
      <c r="F566">
        <v>4710</v>
      </c>
      <c r="H566">
        <v>0.33947043382680153</v>
      </c>
      <c r="K566">
        <v>358</v>
      </c>
    </row>
    <row r="567" spans="1:11" x14ac:dyDescent="0.25">
      <c r="A567" t="s">
        <v>10</v>
      </c>
      <c r="B567" t="s">
        <v>596</v>
      </c>
      <c r="C567" t="s">
        <v>82</v>
      </c>
      <c r="D567" t="s">
        <v>83</v>
      </c>
      <c r="E567">
        <v>53214</v>
      </c>
      <c r="F567">
        <v>8887</v>
      </c>
      <c r="H567">
        <v>0.44755527819204988</v>
      </c>
      <c r="K567">
        <v>177</v>
      </c>
    </row>
    <row r="568" spans="1:11" x14ac:dyDescent="0.25">
      <c r="A568" t="s">
        <v>10</v>
      </c>
      <c r="B568" t="s">
        <v>597</v>
      </c>
      <c r="C568" t="s">
        <v>82</v>
      </c>
      <c r="D568" t="s">
        <v>83</v>
      </c>
      <c r="E568">
        <v>53217</v>
      </c>
      <c r="F568">
        <v>8137</v>
      </c>
      <c r="H568">
        <v>0.6660246401588541</v>
      </c>
      <c r="K568">
        <v>0</v>
      </c>
    </row>
    <row r="569" spans="1:11" x14ac:dyDescent="0.25">
      <c r="A569" t="s">
        <v>10</v>
      </c>
      <c r="B569" t="s">
        <v>598</v>
      </c>
      <c r="C569" t="s">
        <v>82</v>
      </c>
      <c r="D569" t="s">
        <v>83</v>
      </c>
      <c r="E569">
        <v>53224</v>
      </c>
      <c r="F569">
        <v>2715</v>
      </c>
      <c r="H569">
        <v>0.11094678040278683</v>
      </c>
      <c r="K569">
        <v>0</v>
      </c>
    </row>
    <row r="570" spans="1:11" x14ac:dyDescent="0.25">
      <c r="A570" t="s">
        <v>10</v>
      </c>
      <c r="B570" t="s">
        <v>599</v>
      </c>
      <c r="C570" t="s">
        <v>82</v>
      </c>
      <c r="D570" t="s">
        <v>83</v>
      </c>
      <c r="E570">
        <v>53231</v>
      </c>
      <c r="F570">
        <v>47604</v>
      </c>
      <c r="H570">
        <v>2.1616790533473873E-2</v>
      </c>
      <c r="K570">
        <v>79</v>
      </c>
    </row>
    <row r="571" spans="1:11" x14ac:dyDescent="0.25">
      <c r="A571" t="s">
        <v>10</v>
      </c>
      <c r="B571" t="s">
        <v>600</v>
      </c>
      <c r="C571" t="s">
        <v>82</v>
      </c>
      <c r="D571" t="s">
        <v>83</v>
      </c>
      <c r="E571">
        <v>53234</v>
      </c>
      <c r="F571">
        <v>10128</v>
      </c>
      <c r="H571">
        <v>8.4552235547513566E-2</v>
      </c>
      <c r="K571">
        <v>0</v>
      </c>
    </row>
    <row r="572" spans="1:11" x14ac:dyDescent="0.25">
      <c r="A572" t="s">
        <v>10</v>
      </c>
      <c r="B572" t="s">
        <v>601</v>
      </c>
      <c r="C572" t="s">
        <v>82</v>
      </c>
      <c r="D572" t="s">
        <v>83</v>
      </c>
      <c r="E572">
        <v>53237</v>
      </c>
      <c r="F572">
        <v>1012</v>
      </c>
      <c r="H572">
        <v>4.7394604087202641E-2</v>
      </c>
      <c r="K572">
        <v>0</v>
      </c>
    </row>
    <row r="573" spans="1:11" x14ac:dyDescent="0.25">
      <c r="A573" t="s">
        <v>10</v>
      </c>
      <c r="B573" t="s">
        <v>602</v>
      </c>
      <c r="C573" t="s">
        <v>82</v>
      </c>
      <c r="D573" t="s">
        <v>83</v>
      </c>
      <c r="E573">
        <v>53241</v>
      </c>
      <c r="F573">
        <v>15859</v>
      </c>
      <c r="H573">
        <v>0.24956808559423183</v>
      </c>
      <c r="K573">
        <v>257</v>
      </c>
    </row>
    <row r="574" spans="1:11" x14ac:dyDescent="0.25">
      <c r="A574" t="s">
        <v>10</v>
      </c>
      <c r="B574" t="s">
        <v>603</v>
      </c>
      <c r="C574" t="s">
        <v>82</v>
      </c>
      <c r="D574" t="s">
        <v>83</v>
      </c>
      <c r="E574">
        <v>53247</v>
      </c>
      <c r="F574">
        <v>739</v>
      </c>
      <c r="H574">
        <v>3.7949618709633204E-2</v>
      </c>
      <c r="K574">
        <v>0</v>
      </c>
    </row>
    <row r="575" spans="1:11" x14ac:dyDescent="0.25">
      <c r="A575" t="s">
        <v>10</v>
      </c>
      <c r="B575" t="s">
        <v>604</v>
      </c>
      <c r="C575" t="s">
        <v>82</v>
      </c>
      <c r="D575" t="s">
        <v>83</v>
      </c>
      <c r="E575">
        <v>53251</v>
      </c>
      <c r="F575">
        <v>749</v>
      </c>
      <c r="H575">
        <v>4.2989977055911233E-2</v>
      </c>
      <c r="K575">
        <v>0</v>
      </c>
    </row>
    <row r="576" spans="1:11" x14ac:dyDescent="0.25">
      <c r="A576" t="s">
        <v>10</v>
      </c>
      <c r="B576" t="s">
        <v>605</v>
      </c>
      <c r="C576" t="s">
        <v>82</v>
      </c>
      <c r="D576" t="s">
        <v>83</v>
      </c>
      <c r="E576">
        <v>53261</v>
      </c>
      <c r="F576">
        <v>235</v>
      </c>
      <c r="H576">
        <v>3.7708512804448313E-2</v>
      </c>
      <c r="K576">
        <v>0</v>
      </c>
    </row>
    <row r="577" spans="1:11" x14ac:dyDescent="0.25">
      <c r="A577" t="s">
        <v>10</v>
      </c>
      <c r="B577" t="s">
        <v>606</v>
      </c>
      <c r="C577" t="s">
        <v>82</v>
      </c>
      <c r="D577" t="s">
        <v>83</v>
      </c>
      <c r="E577">
        <v>53264</v>
      </c>
      <c r="F577">
        <v>1510</v>
      </c>
      <c r="H577">
        <v>5.2915077504611441E-2</v>
      </c>
      <c r="K577">
        <v>0</v>
      </c>
    </row>
    <row r="578" spans="1:11" x14ac:dyDescent="0.25">
      <c r="A578" t="s">
        <v>10</v>
      </c>
      <c r="B578" t="s">
        <v>607</v>
      </c>
      <c r="C578" t="s">
        <v>82</v>
      </c>
      <c r="D578" t="s">
        <v>83</v>
      </c>
      <c r="E578">
        <v>53271</v>
      </c>
      <c r="F578">
        <v>2032</v>
      </c>
      <c r="H578">
        <v>0.28440668099264321</v>
      </c>
      <c r="K578">
        <v>0</v>
      </c>
    </row>
    <row r="579" spans="1:11" x14ac:dyDescent="0.25">
      <c r="A579" t="s">
        <v>10</v>
      </c>
      <c r="B579" t="s">
        <v>608</v>
      </c>
      <c r="C579" t="s">
        <v>82</v>
      </c>
      <c r="D579" t="s">
        <v>83</v>
      </c>
      <c r="E579">
        <v>53274</v>
      </c>
      <c r="F579">
        <v>6327</v>
      </c>
      <c r="H579">
        <v>0.41503403585913956</v>
      </c>
      <c r="K579">
        <v>0</v>
      </c>
    </row>
    <row r="580" spans="1:11" x14ac:dyDescent="0.25">
      <c r="A580" t="s">
        <v>10</v>
      </c>
      <c r="B580" t="s">
        <v>609</v>
      </c>
      <c r="C580" t="s">
        <v>82</v>
      </c>
      <c r="D580" t="s">
        <v>83</v>
      </c>
      <c r="E580">
        <v>53277</v>
      </c>
      <c r="F580">
        <v>461</v>
      </c>
      <c r="H580">
        <v>1.1798994443906308E-2</v>
      </c>
      <c r="K580">
        <v>0</v>
      </c>
    </row>
    <row r="581" spans="1:11" x14ac:dyDescent="0.25">
      <c r="A581" t="s">
        <v>10</v>
      </c>
      <c r="B581" t="s">
        <v>610</v>
      </c>
      <c r="C581" t="s">
        <v>82</v>
      </c>
      <c r="D581" t="s">
        <v>83</v>
      </c>
      <c r="E581">
        <v>53281</v>
      </c>
      <c r="F581">
        <v>464</v>
      </c>
      <c r="H581">
        <v>5.5112815192269182E-2</v>
      </c>
      <c r="K581">
        <v>0</v>
      </c>
    </row>
    <row r="582" spans="1:11" x14ac:dyDescent="0.25">
      <c r="A582" t="s">
        <v>10</v>
      </c>
      <c r="B582" t="s">
        <v>611</v>
      </c>
      <c r="C582" t="s">
        <v>82</v>
      </c>
      <c r="D582" t="s">
        <v>83</v>
      </c>
      <c r="E582">
        <v>53284</v>
      </c>
      <c r="F582">
        <v>7708</v>
      </c>
      <c r="H582">
        <v>6.2829446480836437E-2</v>
      </c>
      <c r="K582">
        <v>0</v>
      </c>
    </row>
    <row r="583" spans="1:11" x14ac:dyDescent="0.25">
      <c r="A583" t="s">
        <v>10</v>
      </c>
      <c r="B583" t="s">
        <v>612</v>
      </c>
      <c r="C583" t="s">
        <v>82</v>
      </c>
      <c r="D583" t="s">
        <v>83</v>
      </c>
      <c r="E583">
        <v>53311</v>
      </c>
      <c r="F583">
        <v>6962</v>
      </c>
      <c r="H583">
        <v>0.12812027560289496</v>
      </c>
      <c r="K583">
        <v>921</v>
      </c>
    </row>
    <row r="584" spans="1:11" x14ac:dyDescent="0.25">
      <c r="A584" t="s">
        <v>10</v>
      </c>
      <c r="B584" t="s">
        <v>613</v>
      </c>
      <c r="C584" t="s">
        <v>82</v>
      </c>
      <c r="D584" t="s">
        <v>83</v>
      </c>
      <c r="E584">
        <v>53333</v>
      </c>
      <c r="F584">
        <v>844</v>
      </c>
      <c r="H584">
        <v>0.10216368023416822</v>
      </c>
      <c r="K584">
        <v>105</v>
      </c>
    </row>
    <row r="585" spans="1:11" x14ac:dyDescent="0.25">
      <c r="A585" t="s">
        <v>10</v>
      </c>
      <c r="B585" t="s">
        <v>614</v>
      </c>
      <c r="C585" t="s">
        <v>82</v>
      </c>
      <c r="D585" t="s">
        <v>83</v>
      </c>
      <c r="E585">
        <v>53344</v>
      </c>
      <c r="F585">
        <v>898</v>
      </c>
      <c r="H585">
        <v>0.11251838055092644</v>
      </c>
      <c r="K585">
        <v>214</v>
      </c>
    </row>
    <row r="586" spans="1:11" x14ac:dyDescent="0.25">
      <c r="A586" t="s">
        <v>10</v>
      </c>
      <c r="B586" t="s">
        <v>615</v>
      </c>
      <c r="C586" t="s">
        <v>82</v>
      </c>
      <c r="D586" t="s">
        <v>83</v>
      </c>
      <c r="E586">
        <v>53355</v>
      </c>
      <c r="F586">
        <v>461</v>
      </c>
      <c r="H586">
        <v>5.124368136725499E-2</v>
      </c>
      <c r="K586">
        <v>0</v>
      </c>
    </row>
    <row r="587" spans="1:11" x14ac:dyDescent="0.25">
      <c r="A587" t="s">
        <v>10</v>
      </c>
      <c r="B587" t="s">
        <v>616</v>
      </c>
      <c r="C587" t="s">
        <v>82</v>
      </c>
      <c r="D587" t="s">
        <v>83</v>
      </c>
      <c r="E587">
        <v>53366</v>
      </c>
      <c r="F587">
        <v>116</v>
      </c>
      <c r="H587">
        <v>4.4343138802219406E-2</v>
      </c>
      <c r="K587">
        <v>0</v>
      </c>
    </row>
    <row r="588" spans="1:11" x14ac:dyDescent="0.25">
      <c r="A588" t="s">
        <v>10</v>
      </c>
      <c r="B588" t="s">
        <v>617</v>
      </c>
      <c r="C588" t="s">
        <v>82</v>
      </c>
      <c r="D588" t="s">
        <v>83</v>
      </c>
      <c r="E588">
        <v>53375</v>
      </c>
      <c r="F588">
        <v>993</v>
      </c>
      <c r="H588">
        <v>0.14492793913573288</v>
      </c>
      <c r="K588">
        <v>0</v>
      </c>
    </row>
    <row r="589" spans="1:11" x14ac:dyDescent="0.25">
      <c r="A589" t="s">
        <v>10</v>
      </c>
      <c r="B589" t="s">
        <v>618</v>
      </c>
      <c r="C589" t="s">
        <v>619</v>
      </c>
      <c r="D589" t="s">
        <v>88</v>
      </c>
      <c r="E589">
        <v>72119</v>
      </c>
      <c r="F589">
        <v>3356</v>
      </c>
      <c r="H589">
        <v>5.5626457186556344E-2</v>
      </c>
      <c r="K589">
        <v>0</v>
      </c>
    </row>
    <row r="590" spans="1:11" x14ac:dyDescent="0.25">
      <c r="A590" t="s">
        <v>10</v>
      </c>
      <c r="B590" t="s">
        <v>620</v>
      </c>
      <c r="C590" t="s">
        <v>82</v>
      </c>
      <c r="D590" t="s">
        <v>83</v>
      </c>
      <c r="E590">
        <v>53377</v>
      </c>
      <c r="F590">
        <v>1100</v>
      </c>
      <c r="H590">
        <v>0.12873504867039443</v>
      </c>
      <c r="K590">
        <v>0</v>
      </c>
    </row>
    <row r="591" spans="1:11" x14ac:dyDescent="0.25">
      <c r="A591" t="s">
        <v>10</v>
      </c>
      <c r="B591" t="s">
        <v>621</v>
      </c>
      <c r="C591" t="s">
        <v>82</v>
      </c>
      <c r="D591" t="s">
        <v>83</v>
      </c>
      <c r="E591">
        <v>53388</v>
      </c>
      <c r="F591">
        <v>1692</v>
      </c>
      <c r="H591">
        <v>0.116545445791706</v>
      </c>
      <c r="K591">
        <v>0</v>
      </c>
    </row>
    <row r="592" spans="1:11" x14ac:dyDescent="0.25">
      <c r="A592" t="s">
        <v>10</v>
      </c>
      <c r="B592" t="s">
        <v>622</v>
      </c>
      <c r="C592" t="s">
        <v>82</v>
      </c>
      <c r="D592" t="s">
        <v>83</v>
      </c>
      <c r="E592">
        <v>53411</v>
      </c>
      <c r="F592">
        <v>7979</v>
      </c>
      <c r="H592">
        <v>0.23804661259788806</v>
      </c>
      <c r="K592">
        <v>0</v>
      </c>
    </row>
    <row r="593" spans="1:11" x14ac:dyDescent="0.25">
      <c r="A593" t="s">
        <v>10</v>
      </c>
      <c r="B593" t="s">
        <v>623</v>
      </c>
      <c r="C593" t="s">
        <v>82</v>
      </c>
      <c r="D593" t="s">
        <v>83</v>
      </c>
      <c r="E593">
        <v>53413</v>
      </c>
      <c r="F593">
        <v>4369</v>
      </c>
      <c r="H593">
        <v>4.2737279790566518E-2</v>
      </c>
      <c r="K593">
        <v>0</v>
      </c>
    </row>
    <row r="594" spans="1:11" x14ac:dyDescent="0.25">
      <c r="A594" t="s">
        <v>10</v>
      </c>
      <c r="B594" t="s">
        <v>624</v>
      </c>
      <c r="C594" t="s">
        <v>82</v>
      </c>
      <c r="D594" t="s">
        <v>83</v>
      </c>
      <c r="E594">
        <v>53415</v>
      </c>
      <c r="F594">
        <v>4410</v>
      </c>
      <c r="H594">
        <v>5.6844509116696473E-2</v>
      </c>
      <c r="K594">
        <v>0</v>
      </c>
    </row>
    <row r="595" spans="1:11" x14ac:dyDescent="0.25">
      <c r="A595" t="s">
        <v>10</v>
      </c>
      <c r="B595" t="s">
        <v>625</v>
      </c>
      <c r="C595" t="s">
        <v>82</v>
      </c>
      <c r="D595" t="s">
        <v>83</v>
      </c>
      <c r="E595">
        <v>53417</v>
      </c>
      <c r="F595">
        <v>2645</v>
      </c>
      <c r="H595">
        <v>0.31601937716262984</v>
      </c>
      <c r="K595">
        <v>0</v>
      </c>
    </row>
    <row r="596" spans="1:11" x14ac:dyDescent="0.25">
      <c r="A596" t="s">
        <v>10</v>
      </c>
      <c r="B596" t="s">
        <v>626</v>
      </c>
      <c r="C596" t="s">
        <v>82</v>
      </c>
      <c r="D596" t="s">
        <v>83</v>
      </c>
      <c r="E596">
        <v>53419</v>
      </c>
      <c r="F596">
        <v>6941</v>
      </c>
      <c r="H596">
        <v>0.19737284515545572</v>
      </c>
      <c r="K596">
        <v>0</v>
      </c>
    </row>
    <row r="597" spans="1:11" x14ac:dyDescent="0.25">
      <c r="A597" t="s">
        <v>10</v>
      </c>
      <c r="B597" t="s">
        <v>627</v>
      </c>
      <c r="C597" t="s">
        <v>82</v>
      </c>
      <c r="D597" t="s">
        <v>83</v>
      </c>
      <c r="E597">
        <v>53425</v>
      </c>
      <c r="F597">
        <v>9845</v>
      </c>
      <c r="H597">
        <v>5.0326895322179155E-2</v>
      </c>
      <c r="K597">
        <v>0</v>
      </c>
    </row>
    <row r="598" spans="1:11" x14ac:dyDescent="0.25">
      <c r="A598" t="s">
        <v>10</v>
      </c>
      <c r="B598" t="s">
        <v>628</v>
      </c>
      <c r="C598" t="s">
        <v>82</v>
      </c>
      <c r="D598" t="s">
        <v>83</v>
      </c>
      <c r="E598">
        <v>53427</v>
      </c>
      <c r="F598">
        <v>601</v>
      </c>
      <c r="H598">
        <v>4.2577912707782883E-2</v>
      </c>
      <c r="K598">
        <v>0</v>
      </c>
    </row>
    <row r="599" spans="1:11" x14ac:dyDescent="0.25">
      <c r="A599" t="s">
        <v>10</v>
      </c>
      <c r="B599" t="s">
        <v>629</v>
      </c>
      <c r="C599" t="s">
        <v>82</v>
      </c>
      <c r="D599" t="s">
        <v>83</v>
      </c>
      <c r="E599">
        <v>53429</v>
      </c>
      <c r="F599">
        <v>10463</v>
      </c>
      <c r="H599">
        <v>6.6053121324341602E-2</v>
      </c>
      <c r="K599">
        <v>0</v>
      </c>
    </row>
    <row r="600" spans="1:11" x14ac:dyDescent="0.25">
      <c r="A600" t="s">
        <v>10</v>
      </c>
      <c r="B600" t="s">
        <v>630</v>
      </c>
      <c r="C600" t="s">
        <v>82</v>
      </c>
      <c r="D600" t="s">
        <v>83</v>
      </c>
      <c r="E600">
        <v>53431</v>
      </c>
      <c r="F600">
        <v>1277</v>
      </c>
      <c r="H600">
        <v>0.25791386078140743</v>
      </c>
      <c r="K600">
        <v>0</v>
      </c>
    </row>
    <row r="601" spans="1:11" x14ac:dyDescent="0.25">
      <c r="A601" t="s">
        <v>10</v>
      </c>
      <c r="B601" t="s">
        <v>631</v>
      </c>
      <c r="C601" t="s">
        <v>82</v>
      </c>
      <c r="D601" t="s">
        <v>83</v>
      </c>
      <c r="E601">
        <v>53433</v>
      </c>
      <c r="F601">
        <v>930</v>
      </c>
      <c r="H601">
        <v>5.708283377011969E-2</v>
      </c>
      <c r="K601">
        <v>0</v>
      </c>
    </row>
    <row r="602" spans="1:11" x14ac:dyDescent="0.25">
      <c r="A602" t="s">
        <v>10</v>
      </c>
      <c r="B602" t="s">
        <v>632</v>
      </c>
      <c r="C602" t="s">
        <v>82</v>
      </c>
      <c r="D602" t="s">
        <v>83</v>
      </c>
      <c r="E602">
        <v>53435</v>
      </c>
      <c r="F602">
        <v>4792</v>
      </c>
      <c r="H602">
        <v>3.1068515818019504E-2</v>
      </c>
      <c r="K602">
        <v>0</v>
      </c>
    </row>
    <row r="603" spans="1:11" x14ac:dyDescent="0.25">
      <c r="A603" t="s">
        <v>10</v>
      </c>
      <c r="B603" t="s">
        <v>633</v>
      </c>
      <c r="C603" t="s">
        <v>82</v>
      </c>
      <c r="D603" t="s">
        <v>83</v>
      </c>
      <c r="E603">
        <v>53437</v>
      </c>
      <c r="F603">
        <v>8784</v>
      </c>
      <c r="H603">
        <v>0.56433066757841255</v>
      </c>
      <c r="K603">
        <v>0</v>
      </c>
    </row>
    <row r="604" spans="1:11" x14ac:dyDescent="0.25">
      <c r="A604" t="s">
        <v>10</v>
      </c>
      <c r="B604" t="s">
        <v>634</v>
      </c>
      <c r="C604" t="s">
        <v>82</v>
      </c>
      <c r="D604" t="s">
        <v>83</v>
      </c>
      <c r="E604">
        <v>53439</v>
      </c>
      <c r="F604">
        <v>3233</v>
      </c>
      <c r="H604">
        <v>0.44970768050295762</v>
      </c>
      <c r="K604">
        <v>0</v>
      </c>
    </row>
    <row r="605" spans="1:11" x14ac:dyDescent="0.25">
      <c r="A605" t="s">
        <v>10</v>
      </c>
      <c r="B605" t="s">
        <v>635</v>
      </c>
      <c r="C605" t="s">
        <v>82</v>
      </c>
      <c r="D605" t="s">
        <v>83</v>
      </c>
      <c r="E605">
        <v>53441</v>
      </c>
      <c r="F605">
        <v>1525</v>
      </c>
      <c r="H605">
        <v>4.5545315546578036E-2</v>
      </c>
      <c r="K605">
        <v>0</v>
      </c>
    </row>
    <row r="606" spans="1:11" x14ac:dyDescent="0.25">
      <c r="A606" t="s">
        <v>10</v>
      </c>
      <c r="B606" t="s">
        <v>636</v>
      </c>
      <c r="C606" t="s">
        <v>100</v>
      </c>
      <c r="D606" t="s">
        <v>96</v>
      </c>
      <c r="E606">
        <v>51277</v>
      </c>
      <c r="F606">
        <v>53</v>
      </c>
      <c r="H606">
        <v>0.41848842184274737</v>
      </c>
      <c r="K606">
        <v>0</v>
      </c>
    </row>
    <row r="607" spans="1:11" x14ac:dyDescent="0.25">
      <c r="A607" t="s">
        <v>10</v>
      </c>
      <c r="B607" t="s">
        <v>637</v>
      </c>
      <c r="C607" t="s">
        <v>82</v>
      </c>
      <c r="D607" t="s">
        <v>83</v>
      </c>
      <c r="E607">
        <v>53443</v>
      </c>
      <c r="F607">
        <v>4229</v>
      </c>
      <c r="H607">
        <v>5.7568519143194496E-2</v>
      </c>
      <c r="K607">
        <v>0</v>
      </c>
    </row>
    <row r="608" spans="1:11" x14ac:dyDescent="0.25">
      <c r="A608" t="s">
        <v>10</v>
      </c>
      <c r="B608" t="s">
        <v>638</v>
      </c>
      <c r="C608" t="s">
        <v>82</v>
      </c>
      <c r="D608" t="s">
        <v>83</v>
      </c>
      <c r="E608">
        <v>53445</v>
      </c>
      <c r="F608">
        <v>11035</v>
      </c>
      <c r="H608">
        <v>4.2985637573272339E-2</v>
      </c>
      <c r="K608">
        <v>0</v>
      </c>
    </row>
    <row r="609" spans="1:11" x14ac:dyDescent="0.25">
      <c r="A609" t="s">
        <v>10</v>
      </c>
      <c r="B609" t="s">
        <v>639</v>
      </c>
      <c r="C609" t="s">
        <v>82</v>
      </c>
      <c r="D609" t="s">
        <v>83</v>
      </c>
      <c r="E609">
        <v>53447</v>
      </c>
      <c r="F609">
        <v>383</v>
      </c>
      <c r="H609">
        <v>2.1458219124441902E-2</v>
      </c>
      <c r="K609">
        <v>0</v>
      </c>
    </row>
    <row r="610" spans="1:11" x14ac:dyDescent="0.25">
      <c r="A610" t="s">
        <v>10</v>
      </c>
      <c r="B610" t="s">
        <v>640</v>
      </c>
      <c r="C610" t="s">
        <v>82</v>
      </c>
      <c r="D610" t="s">
        <v>83</v>
      </c>
      <c r="E610">
        <v>53449</v>
      </c>
      <c r="F610">
        <v>249</v>
      </c>
      <c r="H610">
        <v>8.6135588940790209E-2</v>
      </c>
      <c r="K610">
        <v>0</v>
      </c>
    </row>
    <row r="611" spans="1:11" x14ac:dyDescent="0.25">
      <c r="A611" t="s">
        <v>10</v>
      </c>
      <c r="B611" t="s">
        <v>641</v>
      </c>
      <c r="C611" t="s">
        <v>82</v>
      </c>
      <c r="D611" t="s">
        <v>83</v>
      </c>
      <c r="E611">
        <v>53451</v>
      </c>
      <c r="F611">
        <v>3504</v>
      </c>
      <c r="H611">
        <v>3.2040534698063561E-2</v>
      </c>
      <c r="K611">
        <v>0</v>
      </c>
    </row>
    <row r="612" spans="1:11" x14ac:dyDescent="0.25">
      <c r="A612" t="s">
        <v>10</v>
      </c>
      <c r="B612" t="s">
        <v>642</v>
      </c>
      <c r="C612" t="s">
        <v>82</v>
      </c>
      <c r="D612" t="s">
        <v>83</v>
      </c>
      <c r="E612">
        <v>53453</v>
      </c>
      <c r="F612">
        <v>16638</v>
      </c>
      <c r="H612">
        <v>3.1282594177785228E-2</v>
      </c>
      <c r="K612">
        <v>0</v>
      </c>
    </row>
    <row r="613" spans="1:11" x14ac:dyDescent="0.25">
      <c r="A613" t="s">
        <v>10</v>
      </c>
      <c r="B613" t="s">
        <v>643</v>
      </c>
      <c r="C613" t="s">
        <v>82</v>
      </c>
      <c r="D613" t="s">
        <v>83</v>
      </c>
      <c r="E613">
        <v>53455</v>
      </c>
      <c r="F613">
        <v>1452</v>
      </c>
      <c r="H613">
        <v>3.7471595518212775E-2</v>
      </c>
      <c r="K613">
        <v>0</v>
      </c>
    </row>
    <row r="614" spans="1:11" x14ac:dyDescent="0.25">
      <c r="A614" t="s">
        <v>10</v>
      </c>
      <c r="B614" t="s">
        <v>644</v>
      </c>
      <c r="C614" t="s">
        <v>82</v>
      </c>
      <c r="D614" t="s">
        <v>83</v>
      </c>
      <c r="E614">
        <v>53457</v>
      </c>
      <c r="F614">
        <v>11</v>
      </c>
      <c r="H614">
        <v>0.1368259229283626</v>
      </c>
      <c r="K614">
        <v>0</v>
      </c>
    </row>
    <row r="615" spans="1:11" x14ac:dyDescent="0.25">
      <c r="A615" t="s">
        <v>10</v>
      </c>
      <c r="B615" t="s">
        <v>645</v>
      </c>
      <c r="C615" t="s">
        <v>82</v>
      </c>
      <c r="D615" t="s">
        <v>83</v>
      </c>
      <c r="E615">
        <v>53459</v>
      </c>
      <c r="F615">
        <v>9212</v>
      </c>
      <c r="H615">
        <v>3.6492367603453424E-2</v>
      </c>
      <c r="K615">
        <v>0</v>
      </c>
    </row>
    <row r="616" spans="1:11" x14ac:dyDescent="0.25">
      <c r="A616" t="s">
        <v>10</v>
      </c>
      <c r="B616" t="s">
        <v>646</v>
      </c>
      <c r="C616" t="s">
        <v>82</v>
      </c>
      <c r="D616" t="s">
        <v>83</v>
      </c>
      <c r="E616">
        <v>53461</v>
      </c>
      <c r="F616">
        <v>1064</v>
      </c>
      <c r="H616">
        <v>9.7604394055108901E-2</v>
      </c>
      <c r="K616">
        <v>0</v>
      </c>
    </row>
    <row r="617" spans="1:11" x14ac:dyDescent="0.25">
      <c r="A617" t="s">
        <v>10</v>
      </c>
      <c r="B617" t="s">
        <v>647</v>
      </c>
      <c r="C617" t="s">
        <v>82</v>
      </c>
      <c r="D617" t="s">
        <v>83</v>
      </c>
      <c r="E617">
        <v>53463</v>
      </c>
      <c r="F617">
        <v>343</v>
      </c>
      <c r="H617">
        <v>4.4093643192742227E-2</v>
      </c>
      <c r="K617">
        <v>0</v>
      </c>
    </row>
    <row r="618" spans="1:11" x14ac:dyDescent="0.25">
      <c r="A618" t="s">
        <v>10</v>
      </c>
      <c r="B618" t="s">
        <v>648</v>
      </c>
      <c r="C618" t="s">
        <v>80</v>
      </c>
      <c r="D618" t="s">
        <v>27</v>
      </c>
      <c r="E618">
        <v>53465</v>
      </c>
      <c r="F618">
        <v>611</v>
      </c>
      <c r="H618">
        <v>5.5648067154057679E-2</v>
      </c>
      <c r="K618">
        <v>0</v>
      </c>
    </row>
    <row r="619" spans="1:11" x14ac:dyDescent="0.25">
      <c r="A619" t="s">
        <v>10</v>
      </c>
      <c r="B619" t="s">
        <v>649</v>
      </c>
      <c r="C619" t="s">
        <v>82</v>
      </c>
      <c r="D619" t="s">
        <v>83</v>
      </c>
      <c r="E619">
        <v>53467</v>
      </c>
      <c r="F619">
        <v>1807</v>
      </c>
      <c r="H619">
        <v>0.37423229175355277</v>
      </c>
      <c r="K619">
        <v>393</v>
      </c>
    </row>
    <row r="620" spans="1:11" x14ac:dyDescent="0.25">
      <c r="A620" t="s">
        <v>10</v>
      </c>
      <c r="B620" t="s">
        <v>650</v>
      </c>
      <c r="C620" t="s">
        <v>82</v>
      </c>
      <c r="D620" t="s">
        <v>83</v>
      </c>
      <c r="E620">
        <v>53471</v>
      </c>
      <c r="F620">
        <v>25</v>
      </c>
      <c r="H620">
        <v>2.6311111111110952E-2</v>
      </c>
      <c r="K620">
        <v>0</v>
      </c>
    </row>
    <row r="621" spans="1:11" x14ac:dyDescent="0.25">
      <c r="A621" t="s">
        <v>10</v>
      </c>
      <c r="B621" t="s">
        <v>651</v>
      </c>
      <c r="C621" t="s">
        <v>82</v>
      </c>
      <c r="D621" t="s">
        <v>83</v>
      </c>
      <c r="E621">
        <v>53475</v>
      </c>
      <c r="F621">
        <v>244</v>
      </c>
      <c r="H621">
        <v>0.10240265474676036</v>
      </c>
      <c r="K621">
        <v>0</v>
      </c>
    </row>
    <row r="622" spans="1:11" x14ac:dyDescent="0.25">
      <c r="A622" t="s">
        <v>10</v>
      </c>
      <c r="B622" t="s">
        <v>652</v>
      </c>
      <c r="C622" t="s">
        <v>333</v>
      </c>
      <c r="D622" t="s">
        <v>83</v>
      </c>
      <c r="E622">
        <v>54111</v>
      </c>
      <c r="F622">
        <v>49637</v>
      </c>
      <c r="H622">
        <v>0.16267800885156258</v>
      </c>
      <c r="K622">
        <v>0</v>
      </c>
    </row>
    <row r="623" spans="1:11" x14ac:dyDescent="0.25">
      <c r="A623" t="s">
        <v>10</v>
      </c>
      <c r="B623" t="s">
        <v>653</v>
      </c>
      <c r="C623" t="s">
        <v>333</v>
      </c>
      <c r="D623" t="s">
        <v>83</v>
      </c>
      <c r="E623">
        <v>54119</v>
      </c>
      <c r="F623">
        <v>1013</v>
      </c>
      <c r="H623">
        <v>5.1164624101919243E-2</v>
      </c>
      <c r="K623">
        <v>0</v>
      </c>
    </row>
    <row r="624" spans="1:11" x14ac:dyDescent="0.25">
      <c r="A624" t="s">
        <v>10</v>
      </c>
      <c r="B624" t="s">
        <v>654</v>
      </c>
      <c r="C624" t="s">
        <v>333</v>
      </c>
      <c r="D624" t="s">
        <v>83</v>
      </c>
      <c r="E624">
        <v>54127</v>
      </c>
      <c r="F624">
        <v>2053</v>
      </c>
      <c r="H624">
        <v>0.1217473651854587</v>
      </c>
      <c r="K624">
        <v>0</v>
      </c>
    </row>
    <row r="625" spans="1:11" x14ac:dyDescent="0.25">
      <c r="A625" t="s">
        <v>10</v>
      </c>
      <c r="B625" t="s">
        <v>655</v>
      </c>
      <c r="C625" t="s">
        <v>424</v>
      </c>
      <c r="D625" t="s">
        <v>93</v>
      </c>
      <c r="E625">
        <v>61419</v>
      </c>
      <c r="F625">
        <v>5058</v>
      </c>
      <c r="H625">
        <v>3.6395879280841759E-2</v>
      </c>
      <c r="K625">
        <v>0</v>
      </c>
    </row>
    <row r="626" spans="1:11" x14ac:dyDescent="0.25">
      <c r="A626" t="s">
        <v>10</v>
      </c>
      <c r="B626" t="s">
        <v>656</v>
      </c>
      <c r="C626" t="s">
        <v>333</v>
      </c>
      <c r="D626" t="s">
        <v>83</v>
      </c>
      <c r="E626">
        <v>54175</v>
      </c>
      <c r="F626">
        <v>172</v>
      </c>
      <c r="H626">
        <v>3.6395879280841759E-2</v>
      </c>
      <c r="K626">
        <v>0</v>
      </c>
    </row>
    <row r="627" spans="1:11" x14ac:dyDescent="0.25">
      <c r="A627" t="s">
        <v>10</v>
      </c>
      <c r="B627" t="s">
        <v>657</v>
      </c>
      <c r="C627" t="s">
        <v>95</v>
      </c>
      <c r="D627" t="s">
        <v>96</v>
      </c>
      <c r="E627">
        <v>55114</v>
      </c>
      <c r="F627">
        <v>1846</v>
      </c>
      <c r="H627">
        <v>1.8931206647436083E-2</v>
      </c>
      <c r="K627">
        <v>81</v>
      </c>
    </row>
    <row r="628" spans="1:11" x14ac:dyDescent="0.25">
      <c r="A628" t="s">
        <v>10</v>
      </c>
      <c r="B628" t="s">
        <v>658</v>
      </c>
      <c r="C628" t="s">
        <v>95</v>
      </c>
      <c r="D628" t="s">
        <v>96</v>
      </c>
      <c r="E628">
        <v>55117</v>
      </c>
      <c r="F628">
        <v>2234</v>
      </c>
      <c r="H628">
        <v>0.13437594327854885</v>
      </c>
      <c r="K628">
        <v>0</v>
      </c>
    </row>
    <row r="629" spans="1:11" x14ac:dyDescent="0.25">
      <c r="A629" t="s">
        <v>10</v>
      </c>
      <c r="B629" t="s">
        <v>659</v>
      </c>
      <c r="C629" t="s">
        <v>95</v>
      </c>
      <c r="D629" t="s">
        <v>96</v>
      </c>
      <c r="E629">
        <v>55124</v>
      </c>
      <c r="F629">
        <v>1917</v>
      </c>
      <c r="H629">
        <v>5.5597222222222298E-2</v>
      </c>
      <c r="K629">
        <v>147</v>
      </c>
    </row>
    <row r="630" spans="1:11" x14ac:dyDescent="0.25">
      <c r="A630" t="s">
        <v>10</v>
      </c>
      <c r="B630" t="s">
        <v>660</v>
      </c>
      <c r="C630" t="s">
        <v>95</v>
      </c>
      <c r="D630" t="s">
        <v>96</v>
      </c>
      <c r="E630">
        <v>55127</v>
      </c>
      <c r="F630">
        <v>415</v>
      </c>
      <c r="H630">
        <v>0.32909873373516152</v>
      </c>
      <c r="K630">
        <v>0</v>
      </c>
    </row>
    <row r="631" spans="1:11" x14ac:dyDescent="0.25">
      <c r="A631" t="s">
        <v>10</v>
      </c>
      <c r="B631" t="s">
        <v>661</v>
      </c>
      <c r="C631" t="s">
        <v>95</v>
      </c>
      <c r="D631" t="s">
        <v>96</v>
      </c>
      <c r="E631">
        <v>55131</v>
      </c>
      <c r="F631">
        <v>665</v>
      </c>
      <c r="H631">
        <v>0</v>
      </c>
      <c r="K631">
        <v>0</v>
      </c>
    </row>
    <row r="632" spans="1:11" x14ac:dyDescent="0.25">
      <c r="A632" t="s">
        <v>10</v>
      </c>
      <c r="B632" t="s">
        <v>662</v>
      </c>
      <c r="C632" t="s">
        <v>95</v>
      </c>
      <c r="D632" t="s">
        <v>96</v>
      </c>
      <c r="E632">
        <v>55134</v>
      </c>
      <c r="F632">
        <v>2190</v>
      </c>
      <c r="H632">
        <v>0.13671779564565656</v>
      </c>
      <c r="K632">
        <v>0</v>
      </c>
    </row>
    <row r="633" spans="1:11" x14ac:dyDescent="0.25">
      <c r="A633" t="s">
        <v>10</v>
      </c>
      <c r="B633" t="s">
        <v>663</v>
      </c>
      <c r="C633" t="s">
        <v>95</v>
      </c>
      <c r="D633" t="s">
        <v>96</v>
      </c>
      <c r="E633">
        <v>55137</v>
      </c>
      <c r="F633">
        <v>910</v>
      </c>
      <c r="H633">
        <v>1.537827761129118E-2</v>
      </c>
      <c r="K633">
        <v>105</v>
      </c>
    </row>
    <row r="634" spans="1:11" x14ac:dyDescent="0.25">
      <c r="A634" t="s">
        <v>10</v>
      </c>
      <c r="B634" t="s">
        <v>664</v>
      </c>
      <c r="C634" t="s">
        <v>95</v>
      </c>
      <c r="D634" t="s">
        <v>96</v>
      </c>
      <c r="E634">
        <v>55141</v>
      </c>
      <c r="F634">
        <v>980</v>
      </c>
      <c r="H634">
        <v>0.28897648314324653</v>
      </c>
      <c r="K634">
        <v>0</v>
      </c>
    </row>
    <row r="635" spans="1:11" x14ac:dyDescent="0.25">
      <c r="A635" t="s">
        <v>10</v>
      </c>
      <c r="B635" t="s">
        <v>665</v>
      </c>
      <c r="C635" t="s">
        <v>95</v>
      </c>
      <c r="D635" t="s">
        <v>96</v>
      </c>
      <c r="E635">
        <v>55144</v>
      </c>
      <c r="F635">
        <v>840</v>
      </c>
      <c r="H635">
        <v>0.54659312567638652</v>
      </c>
      <c r="K635">
        <v>111</v>
      </c>
    </row>
    <row r="636" spans="1:11" x14ac:dyDescent="0.25">
      <c r="A636" t="s">
        <v>10</v>
      </c>
      <c r="B636" t="s">
        <v>666</v>
      </c>
      <c r="C636" t="s">
        <v>87</v>
      </c>
      <c r="D636" t="s">
        <v>88</v>
      </c>
      <c r="E636">
        <v>74133</v>
      </c>
      <c r="F636">
        <v>733</v>
      </c>
      <c r="H636">
        <v>0.54659312567638652</v>
      </c>
      <c r="K636">
        <v>0</v>
      </c>
    </row>
    <row r="637" spans="1:11" x14ac:dyDescent="0.25">
      <c r="A637" t="s">
        <v>10</v>
      </c>
      <c r="B637" t="s">
        <v>667</v>
      </c>
      <c r="C637" t="s">
        <v>95</v>
      </c>
      <c r="D637" t="s">
        <v>96</v>
      </c>
      <c r="E637">
        <v>55151</v>
      </c>
      <c r="F637">
        <v>2052</v>
      </c>
      <c r="H637">
        <v>1.2432452629793977E-2</v>
      </c>
      <c r="K637">
        <v>152</v>
      </c>
    </row>
    <row r="638" spans="1:11" x14ac:dyDescent="0.25">
      <c r="A638" t="s">
        <v>10</v>
      </c>
      <c r="B638" t="s">
        <v>668</v>
      </c>
      <c r="C638" t="s">
        <v>95</v>
      </c>
      <c r="D638" t="s">
        <v>96</v>
      </c>
      <c r="E638">
        <v>55154</v>
      </c>
      <c r="F638">
        <v>880</v>
      </c>
      <c r="H638">
        <v>0.41074100766231758</v>
      </c>
      <c r="K638">
        <v>214</v>
      </c>
    </row>
    <row r="639" spans="1:11" x14ac:dyDescent="0.25">
      <c r="A639" t="s">
        <v>10</v>
      </c>
      <c r="B639" t="s">
        <v>669</v>
      </c>
      <c r="C639" t="s">
        <v>95</v>
      </c>
      <c r="D639" t="s">
        <v>96</v>
      </c>
      <c r="E639">
        <v>55157</v>
      </c>
      <c r="F639">
        <v>2783</v>
      </c>
      <c r="H639">
        <v>2.1462594550666014E-2</v>
      </c>
      <c r="K639">
        <v>155</v>
      </c>
    </row>
    <row r="640" spans="1:11" x14ac:dyDescent="0.25">
      <c r="A640" t="s">
        <v>10</v>
      </c>
      <c r="B640" t="s">
        <v>670</v>
      </c>
      <c r="C640" t="s">
        <v>95</v>
      </c>
      <c r="D640" t="s">
        <v>96</v>
      </c>
      <c r="E640">
        <v>55164</v>
      </c>
      <c r="F640">
        <v>1585</v>
      </c>
      <c r="H640">
        <v>1.7372992412613697E-2</v>
      </c>
      <c r="K640">
        <v>98</v>
      </c>
    </row>
    <row r="641" spans="1:11" x14ac:dyDescent="0.25">
      <c r="A641" t="s">
        <v>10</v>
      </c>
      <c r="B641" t="s">
        <v>671</v>
      </c>
      <c r="C641" t="s">
        <v>95</v>
      </c>
      <c r="D641" t="s">
        <v>96</v>
      </c>
      <c r="E641">
        <v>55167</v>
      </c>
      <c r="F641">
        <v>264</v>
      </c>
      <c r="H641">
        <v>0.47164138436333158</v>
      </c>
      <c r="K641">
        <v>0</v>
      </c>
    </row>
    <row r="642" spans="1:11" x14ac:dyDescent="0.25">
      <c r="A642" t="s">
        <v>10</v>
      </c>
      <c r="B642" t="s">
        <v>672</v>
      </c>
      <c r="C642" t="s">
        <v>234</v>
      </c>
      <c r="D642" t="s">
        <v>88</v>
      </c>
      <c r="E642">
        <v>73162</v>
      </c>
      <c r="F642">
        <v>309</v>
      </c>
      <c r="H642">
        <v>0.47164138436333158</v>
      </c>
      <c r="K642">
        <v>0</v>
      </c>
    </row>
    <row r="643" spans="1:11" x14ac:dyDescent="0.25">
      <c r="A643" t="s">
        <v>10</v>
      </c>
      <c r="B643" t="s">
        <v>673</v>
      </c>
      <c r="C643" t="s">
        <v>95</v>
      </c>
      <c r="D643" t="s">
        <v>96</v>
      </c>
      <c r="E643">
        <v>55171</v>
      </c>
      <c r="F643">
        <v>1563</v>
      </c>
      <c r="H643">
        <v>0.18787874279923833</v>
      </c>
      <c r="K643">
        <v>0</v>
      </c>
    </row>
    <row r="644" spans="1:11" x14ac:dyDescent="0.25">
      <c r="A644" t="s">
        <v>10</v>
      </c>
      <c r="B644" t="s">
        <v>674</v>
      </c>
      <c r="C644" t="s">
        <v>95</v>
      </c>
      <c r="D644" t="s">
        <v>96</v>
      </c>
      <c r="E644">
        <v>55174</v>
      </c>
      <c r="F644">
        <v>1252</v>
      </c>
      <c r="H644">
        <v>0.1311422835821946</v>
      </c>
      <c r="K644">
        <v>101</v>
      </c>
    </row>
    <row r="645" spans="1:11" x14ac:dyDescent="0.25">
      <c r="A645" t="s">
        <v>10</v>
      </c>
      <c r="B645" t="s">
        <v>675</v>
      </c>
      <c r="C645" t="s">
        <v>95</v>
      </c>
      <c r="D645" t="s">
        <v>96</v>
      </c>
      <c r="E645">
        <v>55177</v>
      </c>
      <c r="F645">
        <v>508</v>
      </c>
      <c r="H645">
        <v>3.6376150558842912E-2</v>
      </c>
      <c r="K645">
        <v>126</v>
      </c>
    </row>
    <row r="646" spans="1:11" x14ac:dyDescent="0.25">
      <c r="A646" t="s">
        <v>10</v>
      </c>
      <c r="B646" t="s">
        <v>676</v>
      </c>
      <c r="C646" t="s">
        <v>95</v>
      </c>
      <c r="D646" t="s">
        <v>96</v>
      </c>
      <c r="E646">
        <v>55181</v>
      </c>
      <c r="F646">
        <v>1180</v>
      </c>
      <c r="H646">
        <v>1.0330675419532365E-2</v>
      </c>
      <c r="K646">
        <v>55</v>
      </c>
    </row>
    <row r="647" spans="1:11" x14ac:dyDescent="0.25">
      <c r="A647" t="s">
        <v>10</v>
      </c>
      <c r="B647" t="s">
        <v>677</v>
      </c>
      <c r="C647" t="s">
        <v>95</v>
      </c>
      <c r="D647" t="s">
        <v>96</v>
      </c>
      <c r="E647">
        <v>55184</v>
      </c>
      <c r="F647">
        <v>1804</v>
      </c>
      <c r="H647">
        <v>4.1486807364408129E-3</v>
      </c>
      <c r="K647">
        <v>0</v>
      </c>
    </row>
    <row r="648" spans="1:11" x14ac:dyDescent="0.25">
      <c r="A648" t="s">
        <v>10</v>
      </c>
      <c r="B648" t="s">
        <v>678</v>
      </c>
      <c r="C648" t="s">
        <v>95</v>
      </c>
      <c r="D648" t="s">
        <v>96</v>
      </c>
      <c r="E648">
        <v>55187</v>
      </c>
      <c r="F648">
        <v>646</v>
      </c>
      <c r="H648">
        <v>0.10189323663349636</v>
      </c>
      <c r="K648">
        <v>0</v>
      </c>
    </row>
    <row r="649" spans="1:11" x14ac:dyDescent="0.25">
      <c r="A649" t="s">
        <v>10</v>
      </c>
      <c r="B649" t="s">
        <v>679</v>
      </c>
      <c r="C649" t="s">
        <v>95</v>
      </c>
      <c r="D649" t="s">
        <v>96</v>
      </c>
      <c r="E649">
        <v>55191</v>
      </c>
      <c r="F649">
        <v>6</v>
      </c>
      <c r="H649">
        <v>3.5076530612244916E-2</v>
      </c>
      <c r="K649">
        <v>0</v>
      </c>
    </row>
    <row r="650" spans="1:11" x14ac:dyDescent="0.25">
      <c r="A650" t="s">
        <v>10</v>
      </c>
      <c r="B650" t="s">
        <v>680</v>
      </c>
      <c r="C650" t="s">
        <v>95</v>
      </c>
      <c r="D650" t="s">
        <v>96</v>
      </c>
      <c r="E650">
        <v>55194</v>
      </c>
      <c r="F650">
        <v>1434</v>
      </c>
      <c r="H650">
        <v>0.56095029790229101</v>
      </c>
      <c r="K650">
        <v>0</v>
      </c>
    </row>
    <row r="651" spans="1:11" x14ac:dyDescent="0.25">
      <c r="A651" t="s">
        <v>10</v>
      </c>
      <c r="B651" t="s">
        <v>681</v>
      </c>
      <c r="C651" t="s">
        <v>95</v>
      </c>
      <c r="D651" t="s">
        <v>96</v>
      </c>
      <c r="E651">
        <v>55197</v>
      </c>
      <c r="F651">
        <v>59</v>
      </c>
      <c r="H651">
        <v>1.5595365611580037E-2</v>
      </c>
      <c r="K651">
        <v>0</v>
      </c>
    </row>
    <row r="652" spans="1:11" x14ac:dyDescent="0.25">
      <c r="A652" t="s">
        <v>10</v>
      </c>
      <c r="B652" t="s">
        <v>682</v>
      </c>
      <c r="C652" t="s">
        <v>424</v>
      </c>
      <c r="D652" t="s">
        <v>93</v>
      </c>
      <c r="E652">
        <v>61111</v>
      </c>
      <c r="F652">
        <v>10749</v>
      </c>
      <c r="H652">
        <v>0.1404524416678804</v>
      </c>
      <c r="K652">
        <v>2899</v>
      </c>
    </row>
    <row r="653" spans="1:11" x14ac:dyDescent="0.25">
      <c r="A653" t="s">
        <v>10</v>
      </c>
      <c r="B653" t="s">
        <v>424</v>
      </c>
      <c r="C653" t="s">
        <v>424</v>
      </c>
      <c r="D653" t="s">
        <v>93</v>
      </c>
      <c r="E653">
        <v>61115</v>
      </c>
      <c r="F653">
        <v>15199</v>
      </c>
      <c r="H653">
        <v>0.29742251258150043</v>
      </c>
      <c r="K653">
        <v>0</v>
      </c>
    </row>
    <row r="654" spans="1:11" x14ac:dyDescent="0.25">
      <c r="A654" t="s">
        <v>10</v>
      </c>
      <c r="B654" t="s">
        <v>683</v>
      </c>
      <c r="C654" t="s">
        <v>424</v>
      </c>
      <c r="D654" t="s">
        <v>93</v>
      </c>
      <c r="E654">
        <v>61119</v>
      </c>
      <c r="F654">
        <v>90335</v>
      </c>
      <c r="H654">
        <v>0.41541448422968241</v>
      </c>
      <c r="K654">
        <v>0</v>
      </c>
    </row>
    <row r="655" spans="1:11" x14ac:dyDescent="0.25">
      <c r="A655" t="s">
        <v>10</v>
      </c>
      <c r="B655" t="s">
        <v>684</v>
      </c>
      <c r="C655" t="s">
        <v>424</v>
      </c>
      <c r="D655" t="s">
        <v>93</v>
      </c>
      <c r="E655">
        <v>61123</v>
      </c>
      <c r="F655">
        <v>1399</v>
      </c>
      <c r="H655">
        <v>0.7093509365244538</v>
      </c>
      <c r="K655">
        <v>0</v>
      </c>
    </row>
    <row r="656" spans="1:11" x14ac:dyDescent="0.25">
      <c r="A656" t="s">
        <v>10</v>
      </c>
      <c r="B656" t="s">
        <v>685</v>
      </c>
      <c r="C656" t="s">
        <v>424</v>
      </c>
      <c r="D656" t="s">
        <v>93</v>
      </c>
      <c r="E656">
        <v>61147</v>
      </c>
      <c r="F656">
        <v>12797</v>
      </c>
      <c r="H656">
        <v>0.6465138396956579</v>
      </c>
      <c r="K656">
        <v>0</v>
      </c>
    </row>
    <row r="657" spans="1:11" x14ac:dyDescent="0.25">
      <c r="A657" t="s">
        <v>10</v>
      </c>
      <c r="B657" t="s">
        <v>686</v>
      </c>
      <c r="C657" t="s">
        <v>424</v>
      </c>
      <c r="D657" t="s">
        <v>93</v>
      </c>
      <c r="E657">
        <v>61159</v>
      </c>
      <c r="F657">
        <v>14722</v>
      </c>
      <c r="H657">
        <v>0.24151511582719443</v>
      </c>
      <c r="K657">
        <v>1921</v>
      </c>
    </row>
    <row r="658" spans="1:11" x14ac:dyDescent="0.25">
      <c r="A658" t="s">
        <v>10</v>
      </c>
      <c r="B658" t="s">
        <v>687</v>
      </c>
      <c r="C658" t="s">
        <v>424</v>
      </c>
      <c r="D658" t="s">
        <v>93</v>
      </c>
      <c r="E658">
        <v>61183</v>
      </c>
      <c r="F658">
        <v>30708</v>
      </c>
      <c r="H658">
        <v>0.36273030499066783</v>
      </c>
      <c r="K658">
        <v>581</v>
      </c>
    </row>
    <row r="659" spans="1:11" x14ac:dyDescent="0.25">
      <c r="A659" t="s">
        <v>10</v>
      </c>
      <c r="B659" t="s">
        <v>688</v>
      </c>
      <c r="C659" t="s">
        <v>424</v>
      </c>
      <c r="D659" t="s">
        <v>93</v>
      </c>
      <c r="E659">
        <v>61211</v>
      </c>
      <c r="F659">
        <v>1089</v>
      </c>
      <c r="H659">
        <v>0.46219472031637676</v>
      </c>
      <c r="K659">
        <v>0</v>
      </c>
    </row>
    <row r="660" spans="1:11" x14ac:dyDescent="0.25">
      <c r="A660" t="s">
        <v>10</v>
      </c>
      <c r="B660" t="s">
        <v>689</v>
      </c>
      <c r="C660" t="s">
        <v>331</v>
      </c>
      <c r="D660" t="s">
        <v>316</v>
      </c>
      <c r="E660">
        <v>33283</v>
      </c>
      <c r="F660">
        <v>65</v>
      </c>
      <c r="H660">
        <v>0.22048442906574384</v>
      </c>
      <c r="K660">
        <v>0</v>
      </c>
    </row>
    <row r="661" spans="1:11" x14ac:dyDescent="0.25">
      <c r="A661" t="s">
        <v>10</v>
      </c>
      <c r="B661" t="s">
        <v>690</v>
      </c>
      <c r="C661" t="s">
        <v>424</v>
      </c>
      <c r="D661" t="s">
        <v>93</v>
      </c>
      <c r="E661">
        <v>61222</v>
      </c>
      <c r="F661">
        <v>1585</v>
      </c>
      <c r="H661">
        <v>0.51487484638602221</v>
      </c>
      <c r="K661">
        <v>0</v>
      </c>
    </row>
    <row r="662" spans="1:11" x14ac:dyDescent="0.25">
      <c r="A662" t="s">
        <v>10</v>
      </c>
      <c r="B662" t="s">
        <v>691</v>
      </c>
      <c r="C662" t="s">
        <v>553</v>
      </c>
      <c r="D662" t="s">
        <v>96</v>
      </c>
      <c r="E662">
        <v>52156</v>
      </c>
      <c r="F662">
        <v>1465</v>
      </c>
      <c r="H662">
        <v>0.51487484638602221</v>
      </c>
      <c r="K662">
        <v>299</v>
      </c>
    </row>
    <row r="663" spans="1:11" x14ac:dyDescent="0.25">
      <c r="A663" t="s">
        <v>10</v>
      </c>
      <c r="B663" t="s">
        <v>692</v>
      </c>
      <c r="C663" t="s">
        <v>424</v>
      </c>
      <c r="D663" t="s">
        <v>93</v>
      </c>
      <c r="E663">
        <v>61233</v>
      </c>
      <c r="F663">
        <v>2688</v>
      </c>
      <c r="H663">
        <v>0.49740517687501073</v>
      </c>
      <c r="K663">
        <v>0</v>
      </c>
    </row>
    <row r="664" spans="1:11" x14ac:dyDescent="0.25">
      <c r="A664" t="s">
        <v>10</v>
      </c>
      <c r="B664" t="s">
        <v>693</v>
      </c>
      <c r="C664" t="s">
        <v>424</v>
      </c>
      <c r="D664" t="s">
        <v>93</v>
      </c>
      <c r="E664">
        <v>61244</v>
      </c>
      <c r="F664">
        <v>10234</v>
      </c>
      <c r="H664">
        <v>0.41239943744774599</v>
      </c>
      <c r="K664">
        <v>589</v>
      </c>
    </row>
    <row r="665" spans="1:11" x14ac:dyDescent="0.25">
      <c r="A665" t="s">
        <v>10</v>
      </c>
      <c r="B665" t="s">
        <v>694</v>
      </c>
      <c r="C665" t="s">
        <v>424</v>
      </c>
      <c r="D665" t="s">
        <v>93</v>
      </c>
      <c r="E665" s="7">
        <v>61255</v>
      </c>
      <c r="F665">
        <v>3617</v>
      </c>
      <c r="H665">
        <v>0.37786350980509975</v>
      </c>
      <c r="K665">
        <v>176</v>
      </c>
    </row>
    <row r="666" spans="1:11" x14ac:dyDescent="0.25">
      <c r="A666" t="s">
        <v>10</v>
      </c>
      <c r="B666" t="s">
        <v>695</v>
      </c>
      <c r="C666" t="s">
        <v>424</v>
      </c>
      <c r="D666" t="s">
        <v>93</v>
      </c>
      <c r="E666">
        <v>61266</v>
      </c>
      <c r="F666">
        <v>1494</v>
      </c>
      <c r="H666">
        <v>0.53392833522462246</v>
      </c>
      <c r="K666">
        <v>0</v>
      </c>
    </row>
    <row r="667" spans="1:11" x14ac:dyDescent="0.25">
      <c r="A667" t="s">
        <v>10</v>
      </c>
      <c r="B667" t="s">
        <v>696</v>
      </c>
      <c r="C667" t="s">
        <v>424</v>
      </c>
      <c r="D667" t="s">
        <v>93</v>
      </c>
      <c r="E667">
        <v>61277</v>
      </c>
      <c r="F667">
        <v>2629</v>
      </c>
      <c r="H667">
        <v>0.51740971787140733</v>
      </c>
      <c r="K667">
        <v>0</v>
      </c>
    </row>
    <row r="668" spans="1:11" x14ac:dyDescent="0.25">
      <c r="A668" t="s">
        <v>10</v>
      </c>
      <c r="B668" t="s">
        <v>697</v>
      </c>
      <c r="C668" t="s">
        <v>424</v>
      </c>
      <c r="D668" t="s">
        <v>93</v>
      </c>
      <c r="E668">
        <v>61311</v>
      </c>
      <c r="F668">
        <v>17824</v>
      </c>
      <c r="H668">
        <v>8.10447970680781E-2</v>
      </c>
      <c r="K668">
        <v>568</v>
      </c>
    </row>
    <row r="669" spans="1:11" x14ac:dyDescent="0.25">
      <c r="A669" t="s">
        <v>10</v>
      </c>
      <c r="B669" t="s">
        <v>698</v>
      </c>
      <c r="C669" t="s">
        <v>424</v>
      </c>
      <c r="D669" t="s">
        <v>93</v>
      </c>
      <c r="E669">
        <v>61323</v>
      </c>
      <c r="F669">
        <v>4564</v>
      </c>
      <c r="H669">
        <v>0.37863479144886747</v>
      </c>
      <c r="K669">
        <v>872</v>
      </c>
    </row>
    <row r="670" spans="1:11" x14ac:dyDescent="0.25">
      <c r="A670" t="s">
        <v>10</v>
      </c>
      <c r="B670" t="s">
        <v>699</v>
      </c>
      <c r="C670" t="s">
        <v>424</v>
      </c>
      <c r="D670" t="s">
        <v>93</v>
      </c>
      <c r="E670">
        <v>61335</v>
      </c>
      <c r="F670">
        <v>10579</v>
      </c>
      <c r="H670">
        <v>0.3683626749837754</v>
      </c>
      <c r="K670">
        <v>120</v>
      </c>
    </row>
    <row r="671" spans="1:11" x14ac:dyDescent="0.25">
      <c r="A671" t="s">
        <v>10</v>
      </c>
      <c r="B671" t="s">
        <v>700</v>
      </c>
      <c r="C671" t="s">
        <v>424</v>
      </c>
      <c r="D671" t="s">
        <v>93</v>
      </c>
      <c r="E671">
        <v>61347</v>
      </c>
      <c r="F671">
        <v>3968</v>
      </c>
      <c r="H671">
        <v>9.506032812901144E-2</v>
      </c>
      <c r="K671">
        <v>0</v>
      </c>
    </row>
    <row r="672" spans="1:11" x14ac:dyDescent="0.25">
      <c r="A672" t="s">
        <v>10</v>
      </c>
      <c r="B672" t="s">
        <v>701</v>
      </c>
      <c r="C672" t="s">
        <v>424</v>
      </c>
      <c r="D672" t="s">
        <v>93</v>
      </c>
      <c r="E672">
        <v>61359</v>
      </c>
      <c r="F672">
        <v>642</v>
      </c>
      <c r="H672">
        <v>8.5864215880565475E-2</v>
      </c>
      <c r="K672">
        <v>0</v>
      </c>
    </row>
    <row r="673" spans="1:11" x14ac:dyDescent="0.25">
      <c r="A673" t="s">
        <v>10</v>
      </c>
      <c r="B673" t="s">
        <v>702</v>
      </c>
      <c r="C673" t="s">
        <v>424</v>
      </c>
      <c r="D673" t="s">
        <v>93</v>
      </c>
      <c r="E673">
        <v>61371</v>
      </c>
      <c r="F673">
        <v>1715</v>
      </c>
      <c r="H673">
        <v>0.11957101207830079</v>
      </c>
      <c r="K673">
        <v>0</v>
      </c>
    </row>
    <row r="674" spans="1:11" x14ac:dyDescent="0.25">
      <c r="A674" t="s">
        <v>10</v>
      </c>
      <c r="B674" t="s">
        <v>703</v>
      </c>
      <c r="C674" t="s">
        <v>424</v>
      </c>
      <c r="D674" t="s">
        <v>93</v>
      </c>
      <c r="E674">
        <v>61383</v>
      </c>
      <c r="F674">
        <v>1913</v>
      </c>
      <c r="H674">
        <v>0.24388735663050454</v>
      </c>
      <c r="K674">
        <v>0</v>
      </c>
    </row>
    <row r="675" spans="1:11" x14ac:dyDescent="0.25">
      <c r="A675" t="s">
        <v>10</v>
      </c>
      <c r="B675" t="s">
        <v>704</v>
      </c>
      <c r="C675" t="s">
        <v>424</v>
      </c>
      <c r="D675" t="s">
        <v>93</v>
      </c>
      <c r="E675">
        <v>61417</v>
      </c>
      <c r="F675">
        <v>2333</v>
      </c>
      <c r="H675">
        <v>4.2388319021684495E-2</v>
      </c>
      <c r="K675">
        <v>0</v>
      </c>
    </row>
    <row r="676" spans="1:11" x14ac:dyDescent="0.25">
      <c r="A676" t="s">
        <v>10</v>
      </c>
      <c r="B676" t="s">
        <v>705</v>
      </c>
      <c r="C676" t="s">
        <v>424</v>
      </c>
      <c r="D676" t="s">
        <v>93</v>
      </c>
      <c r="E676">
        <v>61427</v>
      </c>
      <c r="F676">
        <v>5923</v>
      </c>
      <c r="H676">
        <v>4.0002567371206665E-2</v>
      </c>
      <c r="K676">
        <v>0</v>
      </c>
    </row>
    <row r="677" spans="1:11" x14ac:dyDescent="0.25">
      <c r="A677" t="s">
        <v>10</v>
      </c>
      <c r="B677" t="s">
        <v>706</v>
      </c>
      <c r="C677" t="s">
        <v>424</v>
      </c>
      <c r="D677" t="s">
        <v>93</v>
      </c>
      <c r="E677">
        <v>61434</v>
      </c>
      <c r="F677">
        <v>6808</v>
      </c>
      <c r="H677">
        <v>4.8541781820793828E-2</v>
      </c>
      <c r="K677">
        <v>0</v>
      </c>
    </row>
    <row r="678" spans="1:11" x14ac:dyDescent="0.25">
      <c r="A678" t="s">
        <v>10</v>
      </c>
      <c r="B678" t="s">
        <v>707</v>
      </c>
      <c r="C678" t="s">
        <v>424</v>
      </c>
      <c r="D678" t="s">
        <v>93</v>
      </c>
      <c r="E678">
        <v>61436</v>
      </c>
      <c r="F678">
        <v>4353</v>
      </c>
      <c r="H678">
        <v>6.1498259974512193E-2</v>
      </c>
      <c r="K678">
        <v>0</v>
      </c>
    </row>
    <row r="679" spans="1:11" x14ac:dyDescent="0.25">
      <c r="A679" t="s">
        <v>10</v>
      </c>
      <c r="B679" t="s">
        <v>708</v>
      </c>
      <c r="C679" t="s">
        <v>424</v>
      </c>
      <c r="D679" t="s">
        <v>93</v>
      </c>
      <c r="E679">
        <v>61439</v>
      </c>
      <c r="F679">
        <v>1308</v>
      </c>
      <c r="H679">
        <v>4.8253252961603432E-2</v>
      </c>
      <c r="K679">
        <v>0</v>
      </c>
    </row>
    <row r="680" spans="1:11" x14ac:dyDescent="0.25">
      <c r="A680" t="s">
        <v>10</v>
      </c>
      <c r="B680" t="s">
        <v>709</v>
      </c>
      <c r="C680" t="s">
        <v>424</v>
      </c>
      <c r="D680" t="s">
        <v>93</v>
      </c>
      <c r="E680">
        <v>61444</v>
      </c>
      <c r="F680">
        <v>4849</v>
      </c>
      <c r="H680">
        <v>4.5081946091917735E-2</v>
      </c>
      <c r="K680">
        <v>0</v>
      </c>
    </row>
    <row r="681" spans="1:11" x14ac:dyDescent="0.25">
      <c r="A681" t="s">
        <v>10</v>
      </c>
      <c r="B681" t="s">
        <v>710</v>
      </c>
      <c r="C681" t="s">
        <v>424</v>
      </c>
      <c r="D681" t="s">
        <v>93</v>
      </c>
      <c r="E681">
        <v>61446</v>
      </c>
      <c r="F681">
        <v>551</v>
      </c>
      <c r="H681">
        <v>7.4260173748452951E-2</v>
      </c>
      <c r="K681">
        <v>0</v>
      </c>
    </row>
    <row r="682" spans="1:11" x14ac:dyDescent="0.25">
      <c r="A682" t="s">
        <v>10</v>
      </c>
      <c r="B682" t="s">
        <v>711</v>
      </c>
      <c r="C682" t="s">
        <v>424</v>
      </c>
      <c r="D682" t="s">
        <v>93</v>
      </c>
      <c r="E682">
        <v>61447</v>
      </c>
      <c r="F682">
        <v>1965</v>
      </c>
      <c r="H682">
        <v>5.940561161966984E-2</v>
      </c>
      <c r="K682">
        <v>0</v>
      </c>
    </row>
    <row r="683" spans="1:11" x14ac:dyDescent="0.25">
      <c r="A683" t="s">
        <v>10</v>
      </c>
      <c r="B683" t="s">
        <v>712</v>
      </c>
      <c r="C683" t="s">
        <v>424</v>
      </c>
      <c r="D683" t="s">
        <v>93</v>
      </c>
      <c r="E683">
        <v>61449</v>
      </c>
      <c r="F683">
        <v>17326</v>
      </c>
      <c r="H683">
        <v>8.0268757482894859E-2</v>
      </c>
      <c r="K683">
        <v>0</v>
      </c>
    </row>
    <row r="684" spans="1:11" x14ac:dyDescent="0.25">
      <c r="A684" t="s">
        <v>10</v>
      </c>
      <c r="B684" t="s">
        <v>713</v>
      </c>
      <c r="C684" t="s">
        <v>424</v>
      </c>
      <c r="D684" t="s">
        <v>93</v>
      </c>
      <c r="E684">
        <v>61451</v>
      </c>
      <c r="F684">
        <v>1610</v>
      </c>
      <c r="H684">
        <v>3.2312390361962429E-2</v>
      </c>
      <c r="K684">
        <v>0</v>
      </c>
    </row>
    <row r="685" spans="1:11" x14ac:dyDescent="0.25">
      <c r="A685" t="s">
        <v>10</v>
      </c>
      <c r="B685" t="s">
        <v>714</v>
      </c>
      <c r="C685" t="s">
        <v>424</v>
      </c>
      <c r="D685" t="s">
        <v>93</v>
      </c>
      <c r="E685">
        <v>61453</v>
      </c>
      <c r="F685">
        <v>11045</v>
      </c>
      <c r="H685">
        <v>0.42734182965835876</v>
      </c>
      <c r="K685">
        <v>196</v>
      </c>
    </row>
    <row r="686" spans="1:11" x14ac:dyDescent="0.25">
      <c r="A686" t="s">
        <v>10</v>
      </c>
      <c r="B686" t="s">
        <v>715</v>
      </c>
      <c r="C686" t="s">
        <v>424</v>
      </c>
      <c r="D686" t="s">
        <v>93</v>
      </c>
      <c r="E686">
        <v>61454</v>
      </c>
      <c r="F686">
        <v>2152</v>
      </c>
      <c r="H686">
        <v>5.5459860843351638E-2</v>
      </c>
      <c r="K686">
        <v>0</v>
      </c>
    </row>
    <row r="687" spans="1:11" x14ac:dyDescent="0.25">
      <c r="A687" t="s">
        <v>10</v>
      </c>
      <c r="B687" t="s">
        <v>716</v>
      </c>
      <c r="C687" t="s">
        <v>424</v>
      </c>
      <c r="D687" t="s">
        <v>93</v>
      </c>
      <c r="E687">
        <v>61459</v>
      </c>
      <c r="F687">
        <v>2896</v>
      </c>
      <c r="H687">
        <v>5.3797191095772856E-2</v>
      </c>
      <c r="K687">
        <v>0</v>
      </c>
    </row>
    <row r="688" spans="1:11" x14ac:dyDescent="0.25">
      <c r="A688" t="s">
        <v>10</v>
      </c>
      <c r="B688" t="s">
        <v>717</v>
      </c>
      <c r="C688" t="s">
        <v>424</v>
      </c>
      <c r="D688" t="s">
        <v>93</v>
      </c>
      <c r="E688">
        <v>61461</v>
      </c>
      <c r="F688">
        <v>5549</v>
      </c>
      <c r="H688">
        <v>4.5148457737867131E-2</v>
      </c>
      <c r="K688">
        <v>0</v>
      </c>
    </row>
    <row r="689" spans="1:11" x14ac:dyDescent="0.25">
      <c r="A689" t="s">
        <v>10</v>
      </c>
      <c r="B689" t="s">
        <v>718</v>
      </c>
      <c r="C689" t="s">
        <v>424</v>
      </c>
      <c r="D689" t="s">
        <v>93</v>
      </c>
      <c r="E689">
        <v>61463</v>
      </c>
      <c r="F689">
        <v>3513</v>
      </c>
      <c r="H689">
        <v>5.4646428525629176E-2</v>
      </c>
      <c r="K689">
        <v>705</v>
      </c>
    </row>
    <row r="690" spans="1:11" x14ac:dyDescent="0.25">
      <c r="A690" t="s">
        <v>10</v>
      </c>
      <c r="B690" t="s">
        <v>719</v>
      </c>
      <c r="C690" t="s">
        <v>424</v>
      </c>
      <c r="D690" t="s">
        <v>93</v>
      </c>
      <c r="E690">
        <v>61464</v>
      </c>
      <c r="F690">
        <v>1953</v>
      </c>
      <c r="H690">
        <v>0.48146959641395026</v>
      </c>
      <c r="K690">
        <v>151</v>
      </c>
    </row>
    <row r="691" spans="1:11" x14ac:dyDescent="0.25">
      <c r="A691" t="s">
        <v>10</v>
      </c>
      <c r="B691" t="s">
        <v>720</v>
      </c>
      <c r="C691" t="s">
        <v>424</v>
      </c>
      <c r="D691" t="s">
        <v>93</v>
      </c>
      <c r="E691">
        <v>61466</v>
      </c>
      <c r="F691">
        <v>1481</v>
      </c>
      <c r="H691">
        <v>0.53537093477715236</v>
      </c>
      <c r="K691">
        <v>0</v>
      </c>
    </row>
    <row r="692" spans="1:11" x14ac:dyDescent="0.25">
      <c r="A692" t="s">
        <v>10</v>
      </c>
      <c r="B692" t="s">
        <v>721</v>
      </c>
      <c r="C692" t="s">
        <v>424</v>
      </c>
      <c r="D692" t="s">
        <v>93</v>
      </c>
      <c r="E692">
        <v>61471</v>
      </c>
      <c r="F692">
        <v>701</v>
      </c>
      <c r="H692">
        <v>0.23856913238261335</v>
      </c>
      <c r="K692">
        <v>0</v>
      </c>
    </row>
    <row r="693" spans="1:11" x14ac:dyDescent="0.25">
      <c r="A693" t="s">
        <v>10</v>
      </c>
      <c r="B693" t="s">
        <v>722</v>
      </c>
      <c r="C693" t="s">
        <v>424</v>
      </c>
      <c r="D693" t="s">
        <v>93</v>
      </c>
      <c r="E693">
        <v>61474</v>
      </c>
      <c r="F693">
        <v>132</v>
      </c>
      <c r="H693">
        <v>0.23706711658897883</v>
      </c>
      <c r="K693">
        <v>0</v>
      </c>
    </row>
    <row r="694" spans="1:11" x14ac:dyDescent="0.25">
      <c r="A694" t="s">
        <v>10</v>
      </c>
      <c r="B694" t="s">
        <v>723</v>
      </c>
      <c r="C694" t="s">
        <v>424</v>
      </c>
      <c r="D694" t="s">
        <v>93</v>
      </c>
      <c r="E694">
        <v>61476</v>
      </c>
      <c r="F694">
        <v>792</v>
      </c>
      <c r="H694">
        <v>0.28249560445415278</v>
      </c>
      <c r="K694">
        <v>137</v>
      </c>
    </row>
    <row r="695" spans="1:11" x14ac:dyDescent="0.25">
      <c r="A695" t="s">
        <v>10</v>
      </c>
      <c r="B695" t="s">
        <v>724</v>
      </c>
      <c r="C695" t="s">
        <v>424</v>
      </c>
      <c r="D695" t="s">
        <v>93</v>
      </c>
      <c r="E695">
        <v>61477</v>
      </c>
      <c r="F695">
        <v>1013</v>
      </c>
      <c r="H695">
        <v>0.27769053596318638</v>
      </c>
      <c r="K695">
        <v>0</v>
      </c>
    </row>
    <row r="696" spans="1:11" x14ac:dyDescent="0.25">
      <c r="A696" t="s">
        <v>10</v>
      </c>
      <c r="B696" t="s">
        <v>725</v>
      </c>
      <c r="C696" t="s">
        <v>424</v>
      </c>
      <c r="D696" t="s">
        <v>93</v>
      </c>
      <c r="E696">
        <v>61479</v>
      </c>
      <c r="F696">
        <v>763</v>
      </c>
      <c r="H696">
        <v>7.7423966839712977E-2</v>
      </c>
      <c r="K696">
        <v>0</v>
      </c>
    </row>
    <row r="697" spans="1:11" x14ac:dyDescent="0.25">
      <c r="A697" t="s">
        <v>10</v>
      </c>
      <c r="B697" t="s">
        <v>726</v>
      </c>
      <c r="C697" t="s">
        <v>424</v>
      </c>
      <c r="D697" t="s">
        <v>93</v>
      </c>
      <c r="E697">
        <v>61481</v>
      </c>
      <c r="F697">
        <v>1934</v>
      </c>
      <c r="H697">
        <v>0.3575625940357241</v>
      </c>
      <c r="K697">
        <v>0</v>
      </c>
    </row>
    <row r="698" spans="1:11" x14ac:dyDescent="0.25">
      <c r="A698" t="s">
        <v>10</v>
      </c>
      <c r="B698" t="s">
        <v>727</v>
      </c>
      <c r="C698" t="s">
        <v>424</v>
      </c>
      <c r="D698" t="s">
        <v>93</v>
      </c>
      <c r="E698">
        <v>61488</v>
      </c>
      <c r="F698">
        <v>525</v>
      </c>
      <c r="H698">
        <v>0.3678835538752363</v>
      </c>
      <c r="K698">
        <v>0</v>
      </c>
    </row>
    <row r="699" spans="1:11" x14ac:dyDescent="0.25">
      <c r="A699" t="s">
        <v>10</v>
      </c>
      <c r="B699" t="s">
        <v>728</v>
      </c>
      <c r="C699" t="s">
        <v>424</v>
      </c>
      <c r="D699" t="s">
        <v>93</v>
      </c>
      <c r="E699">
        <v>61489</v>
      </c>
      <c r="F699">
        <v>6337</v>
      </c>
      <c r="H699">
        <v>6.1652413770910797E-2</v>
      </c>
      <c r="K699">
        <v>330</v>
      </c>
    </row>
    <row r="700" spans="1:11" x14ac:dyDescent="0.25">
      <c r="A700" t="s">
        <v>10</v>
      </c>
      <c r="B700" t="s">
        <v>729</v>
      </c>
      <c r="C700" t="s">
        <v>424</v>
      </c>
      <c r="D700" t="s">
        <v>93</v>
      </c>
      <c r="E700">
        <v>61491</v>
      </c>
      <c r="F700">
        <v>220</v>
      </c>
      <c r="H700">
        <v>8.3086734693877506E-2</v>
      </c>
      <c r="K700">
        <v>0</v>
      </c>
    </row>
    <row r="701" spans="1:11" x14ac:dyDescent="0.25">
      <c r="A701" t="s">
        <v>10</v>
      </c>
      <c r="B701" t="s">
        <v>730</v>
      </c>
      <c r="C701" t="s">
        <v>424</v>
      </c>
      <c r="D701" t="s">
        <v>93</v>
      </c>
      <c r="E701">
        <v>61493</v>
      </c>
      <c r="F701">
        <v>3173</v>
      </c>
      <c r="H701">
        <v>0.11501789308134458</v>
      </c>
      <c r="K701">
        <v>177</v>
      </c>
    </row>
    <row r="702" spans="1:11" x14ac:dyDescent="0.25">
      <c r="A702" t="s">
        <v>10</v>
      </c>
      <c r="B702" t="s">
        <v>731</v>
      </c>
      <c r="C702" t="s">
        <v>424</v>
      </c>
      <c r="D702" t="s">
        <v>93</v>
      </c>
      <c r="E702">
        <v>61494</v>
      </c>
      <c r="F702">
        <v>138</v>
      </c>
      <c r="H702">
        <v>0.22173918877215582</v>
      </c>
      <c r="K702">
        <v>0</v>
      </c>
    </row>
    <row r="703" spans="1:11" x14ac:dyDescent="0.25">
      <c r="A703" t="s">
        <v>10</v>
      </c>
      <c r="B703" t="s">
        <v>302</v>
      </c>
      <c r="C703" t="s">
        <v>302</v>
      </c>
      <c r="D703" t="s">
        <v>93</v>
      </c>
      <c r="E703">
        <v>62111</v>
      </c>
      <c r="F703">
        <v>66420</v>
      </c>
      <c r="H703">
        <v>0.66690760683474881</v>
      </c>
      <c r="K703">
        <v>3224</v>
      </c>
    </row>
    <row r="704" spans="1:11" x14ac:dyDescent="0.25">
      <c r="A704" t="s">
        <v>10</v>
      </c>
      <c r="B704" t="s">
        <v>732</v>
      </c>
      <c r="C704" t="s">
        <v>302</v>
      </c>
      <c r="D704" t="s">
        <v>93</v>
      </c>
      <c r="E704">
        <v>62128</v>
      </c>
      <c r="F704">
        <v>35430</v>
      </c>
      <c r="H704">
        <v>0.42881208347915789</v>
      </c>
      <c r="K704">
        <v>0</v>
      </c>
    </row>
    <row r="705" spans="1:11" x14ac:dyDescent="0.25">
      <c r="A705" t="s">
        <v>10</v>
      </c>
      <c r="B705" t="s">
        <v>733</v>
      </c>
      <c r="C705" t="s">
        <v>302</v>
      </c>
      <c r="D705" t="s">
        <v>93</v>
      </c>
      <c r="E705">
        <v>62162</v>
      </c>
      <c r="F705">
        <v>3232</v>
      </c>
      <c r="H705">
        <v>2.4339702108782002E-2</v>
      </c>
      <c r="K705">
        <v>0</v>
      </c>
    </row>
    <row r="706" spans="1:11" x14ac:dyDescent="0.25">
      <c r="A706" t="s">
        <v>10</v>
      </c>
      <c r="B706" t="s">
        <v>734</v>
      </c>
      <c r="C706" t="s">
        <v>302</v>
      </c>
      <c r="D706" t="s">
        <v>93</v>
      </c>
      <c r="E706">
        <v>62179</v>
      </c>
      <c r="F706">
        <v>4541</v>
      </c>
      <c r="H706">
        <v>2.3333053962476424E-2</v>
      </c>
      <c r="K706">
        <v>0</v>
      </c>
    </row>
    <row r="707" spans="1:11" x14ac:dyDescent="0.25">
      <c r="A707" t="s">
        <v>10</v>
      </c>
      <c r="B707" t="s">
        <v>735</v>
      </c>
      <c r="C707" t="s">
        <v>302</v>
      </c>
      <c r="D707" t="s">
        <v>93</v>
      </c>
      <c r="E707">
        <v>62211</v>
      </c>
      <c r="F707">
        <v>7025</v>
      </c>
      <c r="H707">
        <v>6.3543218240383559E-2</v>
      </c>
      <c r="K707">
        <v>0</v>
      </c>
    </row>
    <row r="708" spans="1:11" x14ac:dyDescent="0.25">
      <c r="A708" t="s">
        <v>10</v>
      </c>
      <c r="B708" t="s">
        <v>736</v>
      </c>
      <c r="C708" t="s">
        <v>302</v>
      </c>
      <c r="D708" t="s">
        <v>93</v>
      </c>
      <c r="E708">
        <v>62212</v>
      </c>
      <c r="F708">
        <v>1423</v>
      </c>
      <c r="H708">
        <v>3.2980175360366015E-2</v>
      </c>
      <c r="K708">
        <v>0</v>
      </c>
    </row>
    <row r="709" spans="1:11" x14ac:dyDescent="0.25">
      <c r="A709" t="s">
        <v>10</v>
      </c>
      <c r="B709" t="s">
        <v>737</v>
      </c>
      <c r="C709" t="s">
        <v>302</v>
      </c>
      <c r="D709" t="s">
        <v>93</v>
      </c>
      <c r="E709">
        <v>62214</v>
      </c>
      <c r="F709">
        <v>2087</v>
      </c>
      <c r="H709">
        <v>1.4577472452930396E-2</v>
      </c>
      <c r="K709">
        <v>0</v>
      </c>
    </row>
    <row r="710" spans="1:11" x14ac:dyDescent="0.25">
      <c r="A710" t="s">
        <v>10</v>
      </c>
      <c r="B710" t="s">
        <v>738</v>
      </c>
      <c r="C710" t="s">
        <v>302</v>
      </c>
      <c r="D710" t="s">
        <v>93</v>
      </c>
      <c r="E710">
        <v>62215</v>
      </c>
      <c r="F710">
        <v>1627</v>
      </c>
      <c r="H710">
        <v>5.8246287045941147E-2</v>
      </c>
      <c r="K710">
        <v>0</v>
      </c>
    </row>
    <row r="711" spans="1:11" x14ac:dyDescent="0.25">
      <c r="A711" t="s">
        <v>10</v>
      </c>
      <c r="B711" t="s">
        <v>739</v>
      </c>
      <c r="C711" t="s">
        <v>302</v>
      </c>
      <c r="D711" t="s">
        <v>93</v>
      </c>
      <c r="E711">
        <v>62217</v>
      </c>
      <c r="F711">
        <v>3519</v>
      </c>
      <c r="H711">
        <v>6.0593435330104639E-2</v>
      </c>
      <c r="K711">
        <v>0</v>
      </c>
    </row>
    <row r="712" spans="1:11" x14ac:dyDescent="0.25">
      <c r="A712" t="s">
        <v>10</v>
      </c>
      <c r="B712" t="s">
        <v>740</v>
      </c>
      <c r="C712" t="s">
        <v>302</v>
      </c>
      <c r="D712" t="s">
        <v>93</v>
      </c>
      <c r="E712">
        <v>62218</v>
      </c>
      <c r="F712">
        <v>1475</v>
      </c>
      <c r="H712">
        <v>2.7765742147436878E-2</v>
      </c>
      <c r="K712">
        <v>0</v>
      </c>
    </row>
    <row r="713" spans="1:11" x14ac:dyDescent="0.25">
      <c r="A713" t="s">
        <v>10</v>
      </c>
      <c r="B713" t="s">
        <v>741</v>
      </c>
      <c r="C713" t="s">
        <v>302</v>
      </c>
      <c r="D713" t="s">
        <v>93</v>
      </c>
      <c r="E713">
        <v>62221</v>
      </c>
      <c r="F713">
        <v>1035</v>
      </c>
      <c r="H713">
        <v>6.4803618550696829E-2</v>
      </c>
      <c r="K713">
        <v>0</v>
      </c>
    </row>
    <row r="714" spans="1:11" x14ac:dyDescent="0.25">
      <c r="A714" t="s">
        <v>10</v>
      </c>
      <c r="B714" t="s">
        <v>742</v>
      </c>
      <c r="C714" t="s">
        <v>302</v>
      </c>
      <c r="D714" t="s">
        <v>93</v>
      </c>
      <c r="E714">
        <v>62223</v>
      </c>
      <c r="F714">
        <v>1166</v>
      </c>
      <c r="H714">
        <v>2.2872381846401502E-2</v>
      </c>
      <c r="K714">
        <v>0</v>
      </c>
    </row>
    <row r="715" spans="1:11" x14ac:dyDescent="0.25">
      <c r="A715" t="s">
        <v>10</v>
      </c>
      <c r="B715" t="s">
        <v>743</v>
      </c>
      <c r="C715" t="s">
        <v>302</v>
      </c>
      <c r="D715" t="s">
        <v>93</v>
      </c>
      <c r="E715">
        <v>62224</v>
      </c>
      <c r="F715">
        <v>1545</v>
      </c>
      <c r="H715">
        <v>3.7681663046606584E-2</v>
      </c>
      <c r="K715">
        <v>0</v>
      </c>
    </row>
    <row r="716" spans="1:11" x14ac:dyDescent="0.25">
      <c r="A716" t="s">
        <v>10</v>
      </c>
      <c r="B716" t="s">
        <v>744</v>
      </c>
      <c r="C716" t="s">
        <v>302</v>
      </c>
      <c r="D716" t="s">
        <v>93</v>
      </c>
      <c r="E716">
        <v>62226</v>
      </c>
      <c r="F716">
        <v>924</v>
      </c>
      <c r="H716">
        <v>2.0425832782942965E-2</v>
      </c>
      <c r="K716">
        <v>0</v>
      </c>
    </row>
    <row r="717" spans="1:11" x14ac:dyDescent="0.25">
      <c r="A717" t="s">
        <v>10</v>
      </c>
      <c r="B717" t="s">
        <v>745</v>
      </c>
      <c r="C717" t="s">
        <v>302</v>
      </c>
      <c r="D717" t="s">
        <v>93</v>
      </c>
      <c r="E717">
        <v>62227</v>
      </c>
      <c r="F717">
        <v>1652</v>
      </c>
      <c r="H717">
        <v>3.2911714775970102E-2</v>
      </c>
      <c r="K717">
        <v>0</v>
      </c>
    </row>
    <row r="718" spans="1:11" x14ac:dyDescent="0.25">
      <c r="A718" t="s">
        <v>10</v>
      </c>
      <c r="B718" t="s">
        <v>746</v>
      </c>
      <c r="C718" t="s">
        <v>302</v>
      </c>
      <c r="D718" t="s">
        <v>93</v>
      </c>
      <c r="E718">
        <v>62229</v>
      </c>
      <c r="F718">
        <v>5587</v>
      </c>
      <c r="H718">
        <v>0.22452129256285391</v>
      </c>
      <c r="K718">
        <v>0</v>
      </c>
    </row>
    <row r="719" spans="1:11" x14ac:dyDescent="0.25">
      <c r="A719" t="s">
        <v>10</v>
      </c>
      <c r="B719" t="s">
        <v>747</v>
      </c>
      <c r="C719" t="s">
        <v>302</v>
      </c>
      <c r="D719" t="s">
        <v>93</v>
      </c>
      <c r="E719">
        <v>62231</v>
      </c>
      <c r="F719">
        <v>8485</v>
      </c>
      <c r="H719">
        <v>2.4703216189241206E-2</v>
      </c>
      <c r="K719">
        <v>0</v>
      </c>
    </row>
    <row r="720" spans="1:11" x14ac:dyDescent="0.25">
      <c r="A720" t="s">
        <v>10</v>
      </c>
      <c r="B720" t="s">
        <v>748</v>
      </c>
      <c r="C720" t="s">
        <v>302</v>
      </c>
      <c r="D720" t="s">
        <v>93</v>
      </c>
      <c r="E720">
        <v>62233</v>
      </c>
      <c r="F720">
        <v>163</v>
      </c>
      <c r="H720">
        <v>0.55449913493436598</v>
      </c>
      <c r="K720">
        <v>0</v>
      </c>
    </row>
    <row r="721" spans="1:11" x14ac:dyDescent="0.25">
      <c r="A721" t="s">
        <v>10</v>
      </c>
      <c r="B721" t="s">
        <v>749</v>
      </c>
      <c r="C721" t="s">
        <v>302</v>
      </c>
      <c r="D721" t="s">
        <v>93</v>
      </c>
      <c r="E721">
        <v>62234</v>
      </c>
      <c r="F721">
        <v>2348</v>
      </c>
      <c r="H721">
        <v>3.351692289447028E-2</v>
      </c>
      <c r="K721">
        <v>0</v>
      </c>
    </row>
    <row r="722" spans="1:11" x14ac:dyDescent="0.25">
      <c r="A722" t="s">
        <v>10</v>
      </c>
      <c r="B722" t="s">
        <v>750</v>
      </c>
      <c r="C722" t="s">
        <v>302</v>
      </c>
      <c r="D722" t="s">
        <v>93</v>
      </c>
      <c r="E722">
        <v>62236</v>
      </c>
      <c r="F722">
        <v>698</v>
      </c>
      <c r="H722">
        <v>6.6346557860479605E-2</v>
      </c>
      <c r="K722">
        <v>0</v>
      </c>
    </row>
    <row r="723" spans="1:11" x14ac:dyDescent="0.25">
      <c r="A723" t="s">
        <v>10</v>
      </c>
      <c r="B723" t="s">
        <v>751</v>
      </c>
      <c r="C723" t="s">
        <v>302</v>
      </c>
      <c r="D723" t="s">
        <v>93</v>
      </c>
      <c r="E723">
        <v>62237</v>
      </c>
      <c r="F723">
        <v>889</v>
      </c>
      <c r="H723">
        <v>6.9017557780422734E-2</v>
      </c>
      <c r="K723">
        <v>0</v>
      </c>
    </row>
    <row r="724" spans="1:11" x14ac:dyDescent="0.25">
      <c r="A724" t="s">
        <v>10</v>
      </c>
      <c r="B724" t="s">
        <v>752</v>
      </c>
      <c r="C724" t="s">
        <v>302</v>
      </c>
      <c r="D724" t="s">
        <v>93</v>
      </c>
      <c r="E724">
        <v>62239</v>
      </c>
      <c r="F724">
        <v>664</v>
      </c>
      <c r="H724">
        <v>0.42397552117589854</v>
      </c>
      <c r="K724">
        <v>0</v>
      </c>
    </row>
    <row r="725" spans="1:11" x14ac:dyDescent="0.25">
      <c r="A725" t="s">
        <v>10</v>
      </c>
      <c r="B725" t="s">
        <v>753</v>
      </c>
      <c r="C725" t="s">
        <v>302</v>
      </c>
      <c r="D725" t="s">
        <v>93</v>
      </c>
      <c r="E725">
        <v>62241</v>
      </c>
      <c r="F725">
        <v>3746</v>
      </c>
      <c r="H725">
        <v>1.4354633406751915E-2</v>
      </c>
      <c r="K725">
        <v>0</v>
      </c>
    </row>
    <row r="726" spans="1:11" x14ac:dyDescent="0.25">
      <c r="A726" t="s">
        <v>10</v>
      </c>
      <c r="B726" t="s">
        <v>754</v>
      </c>
      <c r="C726" t="s">
        <v>302</v>
      </c>
      <c r="D726" t="s">
        <v>93</v>
      </c>
      <c r="E726">
        <v>62244</v>
      </c>
      <c r="F726">
        <v>563</v>
      </c>
      <c r="H726">
        <v>4.5269120796491147E-2</v>
      </c>
      <c r="K726">
        <v>0</v>
      </c>
    </row>
    <row r="727" spans="1:11" x14ac:dyDescent="0.25">
      <c r="A727" t="s">
        <v>10</v>
      </c>
      <c r="B727" t="s">
        <v>755</v>
      </c>
      <c r="C727" t="s">
        <v>302</v>
      </c>
      <c r="D727" t="s">
        <v>93</v>
      </c>
      <c r="E727">
        <v>62246</v>
      </c>
      <c r="F727">
        <v>6460</v>
      </c>
      <c r="H727">
        <v>5.4438640767969448E-2</v>
      </c>
      <c r="K727">
        <v>0</v>
      </c>
    </row>
    <row r="728" spans="1:11" x14ac:dyDescent="0.25">
      <c r="A728" t="s">
        <v>10</v>
      </c>
      <c r="B728" t="s">
        <v>756</v>
      </c>
      <c r="C728" t="s">
        <v>302</v>
      </c>
      <c r="D728" t="s">
        <v>93</v>
      </c>
      <c r="E728">
        <v>62247</v>
      </c>
      <c r="F728">
        <v>2696</v>
      </c>
      <c r="H728">
        <v>3.2324486366182792E-2</v>
      </c>
      <c r="K728">
        <v>0</v>
      </c>
    </row>
    <row r="729" spans="1:11" x14ac:dyDescent="0.25">
      <c r="A729" t="s">
        <v>10</v>
      </c>
      <c r="B729" t="s">
        <v>757</v>
      </c>
      <c r="C729" t="s">
        <v>302</v>
      </c>
      <c r="D729" t="s">
        <v>93</v>
      </c>
      <c r="E729">
        <v>62251</v>
      </c>
      <c r="F729">
        <v>1955</v>
      </c>
      <c r="H729">
        <v>6.7029874963760672E-2</v>
      </c>
      <c r="K729">
        <v>0</v>
      </c>
    </row>
    <row r="730" spans="1:11" x14ac:dyDescent="0.25">
      <c r="A730" t="s">
        <v>10</v>
      </c>
      <c r="B730" t="s">
        <v>758</v>
      </c>
      <c r="C730" t="s">
        <v>302</v>
      </c>
      <c r="D730" t="s">
        <v>93</v>
      </c>
      <c r="E730">
        <v>62253</v>
      </c>
      <c r="F730">
        <v>4204</v>
      </c>
      <c r="H730">
        <v>4.0092636836628781E-2</v>
      </c>
      <c r="K730">
        <v>0</v>
      </c>
    </row>
    <row r="731" spans="1:11" x14ac:dyDescent="0.25">
      <c r="A731" t="s">
        <v>10</v>
      </c>
      <c r="B731" t="s">
        <v>759</v>
      </c>
      <c r="C731" t="s">
        <v>302</v>
      </c>
      <c r="D731" t="s">
        <v>93</v>
      </c>
      <c r="E731">
        <v>62254</v>
      </c>
      <c r="F731">
        <v>5432</v>
      </c>
      <c r="H731">
        <v>0.33561529653578981</v>
      </c>
      <c r="K731">
        <v>0</v>
      </c>
    </row>
    <row r="732" spans="1:11" x14ac:dyDescent="0.25">
      <c r="A732" t="s">
        <v>10</v>
      </c>
      <c r="B732" t="s">
        <v>760</v>
      </c>
      <c r="C732" t="s">
        <v>302</v>
      </c>
      <c r="D732" t="s">
        <v>93</v>
      </c>
      <c r="E732">
        <v>62256</v>
      </c>
      <c r="F732">
        <v>605</v>
      </c>
      <c r="H732">
        <v>5.6418308089236202E-2</v>
      </c>
      <c r="K732">
        <v>0</v>
      </c>
    </row>
    <row r="733" spans="1:11" x14ac:dyDescent="0.25">
      <c r="A733" t="s">
        <v>10</v>
      </c>
      <c r="B733" t="s">
        <v>761</v>
      </c>
      <c r="C733" t="s">
        <v>302</v>
      </c>
      <c r="D733" t="s">
        <v>93</v>
      </c>
      <c r="E733">
        <v>62259</v>
      </c>
      <c r="F733">
        <v>1833</v>
      </c>
      <c r="H733">
        <v>4.0519907268816047E-2</v>
      </c>
      <c r="K733">
        <v>0</v>
      </c>
    </row>
    <row r="734" spans="1:11" x14ac:dyDescent="0.25">
      <c r="A734" t="s">
        <v>10</v>
      </c>
      <c r="B734" t="s">
        <v>762</v>
      </c>
      <c r="C734" t="s">
        <v>302</v>
      </c>
      <c r="D734" t="s">
        <v>93</v>
      </c>
      <c r="E734">
        <v>62261</v>
      </c>
      <c r="F734">
        <v>2597</v>
      </c>
      <c r="H734">
        <v>2.7342478189612773E-2</v>
      </c>
      <c r="K734">
        <v>0</v>
      </c>
    </row>
    <row r="735" spans="1:11" x14ac:dyDescent="0.25">
      <c r="A735" t="s">
        <v>10</v>
      </c>
      <c r="B735" t="s">
        <v>763</v>
      </c>
      <c r="C735" t="s">
        <v>302</v>
      </c>
      <c r="D735" t="s">
        <v>93</v>
      </c>
      <c r="E735">
        <v>62263</v>
      </c>
      <c r="F735">
        <v>3644</v>
      </c>
      <c r="H735">
        <v>2.8711823096090661E-2</v>
      </c>
      <c r="K735">
        <v>0</v>
      </c>
    </row>
    <row r="736" spans="1:11" x14ac:dyDescent="0.25">
      <c r="A736" t="s">
        <v>10</v>
      </c>
      <c r="B736" t="s">
        <v>764</v>
      </c>
      <c r="C736" t="s">
        <v>302</v>
      </c>
      <c r="D736" t="s">
        <v>93</v>
      </c>
      <c r="E736">
        <v>62264</v>
      </c>
      <c r="F736">
        <v>1594</v>
      </c>
      <c r="H736">
        <v>4.3288797660595457E-2</v>
      </c>
      <c r="K736">
        <v>0</v>
      </c>
    </row>
    <row r="737" spans="1:11" x14ac:dyDescent="0.25">
      <c r="A737" t="s">
        <v>10</v>
      </c>
      <c r="B737" t="s">
        <v>765</v>
      </c>
      <c r="C737" t="s">
        <v>302</v>
      </c>
      <c r="D737" t="s">
        <v>93</v>
      </c>
      <c r="E737" s="6">
        <v>62266</v>
      </c>
      <c r="F737">
        <v>3958</v>
      </c>
      <c r="H737">
        <v>3.602247286536131E-2</v>
      </c>
      <c r="K737">
        <v>0</v>
      </c>
    </row>
    <row r="738" spans="1:11" x14ac:dyDescent="0.25">
      <c r="A738" t="s">
        <v>10</v>
      </c>
      <c r="B738" t="s">
        <v>766</v>
      </c>
      <c r="C738" t="s">
        <v>302</v>
      </c>
      <c r="D738" t="s">
        <v>93</v>
      </c>
      <c r="E738">
        <v>62269</v>
      </c>
      <c r="F738">
        <v>1244</v>
      </c>
      <c r="H738">
        <v>4.479740906258789E-2</v>
      </c>
      <c r="K738">
        <v>0</v>
      </c>
    </row>
    <row r="739" spans="1:11" x14ac:dyDescent="0.25">
      <c r="A739" t="s">
        <v>10</v>
      </c>
      <c r="B739" t="s">
        <v>767</v>
      </c>
      <c r="C739" t="s">
        <v>302</v>
      </c>
      <c r="D739" t="s">
        <v>93</v>
      </c>
      <c r="E739">
        <v>62271</v>
      </c>
      <c r="F739">
        <v>1968</v>
      </c>
      <c r="H739">
        <v>3.823828088179837E-2</v>
      </c>
      <c r="K739">
        <v>0</v>
      </c>
    </row>
    <row r="740" spans="1:11" x14ac:dyDescent="0.25">
      <c r="A740" t="s">
        <v>10</v>
      </c>
      <c r="B740" t="s">
        <v>768</v>
      </c>
      <c r="C740" t="s">
        <v>302</v>
      </c>
      <c r="D740" t="s">
        <v>93</v>
      </c>
      <c r="E740">
        <v>62274</v>
      </c>
      <c r="F740">
        <v>1436</v>
      </c>
      <c r="H740">
        <v>4.7415586907911589E-2</v>
      </c>
      <c r="K740">
        <v>0</v>
      </c>
    </row>
    <row r="741" spans="1:11" x14ac:dyDescent="0.25">
      <c r="A741" t="s">
        <v>10</v>
      </c>
      <c r="B741" t="s">
        <v>769</v>
      </c>
      <c r="C741" t="s">
        <v>302</v>
      </c>
      <c r="D741" t="s">
        <v>93</v>
      </c>
      <c r="E741">
        <v>62276</v>
      </c>
      <c r="F741">
        <v>15540</v>
      </c>
      <c r="H741">
        <v>6.2957287727013367E-2</v>
      </c>
      <c r="K741">
        <v>388</v>
      </c>
    </row>
    <row r="742" spans="1:11" x14ac:dyDescent="0.25">
      <c r="A742" t="s">
        <v>10</v>
      </c>
      <c r="B742" t="s">
        <v>770</v>
      </c>
      <c r="C742" t="s">
        <v>302</v>
      </c>
      <c r="D742" t="s">
        <v>93</v>
      </c>
      <c r="E742">
        <v>62277</v>
      </c>
      <c r="F742">
        <v>2467</v>
      </c>
      <c r="H742">
        <v>1.6399111486887441E-2</v>
      </c>
      <c r="K742">
        <v>0</v>
      </c>
    </row>
    <row r="743" spans="1:11" x14ac:dyDescent="0.25">
      <c r="A743" t="s">
        <v>10</v>
      </c>
      <c r="B743" t="s">
        <v>771</v>
      </c>
      <c r="C743" t="s">
        <v>302</v>
      </c>
      <c r="D743" t="s">
        <v>93</v>
      </c>
      <c r="E743">
        <v>62279</v>
      </c>
      <c r="F743">
        <v>1226</v>
      </c>
      <c r="H743">
        <v>2.9593562190745271E-2</v>
      </c>
      <c r="K743">
        <v>0</v>
      </c>
    </row>
    <row r="744" spans="1:11" x14ac:dyDescent="0.25">
      <c r="A744" t="s">
        <v>10</v>
      </c>
      <c r="B744" t="s">
        <v>772</v>
      </c>
      <c r="C744" t="s">
        <v>302</v>
      </c>
      <c r="D744" t="s">
        <v>93</v>
      </c>
      <c r="E744">
        <v>62283</v>
      </c>
      <c r="F744">
        <v>4657</v>
      </c>
      <c r="H744">
        <v>2.9369375394644348E-2</v>
      </c>
      <c r="K744">
        <v>0</v>
      </c>
    </row>
    <row r="745" spans="1:11" x14ac:dyDescent="0.25">
      <c r="A745" t="s">
        <v>10</v>
      </c>
      <c r="B745" t="s">
        <v>773</v>
      </c>
      <c r="C745" t="s">
        <v>302</v>
      </c>
      <c r="D745" t="s">
        <v>93</v>
      </c>
      <c r="E745">
        <v>62285</v>
      </c>
      <c r="F745">
        <v>494</v>
      </c>
      <c r="H745">
        <v>3.3826095633528896E-2</v>
      </c>
      <c r="K745">
        <v>0</v>
      </c>
    </row>
    <row r="746" spans="1:11" x14ac:dyDescent="0.25">
      <c r="A746" t="s">
        <v>10</v>
      </c>
      <c r="B746" t="s">
        <v>774</v>
      </c>
      <c r="C746" t="s">
        <v>302</v>
      </c>
      <c r="D746" t="s">
        <v>93</v>
      </c>
      <c r="E746">
        <v>62286</v>
      </c>
      <c r="F746">
        <v>1215</v>
      </c>
      <c r="H746">
        <v>2.475916838842962E-2</v>
      </c>
      <c r="K746">
        <v>0</v>
      </c>
    </row>
    <row r="747" spans="1:11" x14ac:dyDescent="0.25">
      <c r="A747" t="s">
        <v>10</v>
      </c>
      <c r="B747" t="s">
        <v>775</v>
      </c>
      <c r="C747" t="s">
        <v>302</v>
      </c>
      <c r="D747" t="s">
        <v>93</v>
      </c>
      <c r="E747">
        <v>62287</v>
      </c>
      <c r="F747">
        <v>3678</v>
      </c>
      <c r="H747">
        <v>4.7395579490666417E-2</v>
      </c>
      <c r="K747">
        <v>0</v>
      </c>
    </row>
    <row r="748" spans="1:11" x14ac:dyDescent="0.25">
      <c r="A748" t="s">
        <v>10</v>
      </c>
      <c r="B748" t="s">
        <v>776</v>
      </c>
      <c r="C748" t="s">
        <v>302</v>
      </c>
      <c r="D748" t="s">
        <v>93</v>
      </c>
      <c r="E748">
        <v>62291</v>
      </c>
      <c r="F748">
        <v>4755</v>
      </c>
      <c r="H748">
        <v>5.8769513314967714E-2</v>
      </c>
      <c r="K748">
        <v>0</v>
      </c>
    </row>
    <row r="749" spans="1:11" x14ac:dyDescent="0.25">
      <c r="A749" t="s">
        <v>10</v>
      </c>
      <c r="B749" t="s">
        <v>777</v>
      </c>
      <c r="C749" t="s">
        <v>302</v>
      </c>
      <c r="D749" t="s">
        <v>93</v>
      </c>
      <c r="E749">
        <v>62292</v>
      </c>
      <c r="F749">
        <v>370</v>
      </c>
      <c r="H749">
        <v>3.6823451436957755E-2</v>
      </c>
      <c r="K749">
        <v>0</v>
      </c>
    </row>
    <row r="750" spans="1:11" x14ac:dyDescent="0.25">
      <c r="A750" t="s">
        <v>10</v>
      </c>
      <c r="B750" t="s">
        <v>778</v>
      </c>
      <c r="C750" t="s">
        <v>302</v>
      </c>
      <c r="D750" t="s">
        <v>93</v>
      </c>
      <c r="E750">
        <v>62293</v>
      </c>
      <c r="F750">
        <v>903</v>
      </c>
      <c r="H750">
        <v>0.16964792955434915</v>
      </c>
      <c r="K750">
        <v>0</v>
      </c>
    </row>
    <row r="751" spans="1:11" x14ac:dyDescent="0.25">
      <c r="A751" t="s">
        <v>10</v>
      </c>
      <c r="B751" t="s">
        <v>779</v>
      </c>
      <c r="C751" t="s">
        <v>302</v>
      </c>
      <c r="D751" t="s">
        <v>93</v>
      </c>
      <c r="E751">
        <v>62295</v>
      </c>
      <c r="F751">
        <v>631</v>
      </c>
      <c r="H751">
        <v>6.3618053396555907E-2</v>
      </c>
      <c r="K751">
        <v>0</v>
      </c>
    </row>
    <row r="752" spans="1:11" x14ac:dyDescent="0.25">
      <c r="A752" t="s">
        <v>10</v>
      </c>
      <c r="B752" t="s">
        <v>780</v>
      </c>
      <c r="C752" t="s">
        <v>302</v>
      </c>
      <c r="D752" t="s">
        <v>93</v>
      </c>
      <c r="E752">
        <v>62296</v>
      </c>
      <c r="F752">
        <v>2682</v>
      </c>
      <c r="H752">
        <v>2.4576078381267963E-2</v>
      </c>
      <c r="K752">
        <v>0</v>
      </c>
    </row>
    <row r="753" spans="1:11" x14ac:dyDescent="0.25">
      <c r="A753" t="s">
        <v>10</v>
      </c>
      <c r="B753" t="s">
        <v>781</v>
      </c>
      <c r="C753" t="s">
        <v>302</v>
      </c>
      <c r="D753" t="s">
        <v>93</v>
      </c>
      <c r="E753">
        <v>62297</v>
      </c>
      <c r="F753">
        <v>1085</v>
      </c>
      <c r="H753">
        <v>9.0320262668158735E-3</v>
      </c>
      <c r="K753">
        <v>0</v>
      </c>
    </row>
    <row r="754" spans="1:11" x14ac:dyDescent="0.25">
      <c r="A754" t="s">
        <v>10</v>
      </c>
      <c r="B754" t="s">
        <v>782</v>
      </c>
      <c r="C754" t="s">
        <v>302</v>
      </c>
      <c r="D754" t="s">
        <v>93</v>
      </c>
      <c r="E754">
        <v>62298</v>
      </c>
      <c r="F754">
        <v>232</v>
      </c>
      <c r="H754">
        <v>9.2483004526857981E-2</v>
      </c>
      <c r="K754">
        <v>0</v>
      </c>
    </row>
    <row r="755" spans="1:11" x14ac:dyDescent="0.25">
      <c r="A755" t="s">
        <v>10</v>
      </c>
      <c r="B755" t="s">
        <v>783</v>
      </c>
      <c r="C755" t="s">
        <v>302</v>
      </c>
      <c r="D755" t="s">
        <v>93</v>
      </c>
      <c r="E755">
        <v>62308</v>
      </c>
      <c r="F755">
        <v>1330</v>
      </c>
      <c r="H755">
        <v>8.750394335420375E-2</v>
      </c>
      <c r="K755">
        <v>0</v>
      </c>
    </row>
    <row r="756" spans="1:11" x14ac:dyDescent="0.25">
      <c r="A756" t="s">
        <v>10</v>
      </c>
      <c r="B756" t="s">
        <v>784</v>
      </c>
      <c r="C756" t="s">
        <v>302</v>
      </c>
      <c r="D756" t="s">
        <v>93</v>
      </c>
      <c r="E756">
        <v>62311</v>
      </c>
      <c r="F756">
        <v>1629</v>
      </c>
      <c r="H756">
        <v>8.4557359981218494E-2</v>
      </c>
      <c r="K756">
        <v>0</v>
      </c>
    </row>
    <row r="757" spans="1:11" x14ac:dyDescent="0.25">
      <c r="A757" t="s">
        <v>10</v>
      </c>
      <c r="B757" t="s">
        <v>785</v>
      </c>
      <c r="C757" t="s">
        <v>302</v>
      </c>
      <c r="D757" t="s">
        <v>93</v>
      </c>
      <c r="E757">
        <v>62312</v>
      </c>
      <c r="F757">
        <v>1788</v>
      </c>
      <c r="H757">
        <v>0.20632378172602783</v>
      </c>
      <c r="K757">
        <v>0</v>
      </c>
    </row>
    <row r="758" spans="1:11" x14ac:dyDescent="0.25">
      <c r="A758" t="s">
        <v>10</v>
      </c>
      <c r="B758" t="s">
        <v>786</v>
      </c>
      <c r="C758" t="s">
        <v>302</v>
      </c>
      <c r="D758" t="s">
        <v>93</v>
      </c>
      <c r="E758">
        <v>62316</v>
      </c>
      <c r="F758">
        <v>1312</v>
      </c>
      <c r="H758">
        <v>0.66004057599407884</v>
      </c>
      <c r="K758">
        <v>0</v>
      </c>
    </row>
    <row r="759" spans="1:11" x14ac:dyDescent="0.25">
      <c r="A759" t="s">
        <v>10</v>
      </c>
      <c r="B759" t="s">
        <v>787</v>
      </c>
      <c r="C759" t="s">
        <v>302</v>
      </c>
      <c r="D759" t="s">
        <v>93</v>
      </c>
      <c r="E759">
        <v>62321</v>
      </c>
      <c r="F759">
        <v>234</v>
      </c>
      <c r="H759">
        <v>4.8229375392368601E-2</v>
      </c>
      <c r="K759">
        <v>0</v>
      </c>
    </row>
    <row r="760" spans="1:11" x14ac:dyDescent="0.25">
      <c r="A760" t="s">
        <v>10</v>
      </c>
      <c r="B760" t="s">
        <v>788</v>
      </c>
      <c r="C760" t="s">
        <v>302</v>
      </c>
      <c r="D760" t="s">
        <v>93</v>
      </c>
      <c r="E760">
        <v>62341</v>
      </c>
      <c r="F760">
        <v>586</v>
      </c>
      <c r="H760">
        <v>7.1476843100189202E-2</v>
      </c>
      <c r="K760">
        <v>0</v>
      </c>
    </row>
    <row r="761" spans="1:11" x14ac:dyDescent="0.25">
      <c r="A761" t="s">
        <v>10</v>
      </c>
      <c r="B761" t="s">
        <v>789</v>
      </c>
      <c r="C761" t="s">
        <v>302</v>
      </c>
      <c r="D761" t="s">
        <v>93</v>
      </c>
      <c r="E761">
        <v>62351</v>
      </c>
      <c r="F761">
        <v>70</v>
      </c>
      <c r="H761">
        <v>9.119897959183676E-2</v>
      </c>
      <c r="K761">
        <v>0</v>
      </c>
    </row>
    <row r="762" spans="1:11" x14ac:dyDescent="0.25">
      <c r="A762" t="s">
        <v>10</v>
      </c>
      <c r="B762" t="s">
        <v>92</v>
      </c>
      <c r="C762" t="s">
        <v>92</v>
      </c>
      <c r="D762" t="s">
        <v>93</v>
      </c>
      <c r="E762">
        <v>63111</v>
      </c>
      <c r="F762">
        <v>7597</v>
      </c>
      <c r="H762">
        <v>0.29956545579292559</v>
      </c>
      <c r="K762">
        <v>1392</v>
      </c>
    </row>
    <row r="763" spans="1:11" x14ac:dyDescent="0.25">
      <c r="A763" t="s">
        <v>10</v>
      </c>
      <c r="B763" t="s">
        <v>790</v>
      </c>
      <c r="C763" t="s">
        <v>92</v>
      </c>
      <c r="D763" t="s">
        <v>93</v>
      </c>
      <c r="E763">
        <v>63114</v>
      </c>
      <c r="F763">
        <v>557</v>
      </c>
      <c r="H763">
        <v>0.21760977118119951</v>
      </c>
      <c r="K763">
        <v>0</v>
      </c>
    </row>
    <row r="764" spans="1:11" x14ac:dyDescent="0.25">
      <c r="A764" t="s">
        <v>10</v>
      </c>
      <c r="B764" t="s">
        <v>791</v>
      </c>
      <c r="C764" t="s">
        <v>92</v>
      </c>
      <c r="D764" t="s">
        <v>93</v>
      </c>
      <c r="E764">
        <v>63121</v>
      </c>
      <c r="F764">
        <v>309</v>
      </c>
      <c r="H764">
        <v>0.51440625269715734</v>
      </c>
      <c r="K764">
        <v>0</v>
      </c>
    </row>
    <row r="765" spans="1:11" x14ac:dyDescent="0.25">
      <c r="A765" t="s">
        <v>10</v>
      </c>
      <c r="B765" t="s">
        <v>792</v>
      </c>
      <c r="C765" t="s">
        <v>92</v>
      </c>
      <c r="D765" t="s">
        <v>93</v>
      </c>
      <c r="E765">
        <v>63124</v>
      </c>
      <c r="F765">
        <v>1112</v>
      </c>
      <c r="H765">
        <v>0.28853060009993226</v>
      </c>
      <c r="K765">
        <v>98</v>
      </c>
    </row>
    <row r="766" spans="1:11" x14ac:dyDescent="0.25">
      <c r="A766" t="s">
        <v>10</v>
      </c>
      <c r="B766" t="s">
        <v>793</v>
      </c>
      <c r="C766" t="s">
        <v>92</v>
      </c>
      <c r="D766" t="s">
        <v>93</v>
      </c>
      <c r="E766">
        <v>63127</v>
      </c>
      <c r="F766">
        <v>419</v>
      </c>
      <c r="H766">
        <v>0.2195061728395058</v>
      </c>
      <c r="K766">
        <v>0</v>
      </c>
    </row>
    <row r="767" spans="1:11" x14ac:dyDescent="0.25">
      <c r="A767" t="s">
        <v>10</v>
      </c>
      <c r="B767" t="s">
        <v>794</v>
      </c>
      <c r="C767" t="s">
        <v>92</v>
      </c>
      <c r="D767" t="s">
        <v>93</v>
      </c>
      <c r="E767">
        <v>63134</v>
      </c>
      <c r="F767">
        <v>149</v>
      </c>
      <c r="H767">
        <v>0.21905234060453094</v>
      </c>
      <c r="K767">
        <v>0</v>
      </c>
    </row>
    <row r="768" spans="1:11" x14ac:dyDescent="0.25">
      <c r="A768" t="s">
        <v>10</v>
      </c>
      <c r="B768" t="s">
        <v>795</v>
      </c>
      <c r="C768" t="s">
        <v>92</v>
      </c>
      <c r="D768" t="s">
        <v>93</v>
      </c>
      <c r="E768">
        <v>63137</v>
      </c>
      <c r="F768">
        <v>161</v>
      </c>
      <c r="H768">
        <v>0.2134354997621567</v>
      </c>
      <c r="K768">
        <v>0</v>
      </c>
    </row>
    <row r="769" spans="1:11" x14ac:dyDescent="0.25">
      <c r="A769" t="s">
        <v>10</v>
      </c>
      <c r="B769" t="s">
        <v>796</v>
      </c>
      <c r="C769" t="s">
        <v>92</v>
      </c>
      <c r="D769" t="s">
        <v>93</v>
      </c>
      <c r="E769">
        <v>63141</v>
      </c>
      <c r="F769">
        <v>26</v>
      </c>
      <c r="H769">
        <v>0.25843490304709149</v>
      </c>
      <c r="K769">
        <v>0</v>
      </c>
    </row>
    <row r="770" spans="1:11" x14ac:dyDescent="0.25">
      <c r="A770" t="s">
        <v>10</v>
      </c>
      <c r="B770" t="s">
        <v>797</v>
      </c>
      <c r="C770" t="s">
        <v>92</v>
      </c>
      <c r="D770" t="s">
        <v>93</v>
      </c>
      <c r="E770">
        <v>63147</v>
      </c>
      <c r="F770">
        <v>140</v>
      </c>
      <c r="H770">
        <v>0.24387711882002183</v>
      </c>
      <c r="K770">
        <v>0</v>
      </c>
    </row>
    <row r="771" spans="1:11" x14ac:dyDescent="0.25">
      <c r="A771" t="s">
        <v>10</v>
      </c>
      <c r="B771" t="s">
        <v>798</v>
      </c>
      <c r="C771" t="s">
        <v>92</v>
      </c>
      <c r="D771" t="s">
        <v>93</v>
      </c>
      <c r="E771">
        <v>63151</v>
      </c>
      <c r="F771">
        <v>385</v>
      </c>
      <c r="H771">
        <v>0.17485766662017321</v>
      </c>
      <c r="K771">
        <v>0</v>
      </c>
    </row>
    <row r="772" spans="1:11" x14ac:dyDescent="0.25">
      <c r="A772" t="s">
        <v>10</v>
      </c>
      <c r="B772" t="s">
        <v>799</v>
      </c>
      <c r="C772" t="s">
        <v>92</v>
      </c>
      <c r="D772" t="s">
        <v>93</v>
      </c>
      <c r="E772">
        <v>63157</v>
      </c>
      <c r="F772">
        <v>166</v>
      </c>
      <c r="H772">
        <v>0.22066754834047042</v>
      </c>
      <c r="K772">
        <v>0</v>
      </c>
    </row>
    <row r="773" spans="1:11" x14ac:dyDescent="0.25">
      <c r="A773" t="s">
        <v>10</v>
      </c>
      <c r="B773" t="s">
        <v>800</v>
      </c>
      <c r="C773" t="s">
        <v>92</v>
      </c>
      <c r="D773" t="s">
        <v>93</v>
      </c>
      <c r="E773">
        <v>63161</v>
      </c>
      <c r="F773">
        <v>202</v>
      </c>
      <c r="H773">
        <v>0.26132585249808793</v>
      </c>
      <c r="K773">
        <v>0</v>
      </c>
    </row>
    <row r="774" spans="1:11" x14ac:dyDescent="0.25">
      <c r="A774" t="s">
        <v>10</v>
      </c>
      <c r="B774" t="s">
        <v>100</v>
      </c>
      <c r="C774" t="s">
        <v>100</v>
      </c>
      <c r="D774" t="s">
        <v>96</v>
      </c>
      <c r="E774">
        <v>51111</v>
      </c>
      <c r="F774">
        <v>11429</v>
      </c>
      <c r="H774">
        <v>0.84742832901649701</v>
      </c>
      <c r="K774">
        <v>317</v>
      </c>
    </row>
    <row r="775" spans="1:11" x14ac:dyDescent="0.25">
      <c r="A775" t="s">
        <v>10</v>
      </c>
      <c r="B775" t="s">
        <v>801</v>
      </c>
      <c r="C775" t="s">
        <v>92</v>
      </c>
      <c r="D775" t="s">
        <v>93</v>
      </c>
      <c r="E775">
        <v>63167</v>
      </c>
      <c r="F775">
        <v>1981</v>
      </c>
      <c r="H775">
        <v>0.62568449291084494</v>
      </c>
      <c r="K775">
        <v>0</v>
      </c>
    </row>
    <row r="776" spans="1:11" x14ac:dyDescent="0.25">
      <c r="A776" t="s">
        <v>10</v>
      </c>
      <c r="B776" t="s">
        <v>802</v>
      </c>
      <c r="C776" t="s">
        <v>92</v>
      </c>
      <c r="D776" t="s">
        <v>93</v>
      </c>
      <c r="E776">
        <v>63171</v>
      </c>
      <c r="F776">
        <v>194</v>
      </c>
      <c r="H776">
        <v>0.17552186061801445</v>
      </c>
      <c r="K776">
        <v>0</v>
      </c>
    </row>
    <row r="777" spans="1:11" x14ac:dyDescent="0.25">
      <c r="A777" t="s">
        <v>10</v>
      </c>
      <c r="B777" t="s">
        <v>803</v>
      </c>
      <c r="C777" t="s">
        <v>92</v>
      </c>
      <c r="D777" t="s">
        <v>93</v>
      </c>
      <c r="E777">
        <v>63177</v>
      </c>
      <c r="F777">
        <v>80</v>
      </c>
      <c r="H777">
        <v>0.22119796912996137</v>
      </c>
      <c r="K777">
        <v>0</v>
      </c>
    </row>
    <row r="778" spans="1:11" x14ac:dyDescent="0.25">
      <c r="A778" t="s">
        <v>10</v>
      </c>
      <c r="B778" t="s">
        <v>804</v>
      </c>
      <c r="C778" t="s">
        <v>92</v>
      </c>
      <c r="D778" t="s">
        <v>93</v>
      </c>
      <c r="E778">
        <v>63181</v>
      </c>
      <c r="F778">
        <v>167</v>
      </c>
      <c r="H778">
        <v>0.16754488313448024</v>
      </c>
      <c r="K778">
        <v>0</v>
      </c>
    </row>
    <row r="779" spans="1:11" x14ac:dyDescent="0.25">
      <c r="A779" t="s">
        <v>10</v>
      </c>
      <c r="B779" t="s">
        <v>805</v>
      </c>
      <c r="C779" t="s">
        <v>92</v>
      </c>
      <c r="D779" t="s">
        <v>93</v>
      </c>
      <c r="E779">
        <v>63184</v>
      </c>
      <c r="F779">
        <v>429</v>
      </c>
      <c r="H779">
        <v>0.24313101363511513</v>
      </c>
      <c r="K779">
        <v>0</v>
      </c>
    </row>
    <row r="780" spans="1:11" x14ac:dyDescent="0.25">
      <c r="A780" t="s">
        <v>10</v>
      </c>
      <c r="B780" t="s">
        <v>806</v>
      </c>
      <c r="C780" t="s">
        <v>92</v>
      </c>
      <c r="D780" t="s">
        <v>93</v>
      </c>
      <c r="E780">
        <v>63187</v>
      </c>
      <c r="F780">
        <v>67</v>
      </c>
      <c r="H780">
        <v>0.18548714021890911</v>
      </c>
      <c r="K780">
        <v>0</v>
      </c>
    </row>
    <row r="781" spans="1:11" x14ac:dyDescent="0.25">
      <c r="A781" t="s">
        <v>10</v>
      </c>
      <c r="B781" t="s">
        <v>807</v>
      </c>
      <c r="C781" t="s">
        <v>92</v>
      </c>
      <c r="D781" t="s">
        <v>93</v>
      </c>
      <c r="E781">
        <v>63191</v>
      </c>
      <c r="F781">
        <v>212</v>
      </c>
      <c r="H781">
        <v>0.35108481262327407</v>
      </c>
      <c r="K781">
        <v>0</v>
      </c>
    </row>
    <row r="782" spans="1:11" x14ac:dyDescent="0.25">
      <c r="A782" t="s">
        <v>10</v>
      </c>
      <c r="B782" t="s">
        <v>808</v>
      </c>
      <c r="C782" t="s">
        <v>92</v>
      </c>
      <c r="D782" t="s">
        <v>93</v>
      </c>
      <c r="E782">
        <v>63211</v>
      </c>
      <c r="F782">
        <v>207</v>
      </c>
      <c r="H782">
        <v>0.52746303854875276</v>
      </c>
      <c r="K782">
        <v>0</v>
      </c>
    </row>
    <row r="783" spans="1:11" x14ac:dyDescent="0.25">
      <c r="A783" t="s">
        <v>10</v>
      </c>
      <c r="B783" t="s">
        <v>809</v>
      </c>
      <c r="C783" t="s">
        <v>92</v>
      </c>
      <c r="D783" t="s">
        <v>93</v>
      </c>
      <c r="E783">
        <v>63217</v>
      </c>
      <c r="F783">
        <v>249</v>
      </c>
      <c r="H783">
        <v>0.37978575679428661</v>
      </c>
      <c r="K783">
        <v>0</v>
      </c>
    </row>
    <row r="784" spans="1:11" x14ac:dyDescent="0.25">
      <c r="A784" t="s">
        <v>10</v>
      </c>
      <c r="B784" t="s">
        <v>810</v>
      </c>
      <c r="C784" t="s">
        <v>92</v>
      </c>
      <c r="D784" t="s">
        <v>93</v>
      </c>
      <c r="E784">
        <v>63224</v>
      </c>
      <c r="F784">
        <v>51</v>
      </c>
      <c r="H784">
        <v>0.51382283365429982</v>
      </c>
      <c r="K784">
        <v>0</v>
      </c>
    </row>
    <row r="785" spans="1:11" x14ac:dyDescent="0.25">
      <c r="A785" t="s">
        <v>10</v>
      </c>
      <c r="B785" t="s">
        <v>811</v>
      </c>
      <c r="C785" t="s">
        <v>92</v>
      </c>
      <c r="D785" t="s">
        <v>93</v>
      </c>
      <c r="E785">
        <v>63227</v>
      </c>
      <c r="F785">
        <v>889</v>
      </c>
      <c r="H785">
        <v>0.2626151191109819</v>
      </c>
      <c r="K785">
        <v>350</v>
      </c>
    </row>
    <row r="786" spans="1:11" x14ac:dyDescent="0.25">
      <c r="A786" t="s">
        <v>10</v>
      </c>
      <c r="B786" t="s">
        <v>812</v>
      </c>
      <c r="C786" t="s">
        <v>92</v>
      </c>
      <c r="D786" t="s">
        <v>93</v>
      </c>
      <c r="E786">
        <v>63231</v>
      </c>
      <c r="F786">
        <v>118</v>
      </c>
      <c r="H786">
        <v>0.32197530864197521</v>
      </c>
      <c r="K786">
        <v>0</v>
      </c>
    </row>
    <row r="787" spans="1:11" x14ac:dyDescent="0.25">
      <c r="A787" t="s">
        <v>10</v>
      </c>
      <c r="B787" t="s">
        <v>813</v>
      </c>
      <c r="C787" t="s">
        <v>92</v>
      </c>
      <c r="D787" t="s">
        <v>93</v>
      </c>
      <c r="E787">
        <v>63237</v>
      </c>
      <c r="F787">
        <v>540</v>
      </c>
      <c r="H787">
        <v>0.2241951189933945</v>
      </c>
      <c r="K787">
        <v>0</v>
      </c>
    </row>
    <row r="788" spans="1:11" x14ac:dyDescent="0.25">
      <c r="A788" t="s">
        <v>10</v>
      </c>
      <c r="B788" t="s">
        <v>814</v>
      </c>
      <c r="C788" t="s">
        <v>92</v>
      </c>
      <c r="D788" t="s">
        <v>93</v>
      </c>
      <c r="E788">
        <v>63241</v>
      </c>
      <c r="F788">
        <v>290</v>
      </c>
      <c r="H788">
        <v>0.37504384981223648</v>
      </c>
      <c r="K788">
        <v>0</v>
      </c>
    </row>
    <row r="789" spans="1:11" x14ac:dyDescent="0.25">
      <c r="A789" t="s">
        <v>10</v>
      </c>
      <c r="B789" t="s">
        <v>815</v>
      </c>
      <c r="C789" t="s">
        <v>92</v>
      </c>
      <c r="D789" t="s">
        <v>93</v>
      </c>
      <c r="E789">
        <v>63244</v>
      </c>
      <c r="F789">
        <v>231</v>
      </c>
      <c r="H789">
        <v>0.31346037473873334</v>
      </c>
      <c r="K789">
        <v>0</v>
      </c>
    </row>
    <row r="790" spans="1:11" x14ac:dyDescent="0.25">
      <c r="A790" t="s">
        <v>10</v>
      </c>
      <c r="B790" t="s">
        <v>816</v>
      </c>
      <c r="C790" t="s">
        <v>92</v>
      </c>
      <c r="D790" t="s">
        <v>93</v>
      </c>
      <c r="E790">
        <v>63247</v>
      </c>
      <c r="F790">
        <v>315</v>
      </c>
      <c r="H790">
        <v>0.1924497041420119</v>
      </c>
      <c r="K790">
        <v>0</v>
      </c>
    </row>
    <row r="791" spans="1:11" x14ac:dyDescent="0.25">
      <c r="A791" t="s">
        <v>10</v>
      </c>
      <c r="B791" t="s">
        <v>817</v>
      </c>
      <c r="C791" t="s">
        <v>92</v>
      </c>
      <c r="D791" t="s">
        <v>93</v>
      </c>
      <c r="E791">
        <v>63251</v>
      </c>
      <c r="F791">
        <v>538</v>
      </c>
      <c r="H791">
        <v>0.4599609375</v>
      </c>
      <c r="K791">
        <v>0</v>
      </c>
    </row>
    <row r="792" spans="1:11" x14ac:dyDescent="0.25">
      <c r="A792" t="s">
        <v>10</v>
      </c>
      <c r="B792" t="s">
        <v>818</v>
      </c>
      <c r="C792" t="s">
        <v>92</v>
      </c>
      <c r="D792" t="s">
        <v>93</v>
      </c>
      <c r="E792">
        <v>63254</v>
      </c>
      <c r="F792">
        <v>413</v>
      </c>
      <c r="H792">
        <v>0.24606394965796252</v>
      </c>
      <c r="K792">
        <v>232</v>
      </c>
    </row>
    <row r="793" spans="1:11" x14ac:dyDescent="0.25">
      <c r="A793" t="s">
        <v>10</v>
      </c>
      <c r="B793" t="s">
        <v>819</v>
      </c>
      <c r="C793" t="s">
        <v>92</v>
      </c>
      <c r="D793" t="s">
        <v>93</v>
      </c>
      <c r="E793">
        <v>63261</v>
      </c>
      <c r="F793">
        <v>425</v>
      </c>
      <c r="H793">
        <v>0.42579994960947354</v>
      </c>
      <c r="K793">
        <v>0</v>
      </c>
    </row>
    <row r="794" spans="1:11" x14ac:dyDescent="0.25">
      <c r="A794" t="s">
        <v>10</v>
      </c>
      <c r="B794" t="s">
        <v>820</v>
      </c>
      <c r="C794" t="s">
        <v>92</v>
      </c>
      <c r="D794" t="s">
        <v>93</v>
      </c>
      <c r="E794">
        <v>63264</v>
      </c>
      <c r="F794">
        <v>85</v>
      </c>
      <c r="H794">
        <v>0.18674897119341538</v>
      </c>
      <c r="K794">
        <v>0</v>
      </c>
    </row>
    <row r="795" spans="1:11" x14ac:dyDescent="0.25">
      <c r="A795" t="s">
        <v>10</v>
      </c>
      <c r="B795" t="s">
        <v>821</v>
      </c>
      <c r="C795" t="s">
        <v>92</v>
      </c>
      <c r="D795" t="s">
        <v>93</v>
      </c>
      <c r="E795">
        <v>63271</v>
      </c>
      <c r="F795">
        <v>395</v>
      </c>
      <c r="H795">
        <v>0.11085222444560183</v>
      </c>
      <c r="K795">
        <v>0</v>
      </c>
    </row>
    <row r="796" spans="1:11" x14ac:dyDescent="0.25">
      <c r="A796" t="s">
        <v>10</v>
      </c>
      <c r="B796" t="s">
        <v>822</v>
      </c>
      <c r="C796" t="s">
        <v>92</v>
      </c>
      <c r="D796" t="s">
        <v>93</v>
      </c>
      <c r="E796">
        <v>63274</v>
      </c>
      <c r="F796">
        <v>756</v>
      </c>
      <c r="H796">
        <v>0.58167630624448585</v>
      </c>
      <c r="K796">
        <v>0</v>
      </c>
    </row>
    <row r="797" spans="1:11" x14ac:dyDescent="0.25">
      <c r="A797" t="s">
        <v>10</v>
      </c>
      <c r="B797" t="s">
        <v>823</v>
      </c>
      <c r="C797" t="s">
        <v>92</v>
      </c>
      <c r="D797" t="s">
        <v>93</v>
      </c>
      <c r="E797">
        <v>63277</v>
      </c>
      <c r="F797">
        <v>1723</v>
      </c>
      <c r="H797">
        <v>0.68336793540945795</v>
      </c>
      <c r="K797">
        <v>293</v>
      </c>
    </row>
    <row r="798" spans="1:11" x14ac:dyDescent="0.25">
      <c r="A798" t="s">
        <v>10</v>
      </c>
      <c r="B798" t="s">
        <v>824</v>
      </c>
      <c r="C798" t="s">
        <v>92</v>
      </c>
      <c r="D798" t="s">
        <v>93</v>
      </c>
      <c r="E798">
        <v>63284</v>
      </c>
      <c r="F798">
        <v>21</v>
      </c>
      <c r="H798">
        <v>0.15022100289590035</v>
      </c>
      <c r="K798">
        <v>0</v>
      </c>
    </row>
    <row r="799" spans="1:11" x14ac:dyDescent="0.25">
      <c r="A799" t="s">
        <v>10</v>
      </c>
      <c r="B799" t="s">
        <v>825</v>
      </c>
      <c r="C799" t="s">
        <v>92</v>
      </c>
      <c r="D799" t="s">
        <v>93</v>
      </c>
      <c r="E799">
        <v>63287</v>
      </c>
      <c r="F799">
        <v>323</v>
      </c>
      <c r="H799">
        <v>0.13834373418789003</v>
      </c>
      <c r="K799">
        <v>0</v>
      </c>
    </row>
    <row r="800" spans="1:11" x14ac:dyDescent="0.25">
      <c r="A800" t="s">
        <v>10</v>
      </c>
      <c r="B800" s="8" t="s">
        <v>826</v>
      </c>
      <c r="C800" t="s">
        <v>92</v>
      </c>
      <c r="D800" t="s">
        <v>93</v>
      </c>
      <c r="E800" s="8">
        <v>63291</v>
      </c>
      <c r="F800">
        <v>65</v>
      </c>
      <c r="H800">
        <v>0.5621065215301807</v>
      </c>
      <c r="K800">
        <v>0</v>
      </c>
    </row>
    <row r="801" spans="1:11" x14ac:dyDescent="0.25">
      <c r="A801" t="s">
        <v>10</v>
      </c>
      <c r="B801" t="s">
        <v>827</v>
      </c>
      <c r="C801" t="s">
        <v>92</v>
      </c>
      <c r="D801" t="s">
        <v>93</v>
      </c>
      <c r="E801">
        <v>63294</v>
      </c>
      <c r="F801">
        <v>353</v>
      </c>
      <c r="H801">
        <v>0.22472505500249451</v>
      </c>
      <c r="K801">
        <v>0</v>
      </c>
    </row>
    <row r="802" spans="1:11" x14ac:dyDescent="0.25">
      <c r="A802" t="s">
        <v>10</v>
      </c>
      <c r="B802" t="s">
        <v>828</v>
      </c>
      <c r="C802" t="s">
        <v>92</v>
      </c>
      <c r="D802" t="s">
        <v>93</v>
      </c>
      <c r="E802">
        <v>63297</v>
      </c>
      <c r="F802">
        <v>327</v>
      </c>
      <c r="H802">
        <v>0.41187295828967418</v>
      </c>
      <c r="K802">
        <v>0</v>
      </c>
    </row>
    <row r="803" spans="1:11" x14ac:dyDescent="0.25">
      <c r="A803" t="s">
        <v>10</v>
      </c>
      <c r="B803" t="s">
        <v>829</v>
      </c>
      <c r="C803" t="s">
        <v>92</v>
      </c>
      <c r="D803" t="s">
        <v>93</v>
      </c>
      <c r="E803">
        <v>63298</v>
      </c>
      <c r="F803">
        <v>0</v>
      </c>
      <c r="H803">
        <v>2.8912923792778766E-2</v>
      </c>
      <c r="K803">
        <v>0</v>
      </c>
    </row>
    <row r="804" spans="1:11" x14ac:dyDescent="0.25">
      <c r="A804" t="s">
        <v>10</v>
      </c>
      <c r="B804" t="s">
        <v>830</v>
      </c>
      <c r="C804" t="s">
        <v>92</v>
      </c>
      <c r="D804" t="s">
        <v>93</v>
      </c>
      <c r="E804">
        <v>63311</v>
      </c>
      <c r="F804">
        <v>1335</v>
      </c>
      <c r="H804">
        <v>9.3077590963808521E-2</v>
      </c>
      <c r="K804">
        <v>0</v>
      </c>
    </row>
    <row r="805" spans="1:11" x14ac:dyDescent="0.25">
      <c r="A805" t="s">
        <v>10</v>
      </c>
      <c r="B805" t="s">
        <v>831</v>
      </c>
      <c r="C805" t="s">
        <v>92</v>
      </c>
      <c r="D805" t="s">
        <v>93</v>
      </c>
      <c r="E805">
        <v>63315</v>
      </c>
      <c r="F805">
        <v>11</v>
      </c>
      <c r="H805">
        <v>0.57000261416879483</v>
      </c>
      <c r="K805">
        <v>0</v>
      </c>
    </row>
    <row r="806" spans="1:11" x14ac:dyDescent="0.25">
      <c r="A806" t="s">
        <v>10</v>
      </c>
      <c r="B806" t="s">
        <v>832</v>
      </c>
      <c r="C806" t="s">
        <v>92</v>
      </c>
      <c r="D806" t="s">
        <v>93</v>
      </c>
      <c r="E806">
        <v>63327</v>
      </c>
      <c r="F806">
        <v>396</v>
      </c>
      <c r="H806">
        <v>0.48251333246618122</v>
      </c>
      <c r="K806">
        <v>0</v>
      </c>
    </row>
    <row r="807" spans="1:11" x14ac:dyDescent="0.25">
      <c r="A807" t="s">
        <v>10</v>
      </c>
      <c r="B807" t="s">
        <v>833</v>
      </c>
      <c r="C807" t="s">
        <v>92</v>
      </c>
      <c r="D807" t="s">
        <v>93</v>
      </c>
      <c r="E807">
        <v>63351</v>
      </c>
      <c r="F807">
        <v>312</v>
      </c>
      <c r="H807">
        <v>4.5236180455903496E-2</v>
      </c>
      <c r="K807">
        <v>0</v>
      </c>
    </row>
    <row r="808" spans="1:11" x14ac:dyDescent="0.25">
      <c r="A808" t="s">
        <v>10</v>
      </c>
      <c r="B808" t="s">
        <v>834</v>
      </c>
      <c r="C808" t="s">
        <v>92</v>
      </c>
      <c r="D808" t="s">
        <v>93</v>
      </c>
      <c r="E808">
        <v>63355</v>
      </c>
      <c r="F808">
        <v>588</v>
      </c>
      <c r="H808">
        <v>0.38437176140860707</v>
      </c>
      <c r="K808">
        <v>0</v>
      </c>
    </row>
    <row r="809" spans="1:11" x14ac:dyDescent="0.25">
      <c r="A809" t="s">
        <v>10</v>
      </c>
      <c r="B809" t="s">
        <v>835</v>
      </c>
      <c r="C809" t="s">
        <v>92</v>
      </c>
      <c r="D809" t="s">
        <v>93</v>
      </c>
      <c r="E809">
        <v>63375</v>
      </c>
      <c r="F809">
        <v>41</v>
      </c>
      <c r="H809">
        <v>0.54806122047877182</v>
      </c>
      <c r="K809">
        <v>0</v>
      </c>
    </row>
    <row r="810" spans="1:11" x14ac:dyDescent="0.25">
      <c r="A810" t="s">
        <v>10</v>
      </c>
      <c r="B810" t="s">
        <v>836</v>
      </c>
      <c r="C810" t="s">
        <v>92</v>
      </c>
      <c r="D810" t="s">
        <v>93</v>
      </c>
      <c r="E810">
        <v>63385</v>
      </c>
      <c r="F810">
        <v>103</v>
      </c>
      <c r="H810">
        <v>0.18371395617070352</v>
      </c>
      <c r="K810">
        <v>0</v>
      </c>
    </row>
    <row r="811" spans="1:11" x14ac:dyDescent="0.25">
      <c r="A811" t="s">
        <v>10</v>
      </c>
      <c r="B811" t="s">
        <v>837</v>
      </c>
      <c r="C811" t="s">
        <v>234</v>
      </c>
      <c r="D811" t="s">
        <v>88</v>
      </c>
      <c r="E811">
        <v>71347</v>
      </c>
      <c r="F811">
        <v>3694</v>
      </c>
      <c r="H811">
        <v>3.8211394360175177E-2</v>
      </c>
      <c r="K811">
        <v>0</v>
      </c>
    </row>
    <row r="812" spans="1:11" x14ac:dyDescent="0.25">
      <c r="A812" t="s">
        <v>10</v>
      </c>
      <c r="B812" t="s">
        <v>838</v>
      </c>
      <c r="C812" t="s">
        <v>82</v>
      </c>
      <c r="D812" t="s">
        <v>83</v>
      </c>
      <c r="E812">
        <v>71361</v>
      </c>
      <c r="F812">
        <v>12338</v>
      </c>
      <c r="H812">
        <v>3.1040816326530551E-2</v>
      </c>
      <c r="K812">
        <v>0</v>
      </c>
    </row>
    <row r="813" spans="1:11" x14ac:dyDescent="0.25">
      <c r="A813" t="s">
        <v>10</v>
      </c>
      <c r="B813" t="s">
        <v>839</v>
      </c>
      <c r="C813" t="s">
        <v>553</v>
      </c>
      <c r="D813" t="s">
        <v>96</v>
      </c>
      <c r="E813">
        <v>71394</v>
      </c>
      <c r="F813">
        <v>2563</v>
      </c>
      <c r="H813">
        <v>4.9754462290558243E-2</v>
      </c>
      <c r="K813">
        <v>0</v>
      </c>
    </row>
    <row r="814" spans="1:11" x14ac:dyDescent="0.25">
      <c r="A814" t="s">
        <v>10</v>
      </c>
      <c r="B814" t="s">
        <v>619</v>
      </c>
      <c r="C814" t="s">
        <v>619</v>
      </c>
      <c r="D814" t="s">
        <v>88</v>
      </c>
      <c r="E814">
        <v>72111</v>
      </c>
      <c r="F814">
        <v>9375</v>
      </c>
      <c r="H814">
        <v>4.6903645403872485E-2</v>
      </c>
      <c r="K814">
        <v>0</v>
      </c>
    </row>
    <row r="815" spans="1:11" x14ac:dyDescent="0.25">
      <c r="A815" t="s">
        <v>10</v>
      </c>
      <c r="B815" t="s">
        <v>840</v>
      </c>
      <c r="C815" t="s">
        <v>619</v>
      </c>
      <c r="D815" t="s">
        <v>88</v>
      </c>
      <c r="E815">
        <v>72127</v>
      </c>
      <c r="F815">
        <v>335</v>
      </c>
      <c r="H815">
        <v>3.562792418129257E-2</v>
      </c>
      <c r="K815">
        <v>0</v>
      </c>
    </row>
    <row r="816" spans="1:11" x14ac:dyDescent="0.25">
      <c r="A816" t="s">
        <v>10</v>
      </c>
      <c r="B816" t="s">
        <v>841</v>
      </c>
      <c r="C816" t="s">
        <v>619</v>
      </c>
      <c r="D816" t="s">
        <v>88</v>
      </c>
      <c r="E816">
        <v>72143</v>
      </c>
      <c r="F816">
        <v>2393</v>
      </c>
      <c r="H816">
        <v>0.36270381357377135</v>
      </c>
      <c r="K816">
        <v>27</v>
      </c>
    </row>
    <row r="817" spans="1:11" x14ac:dyDescent="0.25">
      <c r="A817" t="s">
        <v>10</v>
      </c>
      <c r="B817" t="s">
        <v>842</v>
      </c>
      <c r="C817" t="s">
        <v>619</v>
      </c>
      <c r="D817" t="s">
        <v>88</v>
      </c>
      <c r="E817">
        <v>72151</v>
      </c>
      <c r="F817">
        <v>4069</v>
      </c>
      <c r="H817">
        <v>3.3959449738725112E-2</v>
      </c>
      <c r="K817">
        <v>0</v>
      </c>
    </row>
    <row r="818" spans="1:11" x14ac:dyDescent="0.25">
      <c r="A818" t="s">
        <v>10</v>
      </c>
      <c r="B818" t="s">
        <v>843</v>
      </c>
      <c r="C818" t="s">
        <v>619</v>
      </c>
      <c r="D818" t="s">
        <v>88</v>
      </c>
      <c r="E818">
        <v>72159</v>
      </c>
      <c r="F818">
        <v>2346</v>
      </c>
      <c r="H818">
        <v>0.35506604237237116</v>
      </c>
      <c r="K818">
        <v>0</v>
      </c>
    </row>
    <row r="819" spans="1:11" x14ac:dyDescent="0.25">
      <c r="A819" t="s">
        <v>10</v>
      </c>
      <c r="B819" t="s">
        <v>844</v>
      </c>
      <c r="C819" t="s">
        <v>619</v>
      </c>
      <c r="D819" t="s">
        <v>88</v>
      </c>
      <c r="E819">
        <v>72167</v>
      </c>
      <c r="F819">
        <v>4406</v>
      </c>
      <c r="H819">
        <v>0.15710004794785892</v>
      </c>
      <c r="K819">
        <v>0</v>
      </c>
    </row>
    <row r="820" spans="1:11" x14ac:dyDescent="0.25">
      <c r="A820" t="s">
        <v>10</v>
      </c>
      <c r="B820" t="s">
        <v>845</v>
      </c>
      <c r="C820" t="s">
        <v>619</v>
      </c>
      <c r="D820" t="s">
        <v>88</v>
      </c>
      <c r="E820">
        <v>72183</v>
      </c>
      <c r="F820">
        <v>2848</v>
      </c>
      <c r="H820">
        <v>3.4391487207386384E-2</v>
      </c>
      <c r="K820">
        <v>0</v>
      </c>
    </row>
    <row r="821" spans="1:11" x14ac:dyDescent="0.25">
      <c r="A821" t="s">
        <v>10</v>
      </c>
      <c r="B821" t="s">
        <v>846</v>
      </c>
      <c r="C821" t="s">
        <v>619</v>
      </c>
      <c r="D821" t="s">
        <v>88</v>
      </c>
      <c r="E821">
        <v>72191</v>
      </c>
      <c r="F821">
        <v>1069</v>
      </c>
      <c r="H821">
        <v>6.7573205403025693E-2</v>
      </c>
      <c r="K821">
        <v>0</v>
      </c>
    </row>
    <row r="822" spans="1:11" x14ac:dyDescent="0.25">
      <c r="A822" t="s">
        <v>10</v>
      </c>
      <c r="B822" t="s">
        <v>847</v>
      </c>
      <c r="C822" t="s">
        <v>619</v>
      </c>
      <c r="D822" t="s">
        <v>88</v>
      </c>
      <c r="E822">
        <v>72211</v>
      </c>
      <c r="F822">
        <v>3340</v>
      </c>
      <c r="H822">
        <v>0.20535555295360886</v>
      </c>
      <c r="K822">
        <v>0</v>
      </c>
    </row>
    <row r="823" spans="1:11" x14ac:dyDescent="0.25">
      <c r="A823" t="s">
        <v>10</v>
      </c>
      <c r="B823" t="s">
        <v>848</v>
      </c>
      <c r="C823" t="s">
        <v>619</v>
      </c>
      <c r="D823" t="s">
        <v>88</v>
      </c>
      <c r="E823">
        <v>72214</v>
      </c>
      <c r="F823">
        <v>750</v>
      </c>
      <c r="H823">
        <v>6.6217892406188805E-2</v>
      </c>
      <c r="K823">
        <v>0</v>
      </c>
    </row>
    <row r="824" spans="1:11" x14ac:dyDescent="0.25">
      <c r="A824" t="s">
        <v>10</v>
      </c>
      <c r="B824" t="s">
        <v>849</v>
      </c>
      <c r="C824" t="s">
        <v>619</v>
      </c>
      <c r="D824" t="s">
        <v>88</v>
      </c>
      <c r="E824">
        <v>72217</v>
      </c>
      <c r="F824">
        <v>919</v>
      </c>
      <c r="H824">
        <v>0.4785761047097491</v>
      </c>
      <c r="K824">
        <v>0</v>
      </c>
    </row>
    <row r="825" spans="1:11" x14ac:dyDescent="0.25">
      <c r="A825" t="s">
        <v>10</v>
      </c>
      <c r="B825" t="s">
        <v>850</v>
      </c>
      <c r="C825" t="s">
        <v>619</v>
      </c>
      <c r="D825" t="s">
        <v>88</v>
      </c>
      <c r="E825">
        <v>72221</v>
      </c>
      <c r="F825">
        <v>1456</v>
      </c>
      <c r="H825">
        <v>3.999225648650595E-2</v>
      </c>
      <c r="K825">
        <v>0</v>
      </c>
    </row>
    <row r="826" spans="1:11" x14ac:dyDescent="0.25">
      <c r="A826" t="s">
        <v>10</v>
      </c>
      <c r="B826" t="s">
        <v>851</v>
      </c>
      <c r="C826" t="s">
        <v>619</v>
      </c>
      <c r="D826" t="s">
        <v>88</v>
      </c>
      <c r="E826">
        <v>72224</v>
      </c>
      <c r="F826">
        <v>888</v>
      </c>
      <c r="H826">
        <v>4.2890403660952203E-2</v>
      </c>
      <c r="K826">
        <v>0</v>
      </c>
    </row>
    <row r="827" spans="1:11" x14ac:dyDescent="0.25">
      <c r="A827" t="s">
        <v>10</v>
      </c>
      <c r="B827" t="s">
        <v>852</v>
      </c>
      <c r="C827" t="s">
        <v>619</v>
      </c>
      <c r="D827" t="s">
        <v>88</v>
      </c>
      <c r="E827">
        <v>72227</v>
      </c>
      <c r="F827">
        <v>1442</v>
      </c>
      <c r="H827">
        <v>0.13697062452076048</v>
      </c>
      <c r="K827">
        <v>0</v>
      </c>
    </row>
    <row r="828" spans="1:11" x14ac:dyDescent="0.25">
      <c r="A828" t="s">
        <v>10</v>
      </c>
      <c r="B828" t="s">
        <v>853</v>
      </c>
      <c r="C828" t="s">
        <v>619</v>
      </c>
      <c r="D828" t="s">
        <v>88</v>
      </c>
      <c r="E828">
        <v>72229</v>
      </c>
      <c r="F828">
        <v>4390</v>
      </c>
      <c r="H828">
        <v>3.4488895668688402E-2</v>
      </c>
      <c r="K828">
        <v>0</v>
      </c>
    </row>
    <row r="829" spans="1:11" x14ac:dyDescent="0.25">
      <c r="A829" t="s">
        <v>10</v>
      </c>
      <c r="B829" t="s">
        <v>854</v>
      </c>
      <c r="C829" t="s">
        <v>619</v>
      </c>
      <c r="D829" t="s">
        <v>88</v>
      </c>
      <c r="E829">
        <v>72231</v>
      </c>
      <c r="F829">
        <v>2145</v>
      </c>
      <c r="H829">
        <v>5.1743993392362575E-2</v>
      </c>
      <c r="K829">
        <v>0</v>
      </c>
    </row>
    <row r="830" spans="1:11" x14ac:dyDescent="0.25">
      <c r="A830" t="s">
        <v>10</v>
      </c>
      <c r="B830" t="s">
        <v>855</v>
      </c>
      <c r="C830" t="s">
        <v>619</v>
      </c>
      <c r="D830" t="s">
        <v>88</v>
      </c>
      <c r="E830">
        <v>72234</v>
      </c>
      <c r="F830">
        <v>1748</v>
      </c>
      <c r="H830">
        <v>5.3277803379150002E-2</v>
      </c>
      <c r="K830">
        <v>0</v>
      </c>
    </row>
    <row r="831" spans="1:11" x14ac:dyDescent="0.25">
      <c r="A831" t="s">
        <v>10</v>
      </c>
      <c r="B831" t="s">
        <v>856</v>
      </c>
      <c r="C831" t="s">
        <v>619</v>
      </c>
      <c r="D831" t="s">
        <v>88</v>
      </c>
      <c r="E831">
        <v>72237</v>
      </c>
      <c r="F831">
        <v>320</v>
      </c>
      <c r="H831">
        <v>4.6879737674607624E-2</v>
      </c>
      <c r="K831">
        <v>0</v>
      </c>
    </row>
    <row r="832" spans="1:11" x14ac:dyDescent="0.25">
      <c r="A832" t="s">
        <v>10</v>
      </c>
      <c r="B832" t="s">
        <v>857</v>
      </c>
      <c r="C832" t="s">
        <v>619</v>
      </c>
      <c r="D832" t="s">
        <v>88</v>
      </c>
      <c r="E832">
        <v>72241</v>
      </c>
      <c r="F832">
        <v>3538</v>
      </c>
      <c r="H832">
        <v>2.9950855240392982E-2</v>
      </c>
      <c r="K832">
        <v>0</v>
      </c>
    </row>
    <row r="833" spans="1:11" x14ac:dyDescent="0.25">
      <c r="A833" t="s">
        <v>10</v>
      </c>
      <c r="B833" t="s">
        <v>858</v>
      </c>
      <c r="C833" t="s">
        <v>619</v>
      </c>
      <c r="D833" t="s">
        <v>88</v>
      </c>
      <c r="E833">
        <v>72244</v>
      </c>
      <c r="F833">
        <v>2053</v>
      </c>
      <c r="H833">
        <v>4.7196158692526025E-2</v>
      </c>
      <c r="K833">
        <v>0</v>
      </c>
    </row>
    <row r="834" spans="1:11" x14ac:dyDescent="0.25">
      <c r="A834" t="s">
        <v>10</v>
      </c>
      <c r="B834" t="s">
        <v>859</v>
      </c>
      <c r="C834" t="s">
        <v>619</v>
      </c>
      <c r="D834" t="s">
        <v>88</v>
      </c>
      <c r="E834">
        <v>72247</v>
      </c>
      <c r="F834">
        <v>2416</v>
      </c>
      <c r="H834">
        <v>8.3190379467444453E-2</v>
      </c>
      <c r="K834">
        <v>0</v>
      </c>
    </row>
    <row r="835" spans="1:11" x14ac:dyDescent="0.25">
      <c r="A835" t="s">
        <v>10</v>
      </c>
      <c r="B835" t="s">
        <v>860</v>
      </c>
      <c r="C835" t="s">
        <v>619</v>
      </c>
      <c r="D835" t="s">
        <v>88</v>
      </c>
      <c r="E835">
        <v>72251</v>
      </c>
      <c r="F835">
        <v>434</v>
      </c>
      <c r="H835">
        <v>4.790020639153203E-2</v>
      </c>
      <c r="K835">
        <v>0</v>
      </c>
    </row>
    <row r="836" spans="1:11" x14ac:dyDescent="0.25">
      <c r="A836" t="s">
        <v>10</v>
      </c>
      <c r="B836" t="s">
        <v>861</v>
      </c>
      <c r="C836" t="s">
        <v>619</v>
      </c>
      <c r="D836" t="s">
        <v>88</v>
      </c>
      <c r="E836">
        <v>72254</v>
      </c>
      <c r="F836">
        <v>450</v>
      </c>
      <c r="H836">
        <v>4.5172524648402046E-2</v>
      </c>
      <c r="K836">
        <v>0</v>
      </c>
    </row>
    <row r="837" spans="1:11" x14ac:dyDescent="0.25">
      <c r="A837" t="s">
        <v>10</v>
      </c>
      <c r="B837" t="s">
        <v>862</v>
      </c>
      <c r="C837" t="s">
        <v>619</v>
      </c>
      <c r="D837" t="s">
        <v>88</v>
      </c>
      <c r="E837">
        <v>72257</v>
      </c>
      <c r="F837">
        <v>1466</v>
      </c>
      <c r="H837">
        <v>3.5882729374849043E-2</v>
      </c>
      <c r="K837">
        <v>0</v>
      </c>
    </row>
    <row r="838" spans="1:11" x14ac:dyDescent="0.25">
      <c r="A838" t="s">
        <v>10</v>
      </c>
      <c r="B838" t="s">
        <v>863</v>
      </c>
      <c r="C838" t="s">
        <v>619</v>
      </c>
      <c r="D838" t="s">
        <v>88</v>
      </c>
      <c r="E838">
        <v>72261</v>
      </c>
      <c r="F838">
        <v>775</v>
      </c>
      <c r="H838">
        <v>3.5618377122949574E-2</v>
      </c>
      <c r="K838">
        <v>0</v>
      </c>
    </row>
    <row r="839" spans="1:11" x14ac:dyDescent="0.25">
      <c r="A839" t="s">
        <v>10</v>
      </c>
      <c r="B839" t="s">
        <v>864</v>
      </c>
      <c r="C839" t="s">
        <v>619</v>
      </c>
      <c r="D839" t="s">
        <v>88</v>
      </c>
      <c r="E839">
        <v>72264</v>
      </c>
      <c r="F839">
        <v>812</v>
      </c>
      <c r="H839">
        <v>5.5608888888889152E-2</v>
      </c>
      <c r="K839">
        <v>0</v>
      </c>
    </row>
    <row r="840" spans="1:11" x14ac:dyDescent="0.25">
      <c r="A840" t="s">
        <v>10</v>
      </c>
      <c r="B840" t="s">
        <v>865</v>
      </c>
      <c r="C840" t="s">
        <v>619</v>
      </c>
      <c r="D840" t="s">
        <v>88</v>
      </c>
      <c r="E840">
        <v>72267</v>
      </c>
      <c r="F840">
        <v>79</v>
      </c>
      <c r="H840">
        <v>3.2351774356611851E-2</v>
      </c>
      <c r="K840">
        <v>0</v>
      </c>
    </row>
    <row r="841" spans="1:11" x14ac:dyDescent="0.25">
      <c r="A841" t="s">
        <v>10</v>
      </c>
      <c r="B841" t="s">
        <v>866</v>
      </c>
      <c r="C841" t="s">
        <v>619</v>
      </c>
      <c r="D841" t="s">
        <v>88</v>
      </c>
      <c r="E841">
        <v>72271</v>
      </c>
      <c r="F841">
        <v>41</v>
      </c>
      <c r="H841">
        <v>4.4202094906432232E-2</v>
      </c>
      <c r="K841">
        <v>0</v>
      </c>
    </row>
    <row r="842" spans="1:11" x14ac:dyDescent="0.25">
      <c r="A842" t="s">
        <v>10</v>
      </c>
      <c r="B842" t="s">
        <v>867</v>
      </c>
      <c r="C842" t="s">
        <v>619</v>
      </c>
      <c r="D842" t="s">
        <v>88</v>
      </c>
      <c r="E842">
        <v>72274</v>
      </c>
      <c r="F842">
        <v>650</v>
      </c>
      <c r="H842">
        <v>8.0929403641842868E-2</v>
      </c>
      <c r="K842">
        <v>0</v>
      </c>
    </row>
    <row r="843" spans="1:11" x14ac:dyDescent="0.25">
      <c r="A843" t="s">
        <v>10</v>
      </c>
      <c r="B843" t="s">
        <v>868</v>
      </c>
      <c r="C843" t="s">
        <v>619</v>
      </c>
      <c r="D843" t="s">
        <v>88</v>
      </c>
      <c r="E843">
        <v>72276</v>
      </c>
      <c r="F843">
        <v>820</v>
      </c>
      <c r="H843">
        <v>3.7178140264932935E-2</v>
      </c>
      <c r="K843">
        <v>0</v>
      </c>
    </row>
    <row r="844" spans="1:11" x14ac:dyDescent="0.25">
      <c r="A844" t="s">
        <v>10</v>
      </c>
      <c r="B844" t="s">
        <v>869</v>
      </c>
      <c r="C844" t="s">
        <v>619</v>
      </c>
      <c r="D844" t="s">
        <v>88</v>
      </c>
      <c r="E844">
        <v>72277</v>
      </c>
      <c r="F844">
        <v>1687</v>
      </c>
      <c r="H844">
        <v>2.870911706132584E-2</v>
      </c>
      <c r="K844">
        <v>0</v>
      </c>
    </row>
    <row r="845" spans="1:11" x14ac:dyDescent="0.25">
      <c r="A845" t="s">
        <v>10</v>
      </c>
      <c r="B845" t="s">
        <v>870</v>
      </c>
      <c r="C845" t="s">
        <v>619</v>
      </c>
      <c r="D845" t="s">
        <v>88</v>
      </c>
      <c r="E845">
        <v>72281</v>
      </c>
      <c r="F845">
        <v>1454</v>
      </c>
      <c r="H845">
        <v>0.15662845321618235</v>
      </c>
      <c r="K845">
        <v>0</v>
      </c>
    </row>
    <row r="846" spans="1:11" x14ac:dyDescent="0.25">
      <c r="A846" t="s">
        <v>10</v>
      </c>
      <c r="B846" t="s">
        <v>871</v>
      </c>
      <c r="C846" t="s">
        <v>619</v>
      </c>
      <c r="D846" t="s">
        <v>88</v>
      </c>
      <c r="E846">
        <v>72284</v>
      </c>
      <c r="F846">
        <v>41</v>
      </c>
      <c r="H846">
        <v>5.1953515153321805E-2</v>
      </c>
      <c r="K846">
        <v>0</v>
      </c>
    </row>
    <row r="847" spans="1:11" x14ac:dyDescent="0.25">
      <c r="A847" t="s">
        <v>10</v>
      </c>
      <c r="B847" t="s">
        <v>872</v>
      </c>
      <c r="C847" t="s">
        <v>619</v>
      </c>
      <c r="D847" t="s">
        <v>88</v>
      </c>
      <c r="E847">
        <v>72287</v>
      </c>
      <c r="F847">
        <v>1879</v>
      </c>
      <c r="H847">
        <v>4.7482728277947084E-2</v>
      </c>
      <c r="K847">
        <v>0</v>
      </c>
    </row>
    <row r="848" spans="1:11" x14ac:dyDescent="0.25">
      <c r="A848" t="s">
        <v>10</v>
      </c>
      <c r="B848" t="s">
        <v>873</v>
      </c>
      <c r="C848" t="s">
        <v>619</v>
      </c>
      <c r="D848" t="s">
        <v>88</v>
      </c>
      <c r="E848">
        <v>72291</v>
      </c>
      <c r="F848">
        <v>565</v>
      </c>
      <c r="H848">
        <v>0.1616677805488993</v>
      </c>
      <c r="K848">
        <v>0</v>
      </c>
    </row>
    <row r="849" spans="1:11" x14ac:dyDescent="0.25">
      <c r="A849" t="s">
        <v>10</v>
      </c>
      <c r="B849" t="s">
        <v>874</v>
      </c>
      <c r="C849" t="s">
        <v>234</v>
      </c>
      <c r="D849" t="s">
        <v>88</v>
      </c>
      <c r="E849">
        <v>73116</v>
      </c>
      <c r="F849">
        <v>67</v>
      </c>
      <c r="H849">
        <v>0.43322268509334561</v>
      </c>
      <c r="K849">
        <v>0</v>
      </c>
    </row>
    <row r="850" spans="1:11" x14ac:dyDescent="0.25">
      <c r="A850" t="s">
        <v>10</v>
      </c>
      <c r="B850" t="s">
        <v>875</v>
      </c>
      <c r="C850" t="s">
        <v>234</v>
      </c>
      <c r="D850" t="s">
        <v>88</v>
      </c>
      <c r="E850">
        <v>73119</v>
      </c>
      <c r="F850">
        <v>686</v>
      </c>
      <c r="H850">
        <v>0.24130088913005687</v>
      </c>
      <c r="K850">
        <v>0</v>
      </c>
    </row>
    <row r="851" spans="1:11" x14ac:dyDescent="0.25">
      <c r="A851" t="s">
        <v>10</v>
      </c>
      <c r="B851" t="s">
        <v>876</v>
      </c>
      <c r="C851" t="s">
        <v>234</v>
      </c>
      <c r="D851" t="s">
        <v>88</v>
      </c>
      <c r="E851">
        <v>73127</v>
      </c>
      <c r="F851">
        <v>2354</v>
      </c>
      <c r="H851">
        <v>0.69986325325257615</v>
      </c>
      <c r="K851">
        <v>0</v>
      </c>
    </row>
    <row r="852" spans="1:11" x14ac:dyDescent="0.25">
      <c r="A852" t="s">
        <v>10</v>
      </c>
      <c r="B852" t="s">
        <v>877</v>
      </c>
      <c r="C852" t="s">
        <v>234</v>
      </c>
      <c r="D852" t="s">
        <v>88</v>
      </c>
      <c r="E852">
        <v>73146</v>
      </c>
      <c r="F852">
        <v>423</v>
      </c>
      <c r="H852">
        <v>0.64466667444601322</v>
      </c>
      <c r="K852">
        <v>0</v>
      </c>
    </row>
    <row r="853" spans="1:11" x14ac:dyDescent="0.25">
      <c r="A853" t="s">
        <v>10</v>
      </c>
      <c r="B853" t="s">
        <v>878</v>
      </c>
      <c r="C853" t="s">
        <v>234</v>
      </c>
      <c r="D853" t="s">
        <v>88</v>
      </c>
      <c r="E853">
        <v>73151</v>
      </c>
      <c r="F853">
        <v>1970</v>
      </c>
      <c r="H853">
        <v>0.15621667530250405</v>
      </c>
      <c r="K853">
        <v>0</v>
      </c>
    </row>
    <row r="854" spans="1:11" x14ac:dyDescent="0.25">
      <c r="A854" t="s">
        <v>10</v>
      </c>
      <c r="B854" t="s">
        <v>879</v>
      </c>
      <c r="C854" t="s">
        <v>234</v>
      </c>
      <c r="D854" t="s">
        <v>88</v>
      </c>
      <c r="E854">
        <v>73159</v>
      </c>
      <c r="F854">
        <v>4115</v>
      </c>
      <c r="H854">
        <v>0.15583613278870645</v>
      </c>
      <c r="K854">
        <v>0</v>
      </c>
    </row>
    <row r="855" spans="1:11" x14ac:dyDescent="0.25">
      <c r="A855" t="s">
        <v>10</v>
      </c>
      <c r="B855" t="s">
        <v>880</v>
      </c>
      <c r="C855" t="s">
        <v>234</v>
      </c>
      <c r="D855" t="s">
        <v>88</v>
      </c>
      <c r="E855">
        <v>73167</v>
      </c>
      <c r="F855">
        <v>597</v>
      </c>
      <c r="H855">
        <v>0.73516103273888744</v>
      </c>
      <c r="K855">
        <v>0</v>
      </c>
    </row>
    <row r="856" spans="1:11" x14ac:dyDescent="0.25">
      <c r="A856" t="s">
        <v>10</v>
      </c>
      <c r="B856" t="s">
        <v>881</v>
      </c>
      <c r="C856" t="s">
        <v>234</v>
      </c>
      <c r="D856" t="s">
        <v>88</v>
      </c>
      <c r="E856">
        <v>73175</v>
      </c>
      <c r="F856">
        <v>228</v>
      </c>
      <c r="H856">
        <v>0.48953871303616414</v>
      </c>
      <c r="K856">
        <v>0</v>
      </c>
    </row>
    <row r="857" spans="1:11" x14ac:dyDescent="0.25">
      <c r="A857" t="s">
        <v>10</v>
      </c>
      <c r="B857" t="s">
        <v>882</v>
      </c>
      <c r="C857" t="s">
        <v>234</v>
      </c>
      <c r="D857" t="s">
        <v>88</v>
      </c>
      <c r="E857">
        <v>73211</v>
      </c>
      <c r="F857">
        <v>1129</v>
      </c>
      <c r="H857">
        <v>5.9106853460580866E-2</v>
      </c>
      <c r="K857">
        <v>0</v>
      </c>
    </row>
    <row r="858" spans="1:11" x14ac:dyDescent="0.25">
      <c r="A858" t="s">
        <v>10</v>
      </c>
      <c r="B858" t="s">
        <v>883</v>
      </c>
      <c r="C858" t="s">
        <v>234</v>
      </c>
      <c r="D858" t="s">
        <v>88</v>
      </c>
      <c r="E858">
        <v>73226</v>
      </c>
      <c r="F858">
        <v>120</v>
      </c>
      <c r="H858">
        <v>3.0872989680075236E-2</v>
      </c>
      <c r="K858">
        <v>0</v>
      </c>
    </row>
    <row r="859" spans="1:11" x14ac:dyDescent="0.25">
      <c r="A859" t="s">
        <v>10</v>
      </c>
      <c r="B859" t="s">
        <v>884</v>
      </c>
      <c r="C859" t="s">
        <v>234</v>
      </c>
      <c r="D859" t="s">
        <v>88</v>
      </c>
      <c r="E859">
        <v>73228</v>
      </c>
      <c r="F859">
        <v>2449</v>
      </c>
      <c r="H859">
        <v>5.1709167850729876E-2</v>
      </c>
      <c r="K859">
        <v>0</v>
      </c>
    </row>
    <row r="860" spans="1:11" x14ac:dyDescent="0.25">
      <c r="A860" t="s">
        <v>10</v>
      </c>
      <c r="B860" t="s">
        <v>885</v>
      </c>
      <c r="C860" t="s">
        <v>234</v>
      </c>
      <c r="D860" t="s">
        <v>88</v>
      </c>
      <c r="E860">
        <v>73230</v>
      </c>
      <c r="F860">
        <v>339</v>
      </c>
      <c r="H860">
        <v>4.0170743059691039E-2</v>
      </c>
      <c r="K860">
        <v>0</v>
      </c>
    </row>
    <row r="861" spans="1:11" x14ac:dyDescent="0.25">
      <c r="A861" t="s">
        <v>10</v>
      </c>
      <c r="B861" t="s">
        <v>886</v>
      </c>
      <c r="C861" t="s">
        <v>234</v>
      </c>
      <c r="D861" t="s">
        <v>88</v>
      </c>
      <c r="E861">
        <v>73234</v>
      </c>
      <c r="F861">
        <v>1733</v>
      </c>
      <c r="H861">
        <v>3.0036307672330342E-2</v>
      </c>
      <c r="K861">
        <v>0</v>
      </c>
    </row>
    <row r="862" spans="1:11" x14ac:dyDescent="0.25">
      <c r="A862" t="s">
        <v>10</v>
      </c>
      <c r="B862" t="s">
        <v>887</v>
      </c>
      <c r="C862" t="s">
        <v>234</v>
      </c>
      <c r="D862" t="s">
        <v>88</v>
      </c>
      <c r="E862">
        <v>73244</v>
      </c>
      <c r="F862">
        <v>283</v>
      </c>
      <c r="H862">
        <v>3.4056255839879812E-2</v>
      </c>
      <c r="K862">
        <v>0</v>
      </c>
    </row>
    <row r="863" spans="1:11" x14ac:dyDescent="0.25">
      <c r="A863" t="s">
        <v>10</v>
      </c>
      <c r="B863" t="s">
        <v>888</v>
      </c>
      <c r="C863" t="s">
        <v>234</v>
      </c>
      <c r="D863" t="s">
        <v>88</v>
      </c>
      <c r="E863">
        <v>73245</v>
      </c>
      <c r="F863">
        <v>843</v>
      </c>
      <c r="H863">
        <v>3.6387093028519502E-2</v>
      </c>
      <c r="K863">
        <v>0</v>
      </c>
    </row>
    <row r="864" spans="1:11" x14ac:dyDescent="0.25">
      <c r="A864" t="s">
        <v>10</v>
      </c>
      <c r="B864" t="s">
        <v>889</v>
      </c>
      <c r="C864" t="s">
        <v>234</v>
      </c>
      <c r="D864" t="s">
        <v>88</v>
      </c>
      <c r="E864">
        <v>73248</v>
      </c>
      <c r="F864">
        <v>325</v>
      </c>
      <c r="H864">
        <v>4.5405840600043934E-2</v>
      </c>
      <c r="K864">
        <v>0</v>
      </c>
    </row>
    <row r="865" spans="1:11" x14ac:dyDescent="0.25">
      <c r="A865" t="s">
        <v>10</v>
      </c>
      <c r="B865" t="s">
        <v>890</v>
      </c>
      <c r="C865" t="s">
        <v>234</v>
      </c>
      <c r="D865" t="s">
        <v>88</v>
      </c>
      <c r="E865">
        <v>73250</v>
      </c>
      <c r="F865">
        <v>1782</v>
      </c>
      <c r="H865">
        <v>3.907134763318354E-2</v>
      </c>
      <c r="K865">
        <v>0</v>
      </c>
    </row>
    <row r="866" spans="1:11" x14ac:dyDescent="0.25">
      <c r="A866" t="s">
        <v>10</v>
      </c>
      <c r="B866" t="s">
        <v>891</v>
      </c>
      <c r="C866" t="s">
        <v>234</v>
      </c>
      <c r="D866" t="s">
        <v>88</v>
      </c>
      <c r="E866">
        <v>73257</v>
      </c>
      <c r="F866">
        <v>293</v>
      </c>
      <c r="H866">
        <v>6.6153263476833812E-2</v>
      </c>
      <c r="K866">
        <v>0</v>
      </c>
    </row>
    <row r="867" spans="1:11" x14ac:dyDescent="0.25">
      <c r="A867" t="s">
        <v>10</v>
      </c>
      <c r="B867" t="s">
        <v>892</v>
      </c>
      <c r="C867" t="s">
        <v>234</v>
      </c>
      <c r="D867" t="s">
        <v>88</v>
      </c>
      <c r="E867">
        <v>73262</v>
      </c>
      <c r="F867">
        <v>1109</v>
      </c>
      <c r="H867">
        <v>3.9082384654542279E-2</v>
      </c>
      <c r="K867">
        <v>0</v>
      </c>
    </row>
    <row r="868" spans="1:11" x14ac:dyDescent="0.25">
      <c r="A868" t="s">
        <v>10</v>
      </c>
      <c r="B868" t="s">
        <v>893</v>
      </c>
      <c r="C868" t="s">
        <v>85</v>
      </c>
      <c r="D868" t="s">
        <v>85</v>
      </c>
      <c r="E868">
        <v>35135</v>
      </c>
      <c r="F868">
        <v>759</v>
      </c>
      <c r="H868">
        <v>0.54985581512625381</v>
      </c>
      <c r="K868">
        <v>0</v>
      </c>
    </row>
    <row r="869" spans="1:11" x14ac:dyDescent="0.25">
      <c r="A869" t="s">
        <v>10</v>
      </c>
      <c r="B869" t="s">
        <v>894</v>
      </c>
      <c r="C869" t="s">
        <v>234</v>
      </c>
      <c r="D869" t="s">
        <v>88</v>
      </c>
      <c r="E869">
        <v>73276</v>
      </c>
      <c r="F869">
        <v>68</v>
      </c>
      <c r="H869">
        <v>4.0369916056135269E-2</v>
      </c>
      <c r="K869">
        <v>0</v>
      </c>
    </row>
    <row r="870" spans="1:11" x14ac:dyDescent="0.25">
      <c r="A870" t="s">
        <v>10</v>
      </c>
      <c r="B870" t="s">
        <v>895</v>
      </c>
      <c r="C870" t="s">
        <v>234</v>
      </c>
      <c r="D870" t="s">
        <v>88</v>
      </c>
      <c r="E870">
        <v>73279</v>
      </c>
      <c r="F870">
        <v>2356</v>
      </c>
      <c r="H870">
        <v>3.7328020490848601E-2</v>
      </c>
      <c r="K870">
        <v>0</v>
      </c>
    </row>
    <row r="871" spans="1:11" x14ac:dyDescent="0.25">
      <c r="A871" t="s">
        <v>10</v>
      </c>
      <c r="B871" t="s">
        <v>896</v>
      </c>
      <c r="C871" t="s">
        <v>234</v>
      </c>
      <c r="D871" t="s">
        <v>88</v>
      </c>
      <c r="E871">
        <v>73282</v>
      </c>
      <c r="F871">
        <v>1643</v>
      </c>
      <c r="H871">
        <v>2.1390528046876134E-2</v>
      </c>
      <c r="K871">
        <v>0</v>
      </c>
    </row>
    <row r="872" spans="1:11" x14ac:dyDescent="0.25">
      <c r="A872" t="s">
        <v>10</v>
      </c>
      <c r="B872" t="s">
        <v>897</v>
      </c>
      <c r="C872" t="s">
        <v>234</v>
      </c>
      <c r="D872" t="s">
        <v>88</v>
      </c>
      <c r="E872">
        <v>73288</v>
      </c>
      <c r="F872">
        <v>855</v>
      </c>
      <c r="H872">
        <v>3.5005816059953232E-2</v>
      </c>
      <c r="K872">
        <v>0</v>
      </c>
    </row>
    <row r="873" spans="1:11" x14ac:dyDescent="0.25">
      <c r="A873" t="s">
        <v>10</v>
      </c>
      <c r="B873" t="s">
        <v>898</v>
      </c>
      <c r="C873" t="s">
        <v>234</v>
      </c>
      <c r="D873" t="s">
        <v>88</v>
      </c>
      <c r="E873">
        <v>73293</v>
      </c>
      <c r="F873">
        <v>12</v>
      </c>
      <c r="H873">
        <v>0.17999999999999994</v>
      </c>
      <c r="K873">
        <v>0</v>
      </c>
    </row>
    <row r="874" spans="1:11" x14ac:dyDescent="0.25">
      <c r="A874" t="s">
        <v>10</v>
      </c>
      <c r="B874" t="s">
        <v>899</v>
      </c>
      <c r="C874" t="s">
        <v>87</v>
      </c>
      <c r="D874" t="s">
        <v>88</v>
      </c>
      <c r="E874">
        <v>74112</v>
      </c>
      <c r="F874">
        <v>66</v>
      </c>
      <c r="H874">
        <v>0.48379766012961878</v>
      </c>
      <c r="K874">
        <v>0</v>
      </c>
    </row>
    <row r="875" spans="1:11" x14ac:dyDescent="0.25">
      <c r="A875" t="s">
        <v>10</v>
      </c>
      <c r="B875" t="s">
        <v>900</v>
      </c>
      <c r="C875" t="s">
        <v>87</v>
      </c>
      <c r="D875" t="s">
        <v>88</v>
      </c>
      <c r="E875">
        <v>74114</v>
      </c>
      <c r="F875">
        <v>904</v>
      </c>
      <c r="H875">
        <v>7.056187610472775E-3</v>
      </c>
      <c r="K875">
        <v>48</v>
      </c>
    </row>
    <row r="876" spans="1:11" x14ac:dyDescent="0.25">
      <c r="A876" t="s">
        <v>10</v>
      </c>
      <c r="B876" t="s">
        <v>901</v>
      </c>
      <c r="C876" t="s">
        <v>87</v>
      </c>
      <c r="D876" t="s">
        <v>88</v>
      </c>
      <c r="E876">
        <v>74116</v>
      </c>
      <c r="F876">
        <v>673</v>
      </c>
      <c r="H876">
        <v>0.15653748486057395</v>
      </c>
      <c r="K876">
        <v>0</v>
      </c>
    </row>
    <row r="877" spans="1:11" x14ac:dyDescent="0.25">
      <c r="A877" t="s">
        <v>10</v>
      </c>
      <c r="B877" t="s">
        <v>902</v>
      </c>
      <c r="C877" t="s">
        <v>87</v>
      </c>
      <c r="D877" t="s">
        <v>88</v>
      </c>
      <c r="E877">
        <v>74118</v>
      </c>
      <c r="F877">
        <v>602</v>
      </c>
      <c r="H877">
        <v>0.67676012549779041</v>
      </c>
      <c r="K877">
        <v>0</v>
      </c>
    </row>
    <row r="878" spans="1:11" x14ac:dyDescent="0.25">
      <c r="A878" t="s">
        <v>10</v>
      </c>
      <c r="B878" t="s">
        <v>903</v>
      </c>
      <c r="C878" t="s">
        <v>87</v>
      </c>
      <c r="D878" t="s">
        <v>88</v>
      </c>
      <c r="E878">
        <v>74122</v>
      </c>
      <c r="F878">
        <v>1742</v>
      </c>
      <c r="H878">
        <v>8.0909898603630293E-2</v>
      </c>
      <c r="K878">
        <v>0</v>
      </c>
    </row>
    <row r="879" spans="1:11" x14ac:dyDescent="0.25">
      <c r="A879" t="s">
        <v>10</v>
      </c>
      <c r="B879" t="s">
        <v>904</v>
      </c>
      <c r="C879" t="s">
        <v>87</v>
      </c>
      <c r="D879" t="s">
        <v>88</v>
      </c>
      <c r="E879">
        <v>74126</v>
      </c>
      <c r="F879">
        <v>1856</v>
      </c>
      <c r="H879">
        <v>0.13878296835873538</v>
      </c>
      <c r="K879">
        <v>56</v>
      </c>
    </row>
    <row r="880" spans="1:11" x14ac:dyDescent="0.25">
      <c r="A880" t="s">
        <v>10</v>
      </c>
      <c r="B880" t="s">
        <v>905</v>
      </c>
      <c r="C880" t="s">
        <v>87</v>
      </c>
      <c r="D880" t="s">
        <v>88</v>
      </c>
      <c r="E880">
        <v>74128</v>
      </c>
      <c r="F880">
        <v>1144</v>
      </c>
      <c r="H880">
        <v>0.25985248528717841</v>
      </c>
      <c r="K880">
        <v>0</v>
      </c>
    </row>
    <row r="881" spans="1:11" x14ac:dyDescent="0.25">
      <c r="A881" t="s">
        <v>10</v>
      </c>
      <c r="B881" t="s">
        <v>906</v>
      </c>
      <c r="C881" t="s">
        <v>87</v>
      </c>
      <c r="D881" t="s">
        <v>88</v>
      </c>
      <c r="E881">
        <v>74130</v>
      </c>
      <c r="F881">
        <v>4959</v>
      </c>
      <c r="H881">
        <v>0.12463945494676876</v>
      </c>
      <c r="K881">
        <v>0</v>
      </c>
    </row>
    <row r="882" spans="1:11" x14ac:dyDescent="0.25">
      <c r="A882" t="s">
        <v>10</v>
      </c>
      <c r="B882" t="s">
        <v>907</v>
      </c>
      <c r="C882" t="s">
        <v>87</v>
      </c>
      <c r="D882" t="s">
        <v>88</v>
      </c>
      <c r="E882">
        <v>74155</v>
      </c>
      <c r="F882">
        <v>112</v>
      </c>
      <c r="H882">
        <v>0</v>
      </c>
      <c r="K882">
        <v>0</v>
      </c>
    </row>
    <row r="883" spans="1:11" x14ac:dyDescent="0.25">
      <c r="A883" t="s">
        <v>10</v>
      </c>
      <c r="B883" t="s">
        <v>908</v>
      </c>
      <c r="C883" t="s">
        <v>87</v>
      </c>
      <c r="D883" t="s">
        <v>88</v>
      </c>
      <c r="E883">
        <v>74158</v>
      </c>
      <c r="F883">
        <v>1074</v>
      </c>
      <c r="H883">
        <v>0.26849079287926803</v>
      </c>
      <c r="K883">
        <v>0</v>
      </c>
    </row>
    <row r="884" spans="1:11" x14ac:dyDescent="0.25">
      <c r="A884" t="s">
        <v>10</v>
      </c>
      <c r="B884" t="s">
        <v>909</v>
      </c>
      <c r="C884" t="s">
        <v>87</v>
      </c>
      <c r="D884" t="s">
        <v>88</v>
      </c>
      <c r="E884">
        <v>74160</v>
      </c>
      <c r="F884">
        <v>1565</v>
      </c>
      <c r="H884">
        <v>0.10535488025343909</v>
      </c>
      <c r="K884">
        <v>0</v>
      </c>
    </row>
    <row r="885" spans="1:11" x14ac:dyDescent="0.25">
      <c r="A885" t="s">
        <v>10</v>
      </c>
      <c r="B885" t="s">
        <v>910</v>
      </c>
      <c r="C885" t="s">
        <v>87</v>
      </c>
      <c r="D885" t="s">
        <v>88</v>
      </c>
      <c r="E885">
        <v>74168</v>
      </c>
      <c r="F885">
        <v>883</v>
      </c>
      <c r="H885">
        <v>7.9355726136116633E-3</v>
      </c>
      <c r="K885">
        <v>0</v>
      </c>
    </row>
    <row r="886" spans="1:11" x14ac:dyDescent="0.25">
      <c r="A886" t="s">
        <v>10</v>
      </c>
      <c r="B886" t="s">
        <v>911</v>
      </c>
      <c r="C886" t="s">
        <v>87</v>
      </c>
      <c r="D886" t="s">
        <v>88</v>
      </c>
      <c r="E886">
        <v>74175</v>
      </c>
      <c r="F886">
        <v>1301</v>
      </c>
      <c r="H886">
        <v>0.5736203840408669</v>
      </c>
      <c r="K886">
        <v>70</v>
      </c>
    </row>
    <row r="887" spans="1:11" x14ac:dyDescent="0.25">
      <c r="A887" t="s">
        <v>10</v>
      </c>
      <c r="B887" t="s">
        <v>912</v>
      </c>
      <c r="C887" t="s">
        <v>87</v>
      </c>
      <c r="D887" t="s">
        <v>88</v>
      </c>
      <c r="E887">
        <v>74177</v>
      </c>
      <c r="F887">
        <v>74</v>
      </c>
      <c r="H887">
        <v>1.724007561436669E-2</v>
      </c>
      <c r="K887">
        <v>0</v>
      </c>
    </row>
    <row r="888" spans="1:11" x14ac:dyDescent="0.25">
      <c r="A888" t="s">
        <v>10</v>
      </c>
      <c r="B888" t="s">
        <v>913</v>
      </c>
      <c r="C888" t="s">
        <v>87</v>
      </c>
      <c r="D888" t="s">
        <v>88</v>
      </c>
      <c r="E888">
        <v>74179</v>
      </c>
      <c r="F888">
        <v>11</v>
      </c>
      <c r="H888">
        <v>8.3312164473572592E-2</v>
      </c>
      <c r="K888">
        <v>0</v>
      </c>
    </row>
    <row r="889" spans="1:11" x14ac:dyDescent="0.25">
      <c r="A889" t="s">
        <v>10</v>
      </c>
      <c r="B889" t="s">
        <v>914</v>
      </c>
      <c r="C889" t="s">
        <v>915</v>
      </c>
      <c r="D889" t="s">
        <v>916</v>
      </c>
      <c r="E889" s="2">
        <v>22111</v>
      </c>
      <c r="F889">
        <v>101213</v>
      </c>
      <c r="H889">
        <v>0.72392924426466365</v>
      </c>
      <c r="K889">
        <v>1064</v>
      </c>
    </row>
    <row r="890" spans="1:11" x14ac:dyDescent="0.25">
      <c r="A890" t="s">
        <v>10</v>
      </c>
      <c r="B890" t="s">
        <v>917</v>
      </c>
      <c r="C890" t="s">
        <v>918</v>
      </c>
      <c r="D890" t="s">
        <v>919</v>
      </c>
      <c r="E890" s="3">
        <v>37271</v>
      </c>
      <c r="F890">
        <v>31818</v>
      </c>
      <c r="H890">
        <v>0.16190388194377814</v>
      </c>
      <c r="K890">
        <v>0</v>
      </c>
    </row>
    <row r="891" spans="1:11" x14ac:dyDescent="0.25">
      <c r="A891" t="s">
        <v>10</v>
      </c>
      <c r="B891" t="s">
        <v>920</v>
      </c>
      <c r="C891" t="s">
        <v>921</v>
      </c>
      <c r="D891" t="s">
        <v>916</v>
      </c>
      <c r="E891" s="3">
        <v>23251</v>
      </c>
      <c r="F891">
        <v>23223</v>
      </c>
      <c r="H891">
        <v>5.6244943718160689E-2</v>
      </c>
      <c r="K891">
        <v>1662</v>
      </c>
    </row>
    <row r="892" spans="1:11" x14ac:dyDescent="0.25">
      <c r="A892" t="s">
        <v>10</v>
      </c>
      <c r="B892" t="s">
        <v>922</v>
      </c>
      <c r="C892" t="s">
        <v>921</v>
      </c>
      <c r="D892" t="s">
        <v>916</v>
      </c>
      <c r="E892" s="2">
        <v>23141</v>
      </c>
      <c r="F892">
        <v>17065</v>
      </c>
      <c r="H892">
        <v>7.7090347511454493E-2</v>
      </c>
      <c r="K892">
        <v>548</v>
      </c>
    </row>
    <row r="893" spans="1:11" x14ac:dyDescent="0.25">
      <c r="A893" t="s">
        <v>10</v>
      </c>
      <c r="B893" t="s">
        <v>923</v>
      </c>
      <c r="C893" t="s">
        <v>915</v>
      </c>
      <c r="D893" t="s">
        <v>916</v>
      </c>
      <c r="E893" s="2">
        <v>22228</v>
      </c>
      <c r="F893">
        <v>67773</v>
      </c>
      <c r="H893">
        <v>0.81932565009718106</v>
      </c>
      <c r="K893">
        <v>0</v>
      </c>
    </row>
    <row r="894" spans="1:11" x14ac:dyDescent="0.25">
      <c r="A894" t="s">
        <v>10</v>
      </c>
      <c r="B894" t="s">
        <v>924</v>
      </c>
      <c r="C894" t="s">
        <v>921</v>
      </c>
      <c r="D894" t="s">
        <v>916</v>
      </c>
      <c r="E894" s="3">
        <v>23211</v>
      </c>
      <c r="F894">
        <v>24657</v>
      </c>
      <c r="H894">
        <v>6.6710799524541509E-2</v>
      </c>
      <c r="K894">
        <v>991</v>
      </c>
    </row>
    <row r="895" spans="1:11" x14ac:dyDescent="0.25">
      <c r="A895" t="s">
        <v>10</v>
      </c>
      <c r="B895" t="s">
        <v>925</v>
      </c>
      <c r="C895" t="s">
        <v>921</v>
      </c>
      <c r="D895" t="s">
        <v>916</v>
      </c>
      <c r="E895" s="2">
        <v>23267</v>
      </c>
      <c r="F895">
        <v>8928</v>
      </c>
      <c r="H895">
        <v>0.5313993045176324</v>
      </c>
      <c r="K895">
        <v>943</v>
      </c>
    </row>
    <row r="896" spans="1:11" x14ac:dyDescent="0.25">
      <c r="A896" t="s">
        <v>10</v>
      </c>
      <c r="B896" t="s">
        <v>926</v>
      </c>
      <c r="C896" t="s">
        <v>921</v>
      </c>
      <c r="D896" t="s">
        <v>916</v>
      </c>
      <c r="E896" s="3">
        <v>23271</v>
      </c>
      <c r="F896">
        <v>4748</v>
      </c>
      <c r="H896">
        <v>0.47461374217312557</v>
      </c>
      <c r="K896">
        <v>0</v>
      </c>
    </row>
    <row r="897" spans="1:11" x14ac:dyDescent="0.25">
      <c r="A897" t="s">
        <v>10</v>
      </c>
      <c r="B897" t="s">
        <v>927</v>
      </c>
      <c r="C897" t="s">
        <v>921</v>
      </c>
      <c r="D897" t="s">
        <v>916</v>
      </c>
      <c r="E897" s="2">
        <v>23111</v>
      </c>
      <c r="F897">
        <v>5471</v>
      </c>
      <c r="H897">
        <v>0.26056557215787601</v>
      </c>
      <c r="K897">
        <v>377</v>
      </c>
    </row>
    <row r="898" spans="1:11" x14ac:dyDescent="0.25">
      <c r="A898" t="s">
        <v>10</v>
      </c>
      <c r="B898" t="s">
        <v>928</v>
      </c>
      <c r="C898" t="s">
        <v>915</v>
      </c>
      <c r="D898" t="s">
        <v>916</v>
      </c>
      <c r="E898" s="2">
        <v>22262</v>
      </c>
      <c r="F898">
        <v>26757</v>
      </c>
      <c r="H898">
        <v>0.76725867808966774</v>
      </c>
      <c r="K898">
        <v>2465</v>
      </c>
    </row>
    <row r="899" spans="1:11" x14ac:dyDescent="0.25">
      <c r="A899" t="s">
        <v>10</v>
      </c>
      <c r="B899" t="s">
        <v>929</v>
      </c>
      <c r="C899" t="s">
        <v>915</v>
      </c>
      <c r="D899" t="s">
        <v>916</v>
      </c>
      <c r="E899" s="3">
        <v>22155</v>
      </c>
      <c r="F899">
        <v>38488</v>
      </c>
      <c r="H899">
        <v>0.5527455506169825</v>
      </c>
      <c r="K899">
        <v>522</v>
      </c>
    </row>
    <row r="900" spans="1:11" x14ac:dyDescent="0.25">
      <c r="A900" t="s">
        <v>10</v>
      </c>
      <c r="B900" t="s">
        <v>930</v>
      </c>
      <c r="C900" t="s">
        <v>931</v>
      </c>
      <c r="D900" t="s">
        <v>919</v>
      </c>
      <c r="E900" s="2">
        <v>34188</v>
      </c>
      <c r="F900">
        <v>12273</v>
      </c>
      <c r="H900">
        <v>0.58636827664329882</v>
      </c>
      <c r="K900">
        <v>8</v>
      </c>
    </row>
    <row r="901" spans="1:11" x14ac:dyDescent="0.25">
      <c r="A901" t="s">
        <v>10</v>
      </c>
      <c r="B901" t="s">
        <v>932</v>
      </c>
      <c r="C901" t="s">
        <v>915</v>
      </c>
      <c r="D901" t="s">
        <v>916</v>
      </c>
      <c r="E901" s="3">
        <v>22419</v>
      </c>
      <c r="F901">
        <v>12788</v>
      </c>
      <c r="H901">
        <v>0.5765196460069667</v>
      </c>
      <c r="K901">
        <v>333</v>
      </c>
    </row>
    <row r="902" spans="1:11" x14ac:dyDescent="0.25">
      <c r="A902" t="s">
        <v>10</v>
      </c>
      <c r="B902" t="s">
        <v>933</v>
      </c>
      <c r="C902" t="s">
        <v>934</v>
      </c>
      <c r="D902" t="s">
        <v>919</v>
      </c>
      <c r="E902" s="2">
        <v>32119</v>
      </c>
      <c r="F902">
        <v>4804</v>
      </c>
      <c r="H902">
        <v>0.2075497131564118</v>
      </c>
      <c r="K902">
        <v>0</v>
      </c>
    </row>
    <row r="903" spans="1:11" x14ac:dyDescent="0.25">
      <c r="A903" t="s">
        <v>10</v>
      </c>
      <c r="B903" t="s">
        <v>935</v>
      </c>
      <c r="C903" t="s">
        <v>931</v>
      </c>
      <c r="D903" t="s">
        <v>919</v>
      </c>
      <c r="E903" s="3">
        <v>34111</v>
      </c>
      <c r="F903">
        <v>4474</v>
      </c>
      <c r="H903">
        <v>0.57111121447458579</v>
      </c>
      <c r="K903">
        <v>214</v>
      </c>
    </row>
    <row r="904" spans="1:11" x14ac:dyDescent="0.25">
      <c r="A904" t="s">
        <v>10</v>
      </c>
      <c r="B904" t="s">
        <v>936</v>
      </c>
      <c r="C904" t="s">
        <v>937</v>
      </c>
      <c r="D904" t="s">
        <v>937</v>
      </c>
      <c r="E904" s="3">
        <v>71111</v>
      </c>
      <c r="F904">
        <v>31285</v>
      </c>
      <c r="H904">
        <v>6.5879757097429881E-2</v>
      </c>
      <c r="K904">
        <v>0</v>
      </c>
    </row>
    <row r="905" spans="1:11" x14ac:dyDescent="0.25">
      <c r="A905" t="s">
        <v>10</v>
      </c>
      <c r="B905" t="s">
        <v>938</v>
      </c>
      <c r="C905" t="s">
        <v>915</v>
      </c>
      <c r="D905" t="s">
        <v>916</v>
      </c>
      <c r="E905" s="2">
        <v>22211</v>
      </c>
      <c r="F905">
        <v>17313</v>
      </c>
      <c r="H905">
        <v>4.9668646199906075E-2</v>
      </c>
      <c r="K905">
        <v>763</v>
      </c>
    </row>
    <row r="906" spans="1:11" x14ac:dyDescent="0.25">
      <c r="A906" t="s">
        <v>10</v>
      </c>
      <c r="B906" t="s">
        <v>939</v>
      </c>
      <c r="C906" t="s">
        <v>918</v>
      </c>
      <c r="D906" t="s">
        <v>919</v>
      </c>
      <c r="E906" s="3">
        <v>37311</v>
      </c>
      <c r="F906">
        <v>6287</v>
      </c>
      <c r="H906">
        <v>0.30629391873608303</v>
      </c>
      <c r="K906">
        <v>0</v>
      </c>
    </row>
    <row r="907" spans="1:11" x14ac:dyDescent="0.25">
      <c r="A907" t="s">
        <v>10</v>
      </c>
      <c r="B907" t="s">
        <v>940</v>
      </c>
      <c r="C907" t="s">
        <v>934</v>
      </c>
      <c r="D907" t="s">
        <v>919</v>
      </c>
      <c r="E907" s="3">
        <v>32185</v>
      </c>
      <c r="F907">
        <v>7850</v>
      </c>
      <c r="H907">
        <v>0.5675025732771295</v>
      </c>
      <c r="K907">
        <v>0</v>
      </c>
    </row>
    <row r="908" spans="1:11" x14ac:dyDescent="0.25">
      <c r="A908" t="s">
        <v>10</v>
      </c>
      <c r="B908" t="s">
        <v>941</v>
      </c>
      <c r="C908" t="s">
        <v>921</v>
      </c>
      <c r="D908" t="s">
        <v>916</v>
      </c>
      <c r="E908" s="2">
        <v>23321</v>
      </c>
      <c r="F908">
        <v>5440</v>
      </c>
      <c r="H908">
        <v>0.44028924711140338</v>
      </c>
      <c r="K908">
        <v>278</v>
      </c>
    </row>
    <row r="909" spans="1:11" x14ac:dyDescent="0.25">
      <c r="A909" t="s">
        <v>10</v>
      </c>
      <c r="B909" t="s">
        <v>942</v>
      </c>
      <c r="C909" t="s">
        <v>937</v>
      </c>
      <c r="D909" t="s">
        <v>937</v>
      </c>
      <c r="E909" s="2">
        <v>71155</v>
      </c>
      <c r="F909">
        <v>12482</v>
      </c>
      <c r="H909">
        <v>8.1251291074497467E-2</v>
      </c>
      <c r="K909">
        <v>0</v>
      </c>
    </row>
    <row r="910" spans="1:11" x14ac:dyDescent="0.25">
      <c r="A910" t="s">
        <v>10</v>
      </c>
      <c r="B910" t="s">
        <v>943</v>
      </c>
      <c r="C910" t="s">
        <v>937</v>
      </c>
      <c r="D910" t="s">
        <v>937</v>
      </c>
      <c r="E910" s="3">
        <v>71324</v>
      </c>
      <c r="F910">
        <v>3741</v>
      </c>
      <c r="H910">
        <v>0.53439999999999999</v>
      </c>
      <c r="K910">
        <v>0</v>
      </c>
    </row>
    <row r="911" spans="1:11" x14ac:dyDescent="0.25">
      <c r="A911" t="s">
        <v>10</v>
      </c>
      <c r="B911" t="s">
        <v>944</v>
      </c>
      <c r="C911" t="s">
        <v>934</v>
      </c>
      <c r="D911" t="s">
        <v>919</v>
      </c>
      <c r="E911" s="2">
        <v>32179</v>
      </c>
      <c r="F911">
        <v>6594</v>
      </c>
      <c r="H911">
        <v>0.56712363880937966</v>
      </c>
      <c r="K911">
        <v>0</v>
      </c>
    </row>
    <row r="912" spans="1:11" x14ac:dyDescent="0.25">
      <c r="A912" t="s">
        <v>10</v>
      </c>
      <c r="B912" t="s">
        <v>945</v>
      </c>
      <c r="C912" t="s">
        <v>937</v>
      </c>
      <c r="D912" t="s">
        <v>937</v>
      </c>
      <c r="E912" s="3">
        <v>71133</v>
      </c>
      <c r="F912">
        <v>7826</v>
      </c>
      <c r="H912">
        <v>6.1211284745902095E-2</v>
      </c>
      <c r="K912">
        <v>0</v>
      </c>
    </row>
    <row r="913" spans="1:11" x14ac:dyDescent="0.25">
      <c r="A913" t="s">
        <v>10</v>
      </c>
      <c r="B913" t="s">
        <v>946</v>
      </c>
      <c r="C913" t="s">
        <v>934</v>
      </c>
      <c r="D913" t="s">
        <v>919</v>
      </c>
      <c r="E913" s="3">
        <v>32181</v>
      </c>
      <c r="F913">
        <v>8681</v>
      </c>
      <c r="H913">
        <v>0.41158961869721244</v>
      </c>
      <c r="K913">
        <v>0</v>
      </c>
    </row>
    <row r="914" spans="1:11" x14ac:dyDescent="0.25">
      <c r="A914" t="s">
        <v>10</v>
      </c>
      <c r="B914" t="s">
        <v>947</v>
      </c>
      <c r="C914" t="s">
        <v>921</v>
      </c>
      <c r="D914" t="s">
        <v>916</v>
      </c>
      <c r="E914" s="3">
        <v>23511</v>
      </c>
      <c r="F914">
        <v>11590</v>
      </c>
      <c r="H914">
        <v>8.4097157065115558E-2</v>
      </c>
      <c r="K914">
        <v>381</v>
      </c>
    </row>
    <row r="915" spans="1:11" x14ac:dyDescent="0.25">
      <c r="A915" t="s">
        <v>10</v>
      </c>
      <c r="B915" t="s">
        <v>948</v>
      </c>
      <c r="C915" t="s">
        <v>918</v>
      </c>
      <c r="D915" t="s">
        <v>919</v>
      </c>
      <c r="E915" s="2">
        <v>37391</v>
      </c>
      <c r="F915">
        <v>10472</v>
      </c>
      <c r="H915">
        <v>1.9559351900525379E-2</v>
      </c>
      <c r="K915">
        <v>202</v>
      </c>
    </row>
    <row r="916" spans="1:11" x14ac:dyDescent="0.25">
      <c r="A916" t="s">
        <v>10</v>
      </c>
      <c r="B916" t="s">
        <v>949</v>
      </c>
      <c r="C916" t="s">
        <v>921</v>
      </c>
      <c r="D916" t="s">
        <v>916</v>
      </c>
      <c r="E916" s="3">
        <v>23231</v>
      </c>
      <c r="F916">
        <v>7143</v>
      </c>
      <c r="H916">
        <v>0.19433366899754567</v>
      </c>
      <c r="K916">
        <v>644</v>
      </c>
    </row>
    <row r="917" spans="1:11" x14ac:dyDescent="0.25">
      <c r="A917" t="s">
        <v>10</v>
      </c>
      <c r="B917" t="s">
        <v>950</v>
      </c>
      <c r="C917" t="s">
        <v>918</v>
      </c>
      <c r="D917" t="s">
        <v>919</v>
      </c>
      <c r="E917" s="2">
        <v>37241</v>
      </c>
      <c r="F917">
        <v>6243</v>
      </c>
      <c r="H917">
        <v>1.3211084785234584E-2</v>
      </c>
      <c r="K917">
        <v>185</v>
      </c>
    </row>
    <row r="918" spans="1:11" x14ac:dyDescent="0.25">
      <c r="A918" t="s">
        <v>10</v>
      </c>
      <c r="B918" t="s">
        <v>951</v>
      </c>
      <c r="C918" t="s">
        <v>937</v>
      </c>
      <c r="D918" t="s">
        <v>937</v>
      </c>
      <c r="E918" s="3">
        <v>71166</v>
      </c>
      <c r="F918">
        <v>6156</v>
      </c>
      <c r="H918">
        <v>4.6658172998762404E-2</v>
      </c>
      <c r="K918">
        <v>0</v>
      </c>
    </row>
    <row r="919" spans="1:11" x14ac:dyDescent="0.25">
      <c r="A919" t="s">
        <v>10</v>
      </c>
      <c r="B919" t="s">
        <v>952</v>
      </c>
      <c r="C919" t="s">
        <v>937</v>
      </c>
      <c r="D919" t="s">
        <v>937</v>
      </c>
      <c r="E919" s="3">
        <v>71334</v>
      </c>
      <c r="F919">
        <v>11385</v>
      </c>
      <c r="H919">
        <v>5.0757280978916963E-2</v>
      </c>
      <c r="K919">
        <v>0</v>
      </c>
    </row>
    <row r="920" spans="1:11" x14ac:dyDescent="0.25">
      <c r="A920" t="s">
        <v>10</v>
      </c>
      <c r="B920" t="s">
        <v>953</v>
      </c>
      <c r="C920" t="s">
        <v>915</v>
      </c>
      <c r="D920" t="s">
        <v>916</v>
      </c>
      <c r="E920" s="2">
        <v>22754</v>
      </c>
      <c r="F920">
        <v>3359</v>
      </c>
      <c r="H920">
        <v>0.66884717978865638</v>
      </c>
      <c r="K920">
        <v>352</v>
      </c>
    </row>
    <row r="921" spans="1:11" x14ac:dyDescent="0.25">
      <c r="A921" t="s">
        <v>10</v>
      </c>
      <c r="B921" t="s">
        <v>954</v>
      </c>
      <c r="C921" t="s">
        <v>937</v>
      </c>
      <c r="D921" t="s">
        <v>937</v>
      </c>
      <c r="E921" s="2">
        <v>71113</v>
      </c>
      <c r="F921">
        <v>8161</v>
      </c>
      <c r="H921">
        <v>0.17089337481854461</v>
      </c>
      <c r="K921">
        <v>0</v>
      </c>
    </row>
    <row r="922" spans="1:11" x14ac:dyDescent="0.25">
      <c r="A922" t="s">
        <v>10</v>
      </c>
      <c r="B922" t="s">
        <v>955</v>
      </c>
      <c r="C922" t="s">
        <v>915</v>
      </c>
      <c r="D922" t="s">
        <v>916</v>
      </c>
      <c r="E922" s="3">
        <v>22311</v>
      </c>
      <c r="F922">
        <v>14804</v>
      </c>
      <c r="H922">
        <v>0.77209716580525867</v>
      </c>
      <c r="K922">
        <v>317</v>
      </c>
    </row>
    <row r="923" spans="1:11" x14ac:dyDescent="0.25">
      <c r="A923" t="s">
        <v>10</v>
      </c>
      <c r="B923" t="s">
        <v>956</v>
      </c>
      <c r="C923" t="s">
        <v>915</v>
      </c>
      <c r="D923" t="s">
        <v>916</v>
      </c>
      <c r="E923" s="2">
        <v>22511</v>
      </c>
      <c r="F923">
        <v>3945</v>
      </c>
      <c r="H923">
        <v>0.47951078238712674</v>
      </c>
      <c r="K923">
        <v>0</v>
      </c>
    </row>
    <row r="924" spans="1:11" x14ac:dyDescent="0.25">
      <c r="A924" t="s">
        <v>10</v>
      </c>
      <c r="B924" t="s">
        <v>957</v>
      </c>
      <c r="C924" t="s">
        <v>937</v>
      </c>
      <c r="D924" t="s">
        <v>937</v>
      </c>
      <c r="E924" s="3">
        <v>71311</v>
      </c>
      <c r="F924">
        <v>8690</v>
      </c>
      <c r="H924">
        <v>9.7638683185543584E-2</v>
      </c>
      <c r="K924">
        <v>0</v>
      </c>
    </row>
    <row r="925" spans="1:11" x14ac:dyDescent="0.25">
      <c r="A925" t="s">
        <v>10</v>
      </c>
      <c r="B925" t="s">
        <v>958</v>
      </c>
      <c r="C925" t="s">
        <v>915</v>
      </c>
      <c r="D925" t="s">
        <v>916</v>
      </c>
      <c r="E925" s="2">
        <v>22611</v>
      </c>
      <c r="F925">
        <v>8762</v>
      </c>
      <c r="H925">
        <v>0.75943801174625036</v>
      </c>
      <c r="K925">
        <v>0</v>
      </c>
    </row>
    <row r="926" spans="1:11" x14ac:dyDescent="0.25">
      <c r="A926" t="s">
        <v>10</v>
      </c>
      <c r="B926" t="s">
        <v>959</v>
      </c>
      <c r="C926" t="s">
        <v>931</v>
      </c>
      <c r="D926" t="s">
        <v>919</v>
      </c>
      <c r="E926" s="2">
        <v>34155</v>
      </c>
      <c r="F926">
        <v>1923</v>
      </c>
      <c r="H926">
        <v>0.41922272343795741</v>
      </c>
      <c r="K926">
        <v>0</v>
      </c>
    </row>
    <row r="927" spans="1:11" x14ac:dyDescent="0.25">
      <c r="A927" t="s">
        <v>10</v>
      </c>
      <c r="B927" t="s">
        <v>960</v>
      </c>
      <c r="C927" t="s">
        <v>934</v>
      </c>
      <c r="D927" t="s">
        <v>919</v>
      </c>
      <c r="E927" s="3">
        <v>32111</v>
      </c>
      <c r="F927">
        <v>7172</v>
      </c>
      <c r="H927">
        <v>0.24897695237729567</v>
      </c>
      <c r="K927">
        <v>211</v>
      </c>
    </row>
    <row r="928" spans="1:11" x14ac:dyDescent="0.25">
      <c r="A928" t="s">
        <v>10</v>
      </c>
      <c r="B928" t="s">
        <v>961</v>
      </c>
      <c r="C928" t="s">
        <v>915</v>
      </c>
      <c r="D928" t="s">
        <v>916</v>
      </c>
      <c r="E928" s="3">
        <v>22659</v>
      </c>
      <c r="F928">
        <v>6269</v>
      </c>
      <c r="H928">
        <v>0.56121410080521605</v>
      </c>
      <c r="K928">
        <v>140</v>
      </c>
    </row>
    <row r="929" spans="1:11" x14ac:dyDescent="0.25">
      <c r="A929" t="s">
        <v>10</v>
      </c>
      <c r="B929" t="s">
        <v>962</v>
      </c>
      <c r="C929" t="s">
        <v>918</v>
      </c>
      <c r="D929" t="s">
        <v>919</v>
      </c>
      <c r="E929" s="2">
        <v>37381</v>
      </c>
      <c r="F929">
        <v>2534</v>
      </c>
      <c r="H929">
        <v>0.16468038094319248</v>
      </c>
      <c r="K929">
        <v>140</v>
      </c>
    </row>
    <row r="930" spans="1:11" x14ac:dyDescent="0.25">
      <c r="A930" t="s">
        <v>10</v>
      </c>
      <c r="B930" t="s">
        <v>963</v>
      </c>
      <c r="C930" t="s">
        <v>921</v>
      </c>
      <c r="D930" t="s">
        <v>916</v>
      </c>
      <c r="E930" s="3">
        <v>23259</v>
      </c>
      <c r="F930">
        <v>1786</v>
      </c>
      <c r="H930">
        <v>0.25289064977941089</v>
      </c>
      <c r="K930">
        <v>73</v>
      </c>
    </row>
    <row r="931" spans="1:11" x14ac:dyDescent="0.25">
      <c r="A931" t="s">
        <v>10</v>
      </c>
      <c r="B931" t="s">
        <v>964</v>
      </c>
      <c r="C931" t="s">
        <v>934</v>
      </c>
      <c r="D931" t="s">
        <v>919</v>
      </c>
      <c r="E931" s="2">
        <v>32113</v>
      </c>
      <c r="F931">
        <v>5161</v>
      </c>
      <c r="H931">
        <v>0.2374997333333333</v>
      </c>
      <c r="K931">
        <v>0</v>
      </c>
    </row>
    <row r="932" spans="1:11" x14ac:dyDescent="0.25">
      <c r="A932" t="s">
        <v>10</v>
      </c>
      <c r="B932" t="s">
        <v>965</v>
      </c>
      <c r="C932" t="s">
        <v>934</v>
      </c>
      <c r="D932" t="s">
        <v>919</v>
      </c>
      <c r="E932" s="3">
        <v>32191</v>
      </c>
      <c r="F932">
        <v>3154</v>
      </c>
      <c r="H932">
        <v>0.32748716906453335</v>
      </c>
      <c r="K932">
        <v>0</v>
      </c>
    </row>
    <row r="933" spans="1:11" x14ac:dyDescent="0.25">
      <c r="A933" t="s">
        <v>10</v>
      </c>
      <c r="B933" t="s">
        <v>966</v>
      </c>
      <c r="C933" t="s">
        <v>934</v>
      </c>
      <c r="D933" t="s">
        <v>919</v>
      </c>
      <c r="E933" s="2">
        <v>32137</v>
      </c>
      <c r="F933">
        <v>6422</v>
      </c>
      <c r="H933">
        <v>0.3888734888882498</v>
      </c>
      <c r="K933">
        <v>0</v>
      </c>
    </row>
    <row r="934" spans="1:11" x14ac:dyDescent="0.25">
      <c r="A934" t="s">
        <v>10</v>
      </c>
      <c r="B934" t="s">
        <v>967</v>
      </c>
      <c r="C934" t="s">
        <v>915</v>
      </c>
      <c r="D934" t="s">
        <v>916</v>
      </c>
      <c r="E934" s="3">
        <v>22757</v>
      </c>
      <c r="F934">
        <v>3416</v>
      </c>
      <c r="H934">
        <v>0.54032157014710913</v>
      </c>
      <c r="K934">
        <v>0</v>
      </c>
    </row>
    <row r="935" spans="1:11" x14ac:dyDescent="0.25">
      <c r="A935" t="s">
        <v>10</v>
      </c>
      <c r="B935" t="s">
        <v>968</v>
      </c>
      <c r="C935" t="s">
        <v>921</v>
      </c>
      <c r="D935" t="s">
        <v>916</v>
      </c>
      <c r="E935" s="2">
        <v>23215</v>
      </c>
      <c r="F935">
        <v>5008</v>
      </c>
      <c r="H935">
        <v>8.5060000636611566E-2</v>
      </c>
      <c r="K935">
        <v>290</v>
      </c>
    </row>
    <row r="936" spans="1:11" x14ac:dyDescent="0.25">
      <c r="A936" t="s">
        <v>10</v>
      </c>
      <c r="B936" t="s">
        <v>969</v>
      </c>
      <c r="C936" t="s">
        <v>918</v>
      </c>
      <c r="D936" t="s">
        <v>919</v>
      </c>
      <c r="E936" s="3">
        <v>37365</v>
      </c>
      <c r="F936">
        <v>3253</v>
      </c>
      <c r="H936">
        <v>0.49228293801939038</v>
      </c>
      <c r="K936">
        <v>122</v>
      </c>
    </row>
    <row r="937" spans="1:11" x14ac:dyDescent="0.25">
      <c r="A937" t="s">
        <v>10</v>
      </c>
      <c r="B937" t="s">
        <v>970</v>
      </c>
      <c r="C937" t="s">
        <v>915</v>
      </c>
      <c r="D937" t="s">
        <v>916</v>
      </c>
      <c r="E937" s="2">
        <v>22375</v>
      </c>
      <c r="F937">
        <v>4996</v>
      </c>
      <c r="H937">
        <v>0.4981095080666299</v>
      </c>
      <c r="K937">
        <v>0</v>
      </c>
    </row>
    <row r="938" spans="1:11" x14ac:dyDescent="0.25">
      <c r="A938" t="s">
        <v>10</v>
      </c>
      <c r="B938" t="s">
        <v>971</v>
      </c>
      <c r="C938" t="s">
        <v>921</v>
      </c>
      <c r="D938" t="s">
        <v>916</v>
      </c>
      <c r="E938" s="3">
        <v>23331</v>
      </c>
      <c r="F938">
        <v>4413</v>
      </c>
      <c r="H938">
        <v>0.46838429777372392</v>
      </c>
      <c r="K938">
        <v>1947</v>
      </c>
    </row>
    <row r="939" spans="1:11" x14ac:dyDescent="0.25">
      <c r="A939" t="s">
        <v>10</v>
      </c>
      <c r="B939" t="s">
        <v>972</v>
      </c>
      <c r="C939" t="s">
        <v>915</v>
      </c>
      <c r="D939" t="s">
        <v>916</v>
      </c>
      <c r="E939" s="2">
        <v>22327</v>
      </c>
      <c r="F939">
        <v>10507</v>
      </c>
      <c r="H939">
        <v>0.63634284689219089</v>
      </c>
      <c r="K939">
        <v>0</v>
      </c>
    </row>
    <row r="940" spans="1:11" x14ac:dyDescent="0.25">
      <c r="A940" t="s">
        <v>10</v>
      </c>
      <c r="B940" t="s">
        <v>973</v>
      </c>
      <c r="C940" t="s">
        <v>921</v>
      </c>
      <c r="D940" t="s">
        <v>916</v>
      </c>
      <c r="E940" s="3">
        <v>23243</v>
      </c>
      <c r="F940">
        <v>8466</v>
      </c>
      <c r="H940">
        <v>0.38253836631518268</v>
      </c>
      <c r="K940">
        <v>2059</v>
      </c>
    </row>
    <row r="941" spans="1:11" x14ac:dyDescent="0.25">
      <c r="A941" t="s">
        <v>10</v>
      </c>
      <c r="B941" t="s">
        <v>974</v>
      </c>
      <c r="C941" t="s">
        <v>937</v>
      </c>
      <c r="D941" t="s">
        <v>937</v>
      </c>
      <c r="E941" s="2">
        <v>71144</v>
      </c>
      <c r="F941">
        <v>1634</v>
      </c>
      <c r="H941">
        <v>4.9391770734968032E-2</v>
      </c>
      <c r="K941">
        <v>0</v>
      </c>
    </row>
    <row r="942" spans="1:11" x14ac:dyDescent="0.25">
      <c r="A942" t="s">
        <v>10</v>
      </c>
      <c r="B942" t="s">
        <v>975</v>
      </c>
      <c r="C942" t="s">
        <v>937</v>
      </c>
      <c r="D942" t="s">
        <v>937</v>
      </c>
      <c r="E942" s="2">
        <v>71281</v>
      </c>
      <c r="F942">
        <v>4412</v>
      </c>
      <c r="H942">
        <v>6.2730307266754437E-2</v>
      </c>
      <c r="K942">
        <v>157</v>
      </c>
    </row>
    <row r="943" spans="1:11" x14ac:dyDescent="0.25">
      <c r="A943" t="s">
        <v>10</v>
      </c>
      <c r="B943" t="s">
        <v>976</v>
      </c>
      <c r="C943" t="s">
        <v>918</v>
      </c>
      <c r="D943" t="s">
        <v>919</v>
      </c>
      <c r="E943" s="3">
        <v>37377</v>
      </c>
      <c r="F943">
        <v>1704</v>
      </c>
      <c r="H943">
        <v>4.0898715443936862E-2</v>
      </c>
      <c r="K943">
        <v>0</v>
      </c>
    </row>
    <row r="944" spans="1:11" x14ac:dyDescent="0.25">
      <c r="A944" t="s">
        <v>10</v>
      </c>
      <c r="B944" t="s">
        <v>977</v>
      </c>
      <c r="C944" t="s">
        <v>921</v>
      </c>
      <c r="D944" t="s">
        <v>916</v>
      </c>
      <c r="E944" s="2">
        <v>23336</v>
      </c>
      <c r="F944">
        <v>3998</v>
      </c>
      <c r="H944">
        <v>0.71417256671972518</v>
      </c>
      <c r="K944">
        <v>208</v>
      </c>
    </row>
    <row r="945" spans="1:11" x14ac:dyDescent="0.25">
      <c r="A945" t="s">
        <v>10</v>
      </c>
      <c r="B945" t="s">
        <v>978</v>
      </c>
      <c r="C945" t="s">
        <v>915</v>
      </c>
      <c r="D945" t="s">
        <v>916</v>
      </c>
      <c r="E945" s="3">
        <v>22351</v>
      </c>
      <c r="F945">
        <v>14077</v>
      </c>
      <c r="H945">
        <v>0.66043100186519277</v>
      </c>
      <c r="K945">
        <v>52</v>
      </c>
    </row>
    <row r="946" spans="1:11" x14ac:dyDescent="0.25">
      <c r="A946" t="s">
        <v>10</v>
      </c>
      <c r="B946" t="s">
        <v>979</v>
      </c>
      <c r="C946" t="s">
        <v>915</v>
      </c>
      <c r="D946" t="s">
        <v>916</v>
      </c>
      <c r="E946" s="2">
        <v>22475</v>
      </c>
      <c r="F946">
        <v>6415</v>
      </c>
      <c r="H946">
        <v>0.33589465656341888</v>
      </c>
      <c r="K946">
        <v>0</v>
      </c>
    </row>
    <row r="947" spans="1:11" x14ac:dyDescent="0.25">
      <c r="A947" t="s">
        <v>10</v>
      </c>
      <c r="B947" t="s">
        <v>980</v>
      </c>
      <c r="C947" t="s">
        <v>931</v>
      </c>
      <c r="D947" t="s">
        <v>919</v>
      </c>
      <c r="E947" s="3">
        <v>34386</v>
      </c>
      <c r="F947">
        <v>2529</v>
      </c>
      <c r="H947">
        <v>0.15222820603272891</v>
      </c>
      <c r="K947">
        <v>0</v>
      </c>
    </row>
    <row r="948" spans="1:11" x14ac:dyDescent="0.25">
      <c r="A948" t="s">
        <v>10</v>
      </c>
      <c r="B948" t="s">
        <v>981</v>
      </c>
      <c r="C948" t="s">
        <v>937</v>
      </c>
      <c r="D948" t="s">
        <v>937</v>
      </c>
      <c r="E948" s="2">
        <v>71256</v>
      </c>
      <c r="F948">
        <v>7429</v>
      </c>
      <c r="H948">
        <v>4.8508188698873633E-2</v>
      </c>
      <c r="K948">
        <v>0</v>
      </c>
    </row>
    <row r="949" spans="1:11" x14ac:dyDescent="0.25">
      <c r="A949" t="s">
        <v>10</v>
      </c>
      <c r="B949" t="s">
        <v>982</v>
      </c>
      <c r="C949" t="s">
        <v>982</v>
      </c>
      <c r="D949" t="s">
        <v>919</v>
      </c>
      <c r="E949" s="2">
        <v>36111</v>
      </c>
      <c r="F949">
        <v>1042</v>
      </c>
      <c r="H949">
        <v>0.12422759932375305</v>
      </c>
      <c r="K949">
        <v>0</v>
      </c>
    </row>
    <row r="950" spans="1:11" x14ac:dyDescent="0.25">
      <c r="A950" t="s">
        <v>10</v>
      </c>
      <c r="B950" t="s">
        <v>983</v>
      </c>
      <c r="C950" t="s">
        <v>918</v>
      </c>
      <c r="D950" t="s">
        <v>919</v>
      </c>
      <c r="E950" s="3">
        <v>37317</v>
      </c>
      <c r="F950">
        <v>2670</v>
      </c>
      <c r="H950">
        <v>6.3809079446156547E-3</v>
      </c>
      <c r="K950">
        <v>0</v>
      </c>
    </row>
    <row r="951" spans="1:11" x14ac:dyDescent="0.25">
      <c r="A951" t="s">
        <v>10</v>
      </c>
      <c r="B951" t="s">
        <v>984</v>
      </c>
      <c r="C951" t="s">
        <v>915</v>
      </c>
      <c r="D951" t="s">
        <v>916</v>
      </c>
      <c r="E951" s="2">
        <v>22667</v>
      </c>
      <c r="F951">
        <v>10486</v>
      </c>
      <c r="H951">
        <v>0.61326891122053118</v>
      </c>
      <c r="K951">
        <v>23</v>
      </c>
    </row>
    <row r="952" spans="1:11" x14ac:dyDescent="0.25">
      <c r="A952" t="s">
        <v>10</v>
      </c>
      <c r="B952" t="s">
        <v>985</v>
      </c>
      <c r="C952" t="s">
        <v>915</v>
      </c>
      <c r="D952" t="s">
        <v>916</v>
      </c>
      <c r="E952" s="2">
        <v>22797</v>
      </c>
      <c r="F952">
        <v>4396</v>
      </c>
      <c r="H952">
        <v>0.56176565322727456</v>
      </c>
      <c r="K952">
        <v>62</v>
      </c>
    </row>
    <row r="953" spans="1:11" x14ac:dyDescent="0.25">
      <c r="A953" t="s">
        <v>10</v>
      </c>
      <c r="B953" t="s">
        <v>986</v>
      </c>
      <c r="C953" t="s">
        <v>921</v>
      </c>
      <c r="D953" t="s">
        <v>916</v>
      </c>
      <c r="E953" s="2">
        <v>23439</v>
      </c>
      <c r="F953">
        <v>3461</v>
      </c>
      <c r="H953">
        <v>3.5855898622355387E-2</v>
      </c>
      <c r="K953">
        <v>0</v>
      </c>
    </row>
    <row r="954" spans="1:11" x14ac:dyDescent="0.25">
      <c r="A954" t="s">
        <v>10</v>
      </c>
      <c r="B954" t="s">
        <v>987</v>
      </c>
      <c r="C954" t="s">
        <v>918</v>
      </c>
      <c r="D954" t="s">
        <v>919</v>
      </c>
      <c r="E954" s="3">
        <v>37363</v>
      </c>
      <c r="F954">
        <v>1929</v>
      </c>
      <c r="H954">
        <v>9.2647290457744336E-2</v>
      </c>
      <c r="K954">
        <v>0</v>
      </c>
    </row>
    <row r="955" spans="1:11" x14ac:dyDescent="0.25">
      <c r="A955" t="s">
        <v>10</v>
      </c>
      <c r="B955" t="s">
        <v>988</v>
      </c>
      <c r="C955" t="s">
        <v>934</v>
      </c>
      <c r="D955" t="s">
        <v>919</v>
      </c>
      <c r="E955" s="2">
        <v>32131</v>
      </c>
      <c r="F955">
        <v>2977</v>
      </c>
      <c r="H955">
        <v>0.16701896832846208</v>
      </c>
      <c r="K955">
        <v>0</v>
      </c>
    </row>
    <row r="956" spans="1:11" x14ac:dyDescent="0.25">
      <c r="A956" t="s">
        <v>10</v>
      </c>
      <c r="B956" t="s">
        <v>989</v>
      </c>
      <c r="C956" t="s">
        <v>937</v>
      </c>
      <c r="D956" t="s">
        <v>937</v>
      </c>
      <c r="E956" s="2">
        <v>71397</v>
      </c>
      <c r="F956">
        <v>4498</v>
      </c>
      <c r="H956">
        <v>3.398874251605899E-2</v>
      </c>
      <c r="K956">
        <v>0</v>
      </c>
    </row>
    <row r="957" spans="1:11" x14ac:dyDescent="0.25">
      <c r="A957" t="s">
        <v>10</v>
      </c>
      <c r="B957" t="s">
        <v>990</v>
      </c>
      <c r="C957" t="s">
        <v>991</v>
      </c>
      <c r="D957" t="s">
        <v>991</v>
      </c>
      <c r="E957" s="3">
        <v>35465</v>
      </c>
      <c r="F957">
        <v>536</v>
      </c>
      <c r="H957">
        <v>0.2178646921977776</v>
      </c>
      <c r="K957">
        <v>0</v>
      </c>
    </row>
    <row r="958" spans="1:11" x14ac:dyDescent="0.25">
      <c r="A958" t="s">
        <v>10</v>
      </c>
      <c r="B958" t="s">
        <v>992</v>
      </c>
      <c r="C958" t="s">
        <v>921</v>
      </c>
      <c r="D958" t="s">
        <v>916</v>
      </c>
      <c r="E958" s="2">
        <v>23311</v>
      </c>
      <c r="F958">
        <v>1264</v>
      </c>
      <c r="H958">
        <v>0.36354001640528932</v>
      </c>
      <c r="K958">
        <v>0</v>
      </c>
    </row>
    <row r="959" spans="1:11" x14ac:dyDescent="0.25">
      <c r="A959" t="s">
        <v>10</v>
      </c>
      <c r="B959" t="s">
        <v>993</v>
      </c>
      <c r="C959" t="s">
        <v>921</v>
      </c>
      <c r="D959" t="s">
        <v>916</v>
      </c>
      <c r="E959" s="3">
        <v>23341</v>
      </c>
      <c r="F959">
        <v>3912</v>
      </c>
      <c r="H959">
        <v>0.31046033053050937</v>
      </c>
      <c r="K959">
        <v>254</v>
      </c>
    </row>
    <row r="960" spans="1:11" x14ac:dyDescent="0.25">
      <c r="A960" t="s">
        <v>10</v>
      </c>
      <c r="B960" t="s">
        <v>994</v>
      </c>
      <c r="C960" t="s">
        <v>934</v>
      </c>
      <c r="D960" t="s">
        <v>919</v>
      </c>
      <c r="E960" s="2">
        <v>32125</v>
      </c>
      <c r="F960">
        <v>2128</v>
      </c>
      <c r="H960">
        <v>0.51345211971050986</v>
      </c>
      <c r="K960">
        <v>0</v>
      </c>
    </row>
    <row r="961" spans="1:11" x14ac:dyDescent="0.25">
      <c r="A961" t="s">
        <v>10</v>
      </c>
      <c r="B961" t="s">
        <v>995</v>
      </c>
      <c r="C961" t="s">
        <v>921</v>
      </c>
      <c r="D961" t="s">
        <v>916</v>
      </c>
      <c r="E961" s="3">
        <v>23413</v>
      </c>
      <c r="F961">
        <v>5893</v>
      </c>
      <c r="H961">
        <v>0.43664980149422916</v>
      </c>
      <c r="K961">
        <v>444</v>
      </c>
    </row>
    <row r="962" spans="1:11" x14ac:dyDescent="0.25">
      <c r="A962" t="s">
        <v>10</v>
      </c>
      <c r="B962" t="s">
        <v>996</v>
      </c>
      <c r="C962" t="s">
        <v>921</v>
      </c>
      <c r="D962" t="s">
        <v>916</v>
      </c>
      <c r="E962" s="2">
        <v>23417</v>
      </c>
      <c r="F962">
        <v>4905</v>
      </c>
      <c r="H962">
        <v>3.9810044130706101E-2</v>
      </c>
      <c r="K962">
        <v>0</v>
      </c>
    </row>
    <row r="963" spans="1:11" x14ac:dyDescent="0.25">
      <c r="A963" t="s">
        <v>10</v>
      </c>
      <c r="B963" t="s">
        <v>997</v>
      </c>
      <c r="C963" t="s">
        <v>921</v>
      </c>
      <c r="D963" t="s">
        <v>916</v>
      </c>
      <c r="E963" s="3">
        <v>23239</v>
      </c>
      <c r="F963">
        <v>6115</v>
      </c>
      <c r="H963">
        <v>7.2603566036825828E-2</v>
      </c>
      <c r="K963">
        <v>213</v>
      </c>
    </row>
    <row r="964" spans="1:11" x14ac:dyDescent="0.25">
      <c r="A964" t="s">
        <v>10</v>
      </c>
      <c r="B964" t="s">
        <v>998</v>
      </c>
      <c r="C964" t="s">
        <v>937</v>
      </c>
      <c r="D964" t="s">
        <v>937</v>
      </c>
      <c r="E964" s="3">
        <v>71331</v>
      </c>
      <c r="F964">
        <v>10519</v>
      </c>
      <c r="H964">
        <v>3.7062975778546559E-2</v>
      </c>
      <c r="K964">
        <v>0</v>
      </c>
    </row>
    <row r="965" spans="1:11" x14ac:dyDescent="0.25">
      <c r="A965" t="s">
        <v>10</v>
      </c>
      <c r="B965" t="s">
        <v>999</v>
      </c>
      <c r="C965" t="s">
        <v>915</v>
      </c>
      <c r="D965" t="s">
        <v>916</v>
      </c>
      <c r="E965" s="2">
        <v>22359</v>
      </c>
      <c r="F965">
        <v>3774</v>
      </c>
      <c r="H965">
        <v>0.54535201117066778</v>
      </c>
      <c r="K965">
        <v>357</v>
      </c>
    </row>
    <row r="966" spans="1:11" x14ac:dyDescent="0.25">
      <c r="A966" t="s">
        <v>10</v>
      </c>
      <c r="B966" t="s">
        <v>1000</v>
      </c>
      <c r="C966" t="s">
        <v>915</v>
      </c>
      <c r="D966" t="s">
        <v>916</v>
      </c>
      <c r="E966" s="3">
        <v>22733</v>
      </c>
      <c r="F966">
        <v>1636</v>
      </c>
      <c r="H966">
        <v>0.4067965698971453</v>
      </c>
      <c r="K966">
        <v>90</v>
      </c>
    </row>
    <row r="967" spans="1:11" x14ac:dyDescent="0.25">
      <c r="A967" t="s">
        <v>10</v>
      </c>
      <c r="B967" t="s">
        <v>1001</v>
      </c>
      <c r="C967" t="s">
        <v>915</v>
      </c>
      <c r="D967" t="s">
        <v>916</v>
      </c>
      <c r="E967" s="2">
        <v>22427</v>
      </c>
      <c r="F967">
        <v>3027</v>
      </c>
      <c r="H967">
        <v>0.54058084652594296</v>
      </c>
      <c r="K967">
        <v>0</v>
      </c>
    </row>
    <row r="968" spans="1:11" x14ac:dyDescent="0.25">
      <c r="A968" t="s">
        <v>10</v>
      </c>
      <c r="B968" t="s">
        <v>1002</v>
      </c>
      <c r="C968" t="s">
        <v>937</v>
      </c>
      <c r="D968" t="s">
        <v>937</v>
      </c>
      <c r="E968" s="3">
        <v>71391</v>
      </c>
      <c r="F968">
        <v>7591</v>
      </c>
      <c r="H968">
        <v>3.2744230268021202E-2</v>
      </c>
      <c r="K968">
        <v>0</v>
      </c>
    </row>
    <row r="969" spans="1:11" x14ac:dyDescent="0.25">
      <c r="A969" t="s">
        <v>10</v>
      </c>
      <c r="B969" t="s">
        <v>1003</v>
      </c>
      <c r="C969" t="s">
        <v>921</v>
      </c>
      <c r="D969" t="s">
        <v>916</v>
      </c>
      <c r="E969" s="2">
        <v>23255</v>
      </c>
      <c r="F969">
        <v>4920</v>
      </c>
      <c r="H969">
        <v>8.4663819893819992E-2</v>
      </c>
      <c r="K969">
        <v>287</v>
      </c>
    </row>
    <row r="970" spans="1:11" x14ac:dyDescent="0.25">
      <c r="A970" t="s">
        <v>10</v>
      </c>
      <c r="B970" t="s">
        <v>1004</v>
      </c>
      <c r="C970" t="s">
        <v>918</v>
      </c>
      <c r="D970" t="s">
        <v>919</v>
      </c>
      <c r="E970" s="3">
        <v>37319</v>
      </c>
      <c r="F970">
        <v>3340</v>
      </c>
      <c r="H970">
        <v>1.7802955938848841E-2</v>
      </c>
      <c r="K970">
        <v>0</v>
      </c>
    </row>
    <row r="971" spans="1:11" x14ac:dyDescent="0.25">
      <c r="A971" t="s">
        <v>10</v>
      </c>
      <c r="B971" t="s">
        <v>1005</v>
      </c>
      <c r="C971" t="s">
        <v>934</v>
      </c>
      <c r="D971" t="s">
        <v>919</v>
      </c>
      <c r="E971" s="2">
        <v>32127</v>
      </c>
      <c r="F971">
        <v>1382</v>
      </c>
      <c r="H971">
        <v>0.52761651654969888</v>
      </c>
      <c r="K971">
        <v>0</v>
      </c>
    </row>
    <row r="972" spans="1:11" x14ac:dyDescent="0.25">
      <c r="A972" t="s">
        <v>10</v>
      </c>
      <c r="B972" t="s">
        <v>1006</v>
      </c>
      <c r="C972" t="s">
        <v>937</v>
      </c>
      <c r="D972" t="s">
        <v>937</v>
      </c>
      <c r="E972" s="3">
        <v>71246</v>
      </c>
      <c r="F972">
        <v>4318</v>
      </c>
      <c r="H972">
        <v>5.7491160386995865E-2</v>
      </c>
      <c r="K972">
        <v>0</v>
      </c>
    </row>
    <row r="973" spans="1:11" x14ac:dyDescent="0.25">
      <c r="A973" t="s">
        <v>10</v>
      </c>
      <c r="B973" t="s">
        <v>1007</v>
      </c>
      <c r="C973" t="s">
        <v>915</v>
      </c>
      <c r="D973" t="s">
        <v>916</v>
      </c>
      <c r="E973" s="2">
        <v>22423</v>
      </c>
      <c r="F973">
        <v>5541</v>
      </c>
      <c r="H973">
        <v>0.58970483118568429</v>
      </c>
      <c r="K973">
        <v>114</v>
      </c>
    </row>
    <row r="974" spans="1:11" x14ac:dyDescent="0.25">
      <c r="A974" t="s">
        <v>10</v>
      </c>
      <c r="B974" t="s">
        <v>1008</v>
      </c>
      <c r="C974" t="s">
        <v>937</v>
      </c>
      <c r="D974" t="s">
        <v>937</v>
      </c>
      <c r="E974" s="2">
        <v>71381</v>
      </c>
      <c r="F974">
        <v>6327</v>
      </c>
      <c r="H974">
        <v>3.8294372702422308E-2</v>
      </c>
      <c r="K974">
        <v>0</v>
      </c>
    </row>
    <row r="975" spans="1:11" x14ac:dyDescent="0.25">
      <c r="A975" t="s">
        <v>10</v>
      </c>
      <c r="B975" t="s">
        <v>1009</v>
      </c>
      <c r="C975" t="s">
        <v>918</v>
      </c>
      <c r="D975" t="s">
        <v>919</v>
      </c>
      <c r="E975" s="2">
        <v>37313</v>
      </c>
      <c r="F975">
        <v>2433</v>
      </c>
      <c r="H975">
        <v>0.46217086620706194</v>
      </c>
      <c r="K975">
        <v>0</v>
      </c>
    </row>
    <row r="976" spans="1:11" x14ac:dyDescent="0.25">
      <c r="A976" t="s">
        <v>10</v>
      </c>
      <c r="B976" t="s">
        <v>1010</v>
      </c>
      <c r="C976" t="s">
        <v>915</v>
      </c>
      <c r="D976" t="s">
        <v>916</v>
      </c>
      <c r="E976" s="2">
        <v>22531</v>
      </c>
      <c r="F976">
        <v>5120</v>
      </c>
      <c r="H976">
        <v>0.21440334890074153</v>
      </c>
      <c r="K976">
        <v>0</v>
      </c>
    </row>
    <row r="977" spans="1:11" x14ac:dyDescent="0.25">
      <c r="A977" t="s">
        <v>10</v>
      </c>
      <c r="B977" t="s">
        <v>1011</v>
      </c>
      <c r="C977" t="s">
        <v>931</v>
      </c>
      <c r="D977" t="s">
        <v>919</v>
      </c>
      <c r="E977" s="3">
        <v>34144</v>
      </c>
      <c r="F977">
        <v>10422</v>
      </c>
      <c r="H977">
        <v>0.15102144928342354</v>
      </c>
      <c r="K977">
        <v>0</v>
      </c>
    </row>
    <row r="978" spans="1:11" x14ac:dyDescent="0.25">
      <c r="A978" t="s">
        <v>10</v>
      </c>
      <c r="B978" t="s">
        <v>1012</v>
      </c>
      <c r="C978" t="s">
        <v>934</v>
      </c>
      <c r="D978" t="s">
        <v>919</v>
      </c>
      <c r="E978" s="2">
        <v>32169</v>
      </c>
      <c r="F978">
        <v>1962</v>
      </c>
      <c r="H978">
        <v>3.6037297239547406E-2</v>
      </c>
      <c r="K978">
        <v>0</v>
      </c>
    </row>
    <row r="979" spans="1:11" x14ac:dyDescent="0.25">
      <c r="A979" t="s">
        <v>10</v>
      </c>
      <c r="B979" t="s">
        <v>1013</v>
      </c>
      <c r="C979" t="s">
        <v>934</v>
      </c>
      <c r="D979" t="s">
        <v>919</v>
      </c>
      <c r="E979" s="3">
        <v>32121</v>
      </c>
      <c r="F979">
        <v>1637</v>
      </c>
      <c r="H979">
        <v>0.58610293874153374</v>
      </c>
      <c r="K979">
        <v>0</v>
      </c>
    </row>
    <row r="980" spans="1:11" x14ac:dyDescent="0.25">
      <c r="A980" t="s">
        <v>10</v>
      </c>
      <c r="B980" t="s">
        <v>1014</v>
      </c>
      <c r="C980" t="s">
        <v>931</v>
      </c>
      <c r="D980" t="s">
        <v>919</v>
      </c>
      <c r="E980" s="2">
        <v>34269</v>
      </c>
      <c r="F980">
        <v>1875</v>
      </c>
      <c r="H980">
        <v>0.14933584154409429</v>
      </c>
      <c r="K980">
        <v>0</v>
      </c>
    </row>
    <row r="981" spans="1:11" x14ac:dyDescent="0.25">
      <c r="A981" t="s">
        <v>10</v>
      </c>
      <c r="B981" t="s">
        <v>1015</v>
      </c>
      <c r="C981" t="s">
        <v>921</v>
      </c>
      <c r="D981" t="s">
        <v>916</v>
      </c>
      <c r="E981" s="3">
        <v>23675</v>
      </c>
      <c r="F981">
        <v>3043</v>
      </c>
      <c r="H981">
        <v>0.20413921166406912</v>
      </c>
      <c r="K981">
        <v>290</v>
      </c>
    </row>
    <row r="982" spans="1:11" x14ac:dyDescent="0.25">
      <c r="A982" t="s">
        <v>10</v>
      </c>
      <c r="B982" t="s">
        <v>1016</v>
      </c>
      <c r="C982" t="s">
        <v>915</v>
      </c>
      <c r="D982" t="s">
        <v>916</v>
      </c>
      <c r="E982" s="2">
        <v>22675</v>
      </c>
      <c r="F982">
        <v>2465</v>
      </c>
      <c r="H982">
        <v>0.31069787387492753</v>
      </c>
      <c r="K982">
        <v>0</v>
      </c>
    </row>
    <row r="983" spans="1:11" x14ac:dyDescent="0.25">
      <c r="A983" t="s">
        <v>10</v>
      </c>
      <c r="B983" t="s">
        <v>1017</v>
      </c>
      <c r="C983" t="s">
        <v>915</v>
      </c>
      <c r="D983" t="s">
        <v>916</v>
      </c>
      <c r="E983" s="2">
        <v>22335</v>
      </c>
      <c r="F983">
        <v>10947</v>
      </c>
      <c r="H983">
        <v>0.66767619604355688</v>
      </c>
      <c r="K983">
        <v>0</v>
      </c>
    </row>
    <row r="984" spans="1:11" x14ac:dyDescent="0.25">
      <c r="A984" t="s">
        <v>10</v>
      </c>
      <c r="B984" t="s">
        <v>1018</v>
      </c>
      <c r="C984" t="s">
        <v>931</v>
      </c>
      <c r="D984" t="s">
        <v>919</v>
      </c>
      <c r="E984" s="3">
        <v>34177</v>
      </c>
      <c r="F984">
        <v>1368</v>
      </c>
      <c r="H984">
        <v>0.25674436205597606</v>
      </c>
      <c r="K984">
        <v>0</v>
      </c>
    </row>
    <row r="985" spans="1:11" x14ac:dyDescent="0.25">
      <c r="A985" t="s">
        <v>10</v>
      </c>
      <c r="B985" t="s">
        <v>1019</v>
      </c>
      <c r="C985" t="s">
        <v>921</v>
      </c>
      <c r="D985" t="s">
        <v>916</v>
      </c>
      <c r="E985" s="2">
        <v>23447</v>
      </c>
      <c r="F985">
        <v>2356</v>
      </c>
      <c r="H985">
        <v>6.1296738603812795E-2</v>
      </c>
      <c r="K985">
        <v>57</v>
      </c>
    </row>
    <row r="986" spans="1:11" x14ac:dyDescent="0.25">
      <c r="A986" t="s">
        <v>10</v>
      </c>
      <c r="B986" t="s">
        <v>1020</v>
      </c>
      <c r="C986" t="s">
        <v>934</v>
      </c>
      <c r="D986" t="s">
        <v>919</v>
      </c>
      <c r="E986" s="3">
        <v>32171</v>
      </c>
      <c r="F986">
        <v>1472</v>
      </c>
      <c r="H986">
        <v>0.23711739577511526</v>
      </c>
      <c r="K986">
        <v>0</v>
      </c>
    </row>
    <row r="987" spans="1:11" x14ac:dyDescent="0.25">
      <c r="A987" t="s">
        <v>10</v>
      </c>
      <c r="B987" t="s">
        <v>1021</v>
      </c>
      <c r="C987" t="s">
        <v>937</v>
      </c>
      <c r="D987" t="s">
        <v>937</v>
      </c>
      <c r="E987" s="2">
        <v>71344</v>
      </c>
      <c r="F987">
        <v>6659</v>
      </c>
      <c r="H987">
        <v>5.7206426876626693E-2</v>
      </c>
      <c r="K987">
        <v>0</v>
      </c>
    </row>
    <row r="988" spans="1:11" x14ac:dyDescent="0.25">
      <c r="A988" t="s">
        <v>10</v>
      </c>
      <c r="B988" t="s">
        <v>1022</v>
      </c>
      <c r="C988" t="s">
        <v>931</v>
      </c>
      <c r="D988" t="s">
        <v>919</v>
      </c>
      <c r="E988" s="3">
        <v>34221</v>
      </c>
      <c r="F988">
        <v>879</v>
      </c>
      <c r="H988">
        <v>0.13889979215865444</v>
      </c>
      <c r="K988">
        <v>0</v>
      </c>
    </row>
    <row r="989" spans="1:11" x14ac:dyDescent="0.25">
      <c r="A989" t="s">
        <v>10</v>
      </c>
      <c r="B989" t="s">
        <v>1023</v>
      </c>
      <c r="C989" t="s">
        <v>931</v>
      </c>
      <c r="D989" t="s">
        <v>919</v>
      </c>
      <c r="E989" s="2">
        <v>34287</v>
      </c>
      <c r="F989">
        <v>2446</v>
      </c>
      <c r="H989">
        <v>0.23945978046674943</v>
      </c>
      <c r="K989">
        <v>0</v>
      </c>
    </row>
    <row r="990" spans="1:11" x14ac:dyDescent="0.25">
      <c r="A990" t="s">
        <v>10</v>
      </c>
      <c r="B990" t="s">
        <v>1024</v>
      </c>
      <c r="C990" t="s">
        <v>915</v>
      </c>
      <c r="D990" t="s">
        <v>916</v>
      </c>
      <c r="E990" s="2">
        <v>22447</v>
      </c>
      <c r="F990">
        <v>5165</v>
      </c>
      <c r="H990">
        <v>0.43265943877551016</v>
      </c>
      <c r="K990">
        <v>0</v>
      </c>
    </row>
    <row r="991" spans="1:11" x14ac:dyDescent="0.25">
      <c r="A991" t="s">
        <v>10</v>
      </c>
      <c r="B991" t="s">
        <v>1025</v>
      </c>
      <c r="C991" t="s">
        <v>931</v>
      </c>
      <c r="D991" t="s">
        <v>919</v>
      </c>
      <c r="E991" s="2">
        <v>34284</v>
      </c>
      <c r="F991">
        <v>1645</v>
      </c>
      <c r="H991">
        <v>7.0167900300998065E-2</v>
      </c>
      <c r="K991">
        <v>0</v>
      </c>
    </row>
    <row r="992" spans="1:11" x14ac:dyDescent="0.25">
      <c r="A992" t="s">
        <v>10</v>
      </c>
      <c r="B992" t="s">
        <v>1026</v>
      </c>
      <c r="C992" t="s">
        <v>934</v>
      </c>
      <c r="D992" t="s">
        <v>919</v>
      </c>
      <c r="E992" s="2">
        <v>32159</v>
      </c>
      <c r="F992">
        <v>1644</v>
      </c>
      <c r="H992">
        <v>0.2009475634083786</v>
      </c>
      <c r="K992">
        <v>0</v>
      </c>
    </row>
    <row r="993" spans="1:11" x14ac:dyDescent="0.25">
      <c r="A993" t="s">
        <v>10</v>
      </c>
      <c r="B993" t="s">
        <v>1027</v>
      </c>
      <c r="C993" t="s">
        <v>918</v>
      </c>
      <c r="D993" t="s">
        <v>919</v>
      </c>
      <c r="E993" s="3">
        <v>37341</v>
      </c>
      <c r="F993">
        <v>3393</v>
      </c>
      <c r="H993">
        <v>7.745402399457757E-3</v>
      </c>
      <c r="K993">
        <v>0</v>
      </c>
    </row>
    <row r="994" spans="1:11" x14ac:dyDescent="0.25">
      <c r="A994" t="s">
        <v>10</v>
      </c>
      <c r="B994" t="s">
        <v>1028</v>
      </c>
      <c r="C994" t="s">
        <v>915</v>
      </c>
      <c r="D994" t="s">
        <v>916</v>
      </c>
      <c r="E994" s="2">
        <v>22547</v>
      </c>
      <c r="F994">
        <v>1419</v>
      </c>
      <c r="H994">
        <v>0.19903649126843548</v>
      </c>
      <c r="K994">
        <v>0</v>
      </c>
    </row>
    <row r="995" spans="1:11" x14ac:dyDescent="0.25">
      <c r="A995" t="s">
        <v>10</v>
      </c>
      <c r="B995" t="s">
        <v>1029</v>
      </c>
      <c r="C995" t="s">
        <v>937</v>
      </c>
      <c r="D995" t="s">
        <v>937</v>
      </c>
      <c r="E995" s="3">
        <v>71327</v>
      </c>
      <c r="F995">
        <v>4264</v>
      </c>
      <c r="H995">
        <v>6.4092362397351388E-2</v>
      </c>
      <c r="K995">
        <v>0</v>
      </c>
    </row>
    <row r="996" spans="1:11" x14ac:dyDescent="0.25">
      <c r="A996" t="s">
        <v>10</v>
      </c>
      <c r="B996" t="s">
        <v>1030</v>
      </c>
      <c r="C996" t="s">
        <v>931</v>
      </c>
      <c r="D996" t="s">
        <v>919</v>
      </c>
      <c r="E996" s="2">
        <v>34311</v>
      </c>
      <c r="F996">
        <v>1839</v>
      </c>
      <c r="H996">
        <v>0.63553213754818283</v>
      </c>
      <c r="K996">
        <v>0</v>
      </c>
    </row>
    <row r="997" spans="1:11" x14ac:dyDescent="0.25">
      <c r="A997" t="s">
        <v>10</v>
      </c>
      <c r="B997" t="s">
        <v>1031</v>
      </c>
      <c r="C997" t="s">
        <v>937</v>
      </c>
      <c r="D997" t="s">
        <v>937</v>
      </c>
      <c r="E997" s="2">
        <v>71367</v>
      </c>
      <c r="F997">
        <v>2931</v>
      </c>
      <c r="H997">
        <v>2.562008038443031E-2</v>
      </c>
      <c r="K997">
        <v>0</v>
      </c>
    </row>
    <row r="998" spans="1:11" x14ac:dyDescent="0.25">
      <c r="A998" t="s">
        <v>10</v>
      </c>
      <c r="B998" t="s">
        <v>1032</v>
      </c>
      <c r="C998" t="s">
        <v>921</v>
      </c>
      <c r="D998" t="s">
        <v>916</v>
      </c>
      <c r="E998" s="3">
        <v>23445</v>
      </c>
      <c r="F998">
        <v>2379</v>
      </c>
      <c r="H998">
        <v>0.1571534026586372</v>
      </c>
      <c r="K998">
        <v>0</v>
      </c>
    </row>
    <row r="999" spans="1:11" x14ac:dyDescent="0.25">
      <c r="A999" t="s">
        <v>10</v>
      </c>
      <c r="B999" t="s">
        <v>1033</v>
      </c>
      <c r="C999" t="s">
        <v>934</v>
      </c>
      <c r="D999" t="s">
        <v>919</v>
      </c>
      <c r="E999" s="2">
        <v>32117</v>
      </c>
      <c r="F999">
        <v>2595</v>
      </c>
      <c r="H999">
        <v>0.35417862360429919</v>
      </c>
      <c r="K999">
        <v>186</v>
      </c>
    </row>
    <row r="1000" spans="1:11" x14ac:dyDescent="0.25">
      <c r="A1000" t="s">
        <v>10</v>
      </c>
      <c r="B1000" t="s">
        <v>1034</v>
      </c>
      <c r="C1000" t="s">
        <v>915</v>
      </c>
      <c r="D1000" t="s">
        <v>916</v>
      </c>
      <c r="E1000" s="3">
        <v>22483</v>
      </c>
      <c r="F1000">
        <v>956</v>
      </c>
      <c r="H1000">
        <v>0.14471914518184459</v>
      </c>
      <c r="K1000">
        <v>0</v>
      </c>
    </row>
    <row r="1001" spans="1:11" x14ac:dyDescent="0.25">
      <c r="A1001" t="s">
        <v>10</v>
      </c>
      <c r="B1001" t="s">
        <v>1035</v>
      </c>
      <c r="C1001" t="s">
        <v>937</v>
      </c>
      <c r="D1001" t="s">
        <v>937</v>
      </c>
      <c r="E1001" s="2">
        <v>71337</v>
      </c>
      <c r="F1001">
        <v>10456</v>
      </c>
      <c r="H1001">
        <v>2.5937976832823173E-2</v>
      </c>
      <c r="K1001">
        <v>0</v>
      </c>
    </row>
    <row r="1002" spans="1:11" x14ac:dyDescent="0.25">
      <c r="A1002" t="s">
        <v>10</v>
      </c>
      <c r="B1002" t="s">
        <v>1036</v>
      </c>
      <c r="C1002" t="s">
        <v>915</v>
      </c>
      <c r="D1002" t="s">
        <v>916</v>
      </c>
      <c r="E1002" s="2">
        <v>22455</v>
      </c>
      <c r="F1002">
        <v>8947</v>
      </c>
      <c r="H1002">
        <v>0.36744796363206689</v>
      </c>
      <c r="K1002">
        <v>90</v>
      </c>
    </row>
    <row r="1003" spans="1:11" x14ac:dyDescent="0.25">
      <c r="A1003" t="s">
        <v>10</v>
      </c>
      <c r="B1003" t="s">
        <v>1037</v>
      </c>
      <c r="C1003" t="s">
        <v>921</v>
      </c>
      <c r="D1003" t="s">
        <v>916</v>
      </c>
      <c r="E1003" s="3">
        <v>23655</v>
      </c>
      <c r="F1003">
        <v>4739</v>
      </c>
      <c r="H1003">
        <v>0.53477610860102787</v>
      </c>
      <c r="K1003">
        <v>0</v>
      </c>
    </row>
    <row r="1004" spans="1:11" x14ac:dyDescent="0.25">
      <c r="A1004" t="s">
        <v>10</v>
      </c>
      <c r="B1004" t="s">
        <v>1038</v>
      </c>
      <c r="C1004" t="s">
        <v>915</v>
      </c>
      <c r="D1004" t="s">
        <v>916</v>
      </c>
      <c r="E1004" s="2">
        <v>22619</v>
      </c>
      <c r="F1004">
        <v>1600</v>
      </c>
      <c r="H1004">
        <v>0.49534723853527007</v>
      </c>
      <c r="K1004">
        <v>0</v>
      </c>
    </row>
    <row r="1005" spans="1:11" x14ac:dyDescent="0.25">
      <c r="A1005" t="s">
        <v>10</v>
      </c>
      <c r="B1005" t="s">
        <v>1039</v>
      </c>
      <c r="C1005" t="s">
        <v>915</v>
      </c>
      <c r="D1005" t="s">
        <v>916</v>
      </c>
      <c r="E1005" s="3">
        <v>22711</v>
      </c>
      <c r="F1005">
        <v>1642</v>
      </c>
      <c r="H1005">
        <v>0.56666239316491795</v>
      </c>
      <c r="K1005">
        <v>124</v>
      </c>
    </row>
    <row r="1006" spans="1:11" x14ac:dyDescent="0.25">
      <c r="A1006" t="s">
        <v>10</v>
      </c>
      <c r="B1006" t="s">
        <v>1040</v>
      </c>
      <c r="C1006" t="s">
        <v>921</v>
      </c>
      <c r="D1006" t="s">
        <v>916</v>
      </c>
      <c r="E1006" s="2">
        <v>23566</v>
      </c>
      <c r="F1006">
        <v>3687</v>
      </c>
      <c r="H1006">
        <v>0.15119441436045977</v>
      </c>
      <c r="K1006">
        <v>129</v>
      </c>
    </row>
    <row r="1007" spans="1:11" x14ac:dyDescent="0.25">
      <c r="A1007" t="s">
        <v>10</v>
      </c>
      <c r="B1007" t="s">
        <v>1041</v>
      </c>
      <c r="C1007" t="s">
        <v>982</v>
      </c>
      <c r="D1007" t="s">
        <v>919</v>
      </c>
      <c r="E1007" s="2">
        <v>36171</v>
      </c>
      <c r="F1007">
        <v>2630</v>
      </c>
      <c r="H1007">
        <v>0.12582157182143672</v>
      </c>
      <c r="K1007">
        <v>0</v>
      </c>
    </row>
    <row r="1008" spans="1:11" x14ac:dyDescent="0.25">
      <c r="A1008" t="s">
        <v>10</v>
      </c>
      <c r="B1008" t="s">
        <v>1042</v>
      </c>
      <c r="C1008" t="s">
        <v>937</v>
      </c>
      <c r="D1008" t="s">
        <v>937</v>
      </c>
      <c r="E1008" s="3">
        <v>71351</v>
      </c>
      <c r="F1008">
        <v>6283</v>
      </c>
      <c r="H1008">
        <v>0.4150757915117318</v>
      </c>
      <c r="K1008">
        <v>0</v>
      </c>
    </row>
    <row r="1009" spans="1:11" x14ac:dyDescent="0.25">
      <c r="A1009" t="s">
        <v>10</v>
      </c>
      <c r="B1009" t="s">
        <v>1043</v>
      </c>
      <c r="C1009" t="s">
        <v>921</v>
      </c>
      <c r="D1009" t="s">
        <v>916</v>
      </c>
      <c r="E1009" s="2">
        <v>23651</v>
      </c>
      <c r="F1009">
        <v>3139</v>
      </c>
      <c r="H1009">
        <v>0.43916272716940608</v>
      </c>
      <c r="K1009">
        <v>134</v>
      </c>
    </row>
    <row r="1010" spans="1:11" x14ac:dyDescent="0.25">
      <c r="A1010" t="s">
        <v>10</v>
      </c>
      <c r="B1010" t="s">
        <v>1044</v>
      </c>
      <c r="C1010" t="s">
        <v>937</v>
      </c>
      <c r="D1010" t="s">
        <v>937</v>
      </c>
      <c r="E1010" s="3">
        <v>71321</v>
      </c>
      <c r="F1010">
        <v>3610</v>
      </c>
      <c r="H1010">
        <v>4.940850110306727E-2</v>
      </c>
      <c r="K1010">
        <v>0</v>
      </c>
    </row>
    <row r="1011" spans="1:11" x14ac:dyDescent="0.25">
      <c r="A1011" t="s">
        <v>10</v>
      </c>
      <c r="B1011" t="s">
        <v>1045</v>
      </c>
      <c r="C1011" t="s">
        <v>934</v>
      </c>
      <c r="D1011" t="s">
        <v>919</v>
      </c>
      <c r="E1011" s="3">
        <v>32147</v>
      </c>
      <c r="F1011">
        <v>1944</v>
      </c>
      <c r="H1011">
        <v>0.28657380557505718</v>
      </c>
      <c r="K1011">
        <v>32</v>
      </c>
    </row>
    <row r="1012" spans="1:11" x14ac:dyDescent="0.25">
      <c r="A1012" t="s">
        <v>10</v>
      </c>
      <c r="B1012" t="s">
        <v>1046</v>
      </c>
      <c r="C1012" t="s">
        <v>921</v>
      </c>
      <c r="D1012" t="s">
        <v>916</v>
      </c>
      <c r="E1012" s="2">
        <v>23463</v>
      </c>
      <c r="F1012">
        <v>1807</v>
      </c>
      <c r="H1012">
        <v>1.3664812380834279E-2</v>
      </c>
      <c r="K1012">
        <v>0</v>
      </c>
    </row>
    <row r="1013" spans="1:11" x14ac:dyDescent="0.25">
      <c r="A1013" t="s">
        <v>10</v>
      </c>
      <c r="B1013" t="s">
        <v>1047</v>
      </c>
      <c r="C1013" t="s">
        <v>937</v>
      </c>
      <c r="D1013" t="s">
        <v>937</v>
      </c>
      <c r="E1013" s="3">
        <v>71261</v>
      </c>
      <c r="F1013">
        <v>2537</v>
      </c>
      <c r="H1013">
        <v>6.6495433789954372E-2</v>
      </c>
      <c r="K1013">
        <v>0</v>
      </c>
    </row>
    <row r="1014" spans="1:11" x14ac:dyDescent="0.25">
      <c r="A1014" t="s">
        <v>10</v>
      </c>
      <c r="B1014" t="s">
        <v>1048</v>
      </c>
      <c r="C1014" t="s">
        <v>921</v>
      </c>
      <c r="D1014" t="s">
        <v>916</v>
      </c>
      <c r="E1014" s="3">
        <v>23459</v>
      </c>
      <c r="F1014">
        <v>1772</v>
      </c>
      <c r="H1014">
        <v>0.5712420744348049</v>
      </c>
      <c r="K1014">
        <v>0</v>
      </c>
    </row>
    <row r="1015" spans="1:11" x14ac:dyDescent="0.25">
      <c r="A1015" t="s">
        <v>10</v>
      </c>
      <c r="B1015" t="s">
        <v>1049</v>
      </c>
      <c r="C1015" t="s">
        <v>921</v>
      </c>
      <c r="D1015" t="s">
        <v>916</v>
      </c>
      <c r="E1015" s="2">
        <v>23381</v>
      </c>
      <c r="F1015">
        <v>1440</v>
      </c>
      <c r="H1015">
        <v>0.344756950079111</v>
      </c>
      <c r="K1015">
        <v>144</v>
      </c>
    </row>
    <row r="1016" spans="1:11" x14ac:dyDescent="0.25">
      <c r="A1016" t="s">
        <v>10</v>
      </c>
      <c r="B1016" t="s">
        <v>1050</v>
      </c>
      <c r="C1016" t="s">
        <v>915</v>
      </c>
      <c r="D1016" t="s">
        <v>916</v>
      </c>
      <c r="E1016" s="3">
        <v>22439</v>
      </c>
      <c r="F1016">
        <v>2222</v>
      </c>
      <c r="H1016">
        <v>0.58888969777367939</v>
      </c>
      <c r="K1016">
        <v>0</v>
      </c>
    </row>
    <row r="1017" spans="1:11" x14ac:dyDescent="0.25">
      <c r="A1017" t="s">
        <v>10</v>
      </c>
      <c r="B1017" t="s">
        <v>1051</v>
      </c>
      <c r="C1017" t="s">
        <v>915</v>
      </c>
      <c r="D1017" t="s">
        <v>916</v>
      </c>
      <c r="E1017" s="2">
        <v>22731</v>
      </c>
      <c r="F1017">
        <v>1247</v>
      </c>
      <c r="H1017">
        <v>0.62248409454484954</v>
      </c>
      <c r="K1017">
        <v>0</v>
      </c>
    </row>
    <row r="1018" spans="1:11" x14ac:dyDescent="0.25">
      <c r="A1018" t="s">
        <v>10</v>
      </c>
      <c r="B1018" t="s">
        <v>1052</v>
      </c>
      <c r="C1018" t="s">
        <v>934</v>
      </c>
      <c r="D1018" t="s">
        <v>919</v>
      </c>
      <c r="E1018" s="3">
        <v>32175</v>
      </c>
      <c r="F1018">
        <v>478</v>
      </c>
      <c r="H1018">
        <v>0.19104591836734697</v>
      </c>
      <c r="K1018">
        <v>0</v>
      </c>
    </row>
    <row r="1019" spans="1:11" x14ac:dyDescent="0.25">
      <c r="A1019" t="s">
        <v>10</v>
      </c>
      <c r="B1019" t="s">
        <v>1053</v>
      </c>
      <c r="C1019" t="s">
        <v>915</v>
      </c>
      <c r="D1019" t="s">
        <v>916</v>
      </c>
      <c r="E1019" s="2">
        <v>22279</v>
      </c>
      <c r="F1019">
        <v>1215</v>
      </c>
      <c r="H1019">
        <v>0.59929074347866551</v>
      </c>
      <c r="K1019">
        <v>0</v>
      </c>
    </row>
    <row r="1020" spans="1:11" x14ac:dyDescent="0.25">
      <c r="A1020" t="s">
        <v>10</v>
      </c>
      <c r="B1020" t="s">
        <v>1054</v>
      </c>
      <c r="C1020" t="s">
        <v>934</v>
      </c>
      <c r="D1020" t="s">
        <v>919</v>
      </c>
      <c r="E1020" s="3">
        <v>32129</v>
      </c>
      <c r="F1020">
        <v>613</v>
      </c>
      <c r="H1020">
        <v>0.31044169505707975</v>
      </c>
      <c r="K1020">
        <v>0</v>
      </c>
    </row>
    <row r="1021" spans="1:11" x14ac:dyDescent="0.25">
      <c r="A1021" t="s">
        <v>10</v>
      </c>
      <c r="B1021" t="s">
        <v>1055</v>
      </c>
      <c r="C1021" t="s">
        <v>921</v>
      </c>
      <c r="D1021" t="s">
        <v>916</v>
      </c>
      <c r="E1021" s="2">
        <v>23219</v>
      </c>
      <c r="F1021">
        <v>2712</v>
      </c>
      <c r="H1021">
        <v>8.1602760106242234E-2</v>
      </c>
      <c r="K1021">
        <v>88</v>
      </c>
    </row>
    <row r="1022" spans="1:11" x14ac:dyDescent="0.25">
      <c r="A1022" t="s">
        <v>10</v>
      </c>
      <c r="B1022" t="s">
        <v>1056</v>
      </c>
      <c r="C1022" t="s">
        <v>934</v>
      </c>
      <c r="D1022" t="s">
        <v>919</v>
      </c>
      <c r="E1022" s="3">
        <v>32163</v>
      </c>
      <c r="F1022">
        <v>480</v>
      </c>
      <c r="H1022">
        <v>7.187453545413991E-2</v>
      </c>
      <c r="K1022">
        <v>0</v>
      </c>
    </row>
    <row r="1023" spans="1:11" x14ac:dyDescent="0.25">
      <c r="A1023" t="s">
        <v>10</v>
      </c>
      <c r="B1023" t="s">
        <v>1057</v>
      </c>
      <c r="C1023" t="s">
        <v>937</v>
      </c>
      <c r="D1023" t="s">
        <v>937</v>
      </c>
      <c r="E1023" s="2">
        <v>71266</v>
      </c>
      <c r="F1023">
        <v>2320</v>
      </c>
      <c r="H1023">
        <v>6.1628806218861798E-2</v>
      </c>
      <c r="K1023">
        <v>0</v>
      </c>
    </row>
    <row r="1024" spans="1:11" x14ac:dyDescent="0.25">
      <c r="A1024" t="s">
        <v>10</v>
      </c>
      <c r="B1024" t="s">
        <v>1058</v>
      </c>
      <c r="C1024" t="s">
        <v>921</v>
      </c>
      <c r="D1024" t="s">
        <v>916</v>
      </c>
      <c r="E1024" s="3">
        <v>23469</v>
      </c>
      <c r="F1024">
        <v>2577</v>
      </c>
      <c r="H1024">
        <v>0.62101570533696626</v>
      </c>
      <c r="K1024">
        <v>0</v>
      </c>
    </row>
    <row r="1025" spans="1:11" x14ac:dyDescent="0.25">
      <c r="A1025" t="s">
        <v>10</v>
      </c>
      <c r="B1025" t="s">
        <v>1059</v>
      </c>
      <c r="C1025" t="s">
        <v>937</v>
      </c>
      <c r="D1025" t="s">
        <v>937</v>
      </c>
      <c r="E1025" s="2">
        <v>71387</v>
      </c>
      <c r="F1025">
        <v>2301</v>
      </c>
      <c r="H1025">
        <v>3.0178197415961727E-2</v>
      </c>
      <c r="K1025">
        <v>0</v>
      </c>
    </row>
    <row r="1026" spans="1:11" x14ac:dyDescent="0.25">
      <c r="A1026" t="s">
        <v>10</v>
      </c>
      <c r="B1026" t="s">
        <v>1060</v>
      </c>
      <c r="C1026" t="s">
        <v>931</v>
      </c>
      <c r="D1026" t="s">
        <v>919</v>
      </c>
      <c r="E1026" s="2">
        <v>34263</v>
      </c>
      <c r="F1026">
        <v>1032</v>
      </c>
      <c r="H1026">
        <v>0.21493060172681777</v>
      </c>
      <c r="K1026">
        <v>0</v>
      </c>
    </row>
    <row r="1027" spans="1:11" x14ac:dyDescent="0.25">
      <c r="A1027" t="s">
        <v>10</v>
      </c>
      <c r="B1027" t="s">
        <v>1061</v>
      </c>
      <c r="C1027" t="s">
        <v>921</v>
      </c>
      <c r="D1027" t="s">
        <v>916</v>
      </c>
      <c r="E1027" s="3">
        <v>23423</v>
      </c>
      <c r="F1027">
        <v>2447</v>
      </c>
      <c r="H1027">
        <v>1.9754237991534085E-2</v>
      </c>
      <c r="K1027">
        <v>118</v>
      </c>
    </row>
    <row r="1028" spans="1:11" x14ac:dyDescent="0.25">
      <c r="A1028" t="s">
        <v>10</v>
      </c>
      <c r="B1028" t="s">
        <v>1062</v>
      </c>
      <c r="C1028" t="s">
        <v>915</v>
      </c>
      <c r="D1028" t="s">
        <v>916</v>
      </c>
      <c r="E1028" s="2">
        <v>22551</v>
      </c>
      <c r="F1028">
        <v>1281</v>
      </c>
      <c r="H1028">
        <v>0.3418445864033518</v>
      </c>
      <c r="K1028">
        <v>0</v>
      </c>
    </row>
    <row r="1029" spans="1:11" x14ac:dyDescent="0.25">
      <c r="A1029" t="s">
        <v>10</v>
      </c>
      <c r="B1029" t="s">
        <v>1063</v>
      </c>
      <c r="C1029" t="s">
        <v>921</v>
      </c>
      <c r="D1029" t="s">
        <v>916</v>
      </c>
      <c r="E1029" s="3">
        <v>23588</v>
      </c>
      <c r="F1029">
        <v>1218</v>
      </c>
      <c r="H1029">
        <v>0.32494705075445818</v>
      </c>
      <c r="K1029">
        <v>0</v>
      </c>
    </row>
    <row r="1030" spans="1:11" x14ac:dyDescent="0.25">
      <c r="A1030" t="s">
        <v>10</v>
      </c>
      <c r="B1030" t="s">
        <v>1064</v>
      </c>
      <c r="C1030" t="s">
        <v>918</v>
      </c>
      <c r="D1030" t="s">
        <v>919</v>
      </c>
      <c r="E1030" s="2">
        <v>37261</v>
      </c>
      <c r="F1030">
        <v>2178</v>
      </c>
      <c r="H1030">
        <v>9.9185323584933816E-3</v>
      </c>
      <c r="K1030">
        <v>0</v>
      </c>
    </row>
    <row r="1031" spans="1:11" x14ac:dyDescent="0.25">
      <c r="A1031" t="s">
        <v>10</v>
      </c>
      <c r="B1031" t="s">
        <v>1065</v>
      </c>
      <c r="C1031" t="s">
        <v>937</v>
      </c>
      <c r="D1031" t="s">
        <v>937</v>
      </c>
      <c r="E1031" s="3">
        <v>71226</v>
      </c>
      <c r="F1031">
        <v>3069</v>
      </c>
      <c r="H1031">
        <v>6.1750035411481385E-2</v>
      </c>
      <c r="K1031">
        <v>0</v>
      </c>
    </row>
    <row r="1032" spans="1:11" x14ac:dyDescent="0.25">
      <c r="A1032" t="s">
        <v>10</v>
      </c>
      <c r="B1032" t="s">
        <v>1066</v>
      </c>
      <c r="C1032" t="s">
        <v>921</v>
      </c>
      <c r="D1032" t="s">
        <v>916</v>
      </c>
      <c r="E1032" s="2">
        <v>23577</v>
      </c>
      <c r="F1032">
        <v>3602</v>
      </c>
      <c r="H1032">
        <v>2.442177750798602E-2</v>
      </c>
      <c r="K1032">
        <v>144</v>
      </c>
    </row>
    <row r="1033" spans="1:11" x14ac:dyDescent="0.25">
      <c r="A1033" t="s">
        <v>10</v>
      </c>
      <c r="B1033" t="s">
        <v>1067</v>
      </c>
      <c r="C1033" t="s">
        <v>921</v>
      </c>
      <c r="D1033" t="s">
        <v>916</v>
      </c>
      <c r="E1033" s="2">
        <v>23615</v>
      </c>
      <c r="F1033">
        <v>1694</v>
      </c>
      <c r="H1033">
        <v>0.43757554465856274</v>
      </c>
      <c r="K1033">
        <v>0</v>
      </c>
    </row>
    <row r="1034" spans="1:11" x14ac:dyDescent="0.25">
      <c r="A1034" t="s">
        <v>10</v>
      </c>
      <c r="B1034" t="s">
        <v>1068</v>
      </c>
      <c r="C1034" t="s">
        <v>921</v>
      </c>
      <c r="D1034" t="s">
        <v>916</v>
      </c>
      <c r="E1034" s="3">
        <v>23679</v>
      </c>
      <c r="F1034">
        <v>3787</v>
      </c>
      <c r="H1034">
        <v>0.47438233255204931</v>
      </c>
      <c r="K1034">
        <v>0</v>
      </c>
    </row>
    <row r="1035" spans="1:11" x14ac:dyDescent="0.25">
      <c r="A1035" t="s">
        <v>10</v>
      </c>
      <c r="B1035" t="s">
        <v>1069</v>
      </c>
      <c r="C1035" t="s">
        <v>918</v>
      </c>
      <c r="D1035" t="s">
        <v>919</v>
      </c>
      <c r="E1035" s="3">
        <v>37333</v>
      </c>
      <c r="F1035">
        <v>949</v>
      </c>
      <c r="H1035">
        <v>4.4223205777714769E-3</v>
      </c>
      <c r="K1035">
        <v>0</v>
      </c>
    </row>
    <row r="1036" spans="1:11" x14ac:dyDescent="0.25">
      <c r="A1036" t="s">
        <v>10</v>
      </c>
      <c r="B1036" t="s">
        <v>1070</v>
      </c>
      <c r="C1036" t="s">
        <v>931</v>
      </c>
      <c r="D1036" t="s">
        <v>919</v>
      </c>
      <c r="E1036" s="2">
        <v>34276</v>
      </c>
      <c r="F1036">
        <v>538</v>
      </c>
      <c r="H1036">
        <v>0.16231632463264911</v>
      </c>
      <c r="K1036">
        <v>24</v>
      </c>
    </row>
    <row r="1037" spans="1:11" x14ac:dyDescent="0.25">
      <c r="A1037" t="s">
        <v>10</v>
      </c>
      <c r="B1037" t="s">
        <v>1071</v>
      </c>
      <c r="C1037" t="s">
        <v>921</v>
      </c>
      <c r="D1037" t="s">
        <v>916</v>
      </c>
      <c r="E1037" s="3">
        <v>23663</v>
      </c>
      <c r="F1037">
        <v>2942</v>
      </c>
      <c r="H1037">
        <v>6.5614855440672581E-2</v>
      </c>
      <c r="K1037">
        <v>0</v>
      </c>
    </row>
    <row r="1038" spans="1:11" x14ac:dyDescent="0.25">
      <c r="A1038" t="s">
        <v>10</v>
      </c>
      <c r="B1038" t="s">
        <v>1072</v>
      </c>
      <c r="C1038" t="s">
        <v>915</v>
      </c>
      <c r="D1038" t="s">
        <v>916</v>
      </c>
      <c r="E1038" s="3">
        <v>22741</v>
      </c>
      <c r="F1038">
        <v>609</v>
      </c>
      <c r="H1038">
        <v>0.10633528559352734</v>
      </c>
      <c r="K1038">
        <v>0</v>
      </c>
    </row>
    <row r="1039" spans="1:11" x14ac:dyDescent="0.25">
      <c r="A1039" t="s">
        <v>10</v>
      </c>
      <c r="B1039" t="s">
        <v>1073</v>
      </c>
      <c r="C1039" t="s">
        <v>921</v>
      </c>
      <c r="D1039" t="s">
        <v>916</v>
      </c>
      <c r="E1039" s="2">
        <v>23171</v>
      </c>
      <c r="F1039">
        <v>932</v>
      </c>
      <c r="H1039">
        <v>0.1457464160937979</v>
      </c>
      <c r="K1039">
        <v>0</v>
      </c>
    </row>
    <row r="1040" spans="1:11" x14ac:dyDescent="0.25">
      <c r="A1040" t="s">
        <v>10</v>
      </c>
      <c r="B1040" t="s">
        <v>1074</v>
      </c>
      <c r="C1040" t="s">
        <v>931</v>
      </c>
      <c r="D1040" t="s">
        <v>919</v>
      </c>
      <c r="E1040" s="3">
        <v>34217</v>
      </c>
      <c r="F1040">
        <v>736</v>
      </c>
      <c r="H1040">
        <v>0.15859043639575099</v>
      </c>
      <c r="K1040">
        <v>0</v>
      </c>
    </row>
    <row r="1041" spans="1:11" x14ac:dyDescent="0.25">
      <c r="A1041" t="s">
        <v>10</v>
      </c>
      <c r="B1041" t="s">
        <v>1075</v>
      </c>
      <c r="C1041" t="s">
        <v>937</v>
      </c>
      <c r="D1041" t="s">
        <v>937</v>
      </c>
      <c r="E1041" s="2">
        <v>71377</v>
      </c>
      <c r="F1041">
        <v>977</v>
      </c>
      <c r="H1041">
        <v>5.3780278318394048E-2</v>
      </c>
      <c r="K1041">
        <v>0</v>
      </c>
    </row>
    <row r="1042" spans="1:11" x14ac:dyDescent="0.25">
      <c r="A1042" t="s">
        <v>10</v>
      </c>
      <c r="B1042" t="s">
        <v>1076</v>
      </c>
      <c r="C1042" t="s">
        <v>934</v>
      </c>
      <c r="D1042" t="s">
        <v>919</v>
      </c>
      <c r="E1042" s="3">
        <v>32153</v>
      </c>
      <c r="F1042">
        <v>841</v>
      </c>
      <c r="H1042">
        <v>0.24136580781580397</v>
      </c>
      <c r="K1042">
        <v>0</v>
      </c>
    </row>
    <row r="1043" spans="1:11" x14ac:dyDescent="0.25">
      <c r="A1043" t="s">
        <v>10</v>
      </c>
      <c r="B1043" t="s">
        <v>1077</v>
      </c>
      <c r="C1043" t="s">
        <v>931</v>
      </c>
      <c r="D1043" t="s">
        <v>919</v>
      </c>
      <c r="E1043" s="3">
        <v>34321</v>
      </c>
      <c r="F1043">
        <v>556</v>
      </c>
      <c r="H1043">
        <v>0.15914840010078124</v>
      </c>
      <c r="K1043">
        <v>0</v>
      </c>
    </row>
    <row r="1044" spans="1:11" x14ac:dyDescent="0.25">
      <c r="A1044" t="s">
        <v>10</v>
      </c>
      <c r="B1044" t="s">
        <v>1078</v>
      </c>
      <c r="C1044" t="s">
        <v>931</v>
      </c>
      <c r="D1044" t="s">
        <v>919</v>
      </c>
      <c r="E1044" s="3">
        <v>34277</v>
      </c>
      <c r="F1044">
        <v>791</v>
      </c>
      <c r="H1044">
        <v>0.19682797376155647</v>
      </c>
      <c r="K1044">
        <v>0</v>
      </c>
    </row>
    <row r="1045" spans="1:11" x14ac:dyDescent="0.25">
      <c r="A1045" t="s">
        <v>10</v>
      </c>
      <c r="B1045" t="s">
        <v>1079</v>
      </c>
      <c r="C1045" t="s">
        <v>918</v>
      </c>
      <c r="D1045" t="s">
        <v>919</v>
      </c>
      <c r="E1045" s="2">
        <v>37323</v>
      </c>
      <c r="F1045">
        <v>1873</v>
      </c>
      <c r="H1045">
        <v>5.3775006652243551E-3</v>
      </c>
      <c r="K1045">
        <v>0</v>
      </c>
    </row>
    <row r="1046" spans="1:11" x14ac:dyDescent="0.25">
      <c r="A1046" t="s">
        <v>10</v>
      </c>
      <c r="B1046" t="s">
        <v>1080</v>
      </c>
      <c r="C1046" t="s">
        <v>921</v>
      </c>
      <c r="D1046" t="s">
        <v>916</v>
      </c>
      <c r="E1046" s="2">
        <v>23247</v>
      </c>
      <c r="F1046">
        <v>2521</v>
      </c>
      <c r="H1046">
        <v>0.46742901568415351</v>
      </c>
      <c r="K1046">
        <v>75</v>
      </c>
    </row>
    <row r="1047" spans="1:11" x14ac:dyDescent="0.25">
      <c r="A1047" t="s">
        <v>10</v>
      </c>
      <c r="B1047" t="s">
        <v>1081</v>
      </c>
      <c r="C1047" t="s">
        <v>931</v>
      </c>
      <c r="D1047" t="s">
        <v>919</v>
      </c>
      <c r="E1047" s="3">
        <v>34224</v>
      </c>
      <c r="F1047">
        <v>348</v>
      </c>
      <c r="H1047">
        <v>9.4819300269127327E-2</v>
      </c>
      <c r="K1047">
        <v>0</v>
      </c>
    </row>
    <row r="1048" spans="1:11" x14ac:dyDescent="0.25">
      <c r="A1048" t="s">
        <v>10</v>
      </c>
      <c r="B1048" t="s">
        <v>1082</v>
      </c>
      <c r="C1048" t="s">
        <v>915</v>
      </c>
      <c r="D1048" t="s">
        <v>916</v>
      </c>
      <c r="E1048" s="2">
        <v>22784</v>
      </c>
      <c r="F1048">
        <v>532</v>
      </c>
      <c r="H1048">
        <v>0.22577598219379225</v>
      </c>
      <c r="K1048">
        <v>0</v>
      </c>
    </row>
    <row r="1049" spans="1:11" x14ac:dyDescent="0.25">
      <c r="A1049" t="s">
        <v>10</v>
      </c>
      <c r="B1049" t="s">
        <v>1083</v>
      </c>
      <c r="C1049" t="s">
        <v>934</v>
      </c>
      <c r="D1049" t="s">
        <v>919</v>
      </c>
      <c r="E1049" s="3">
        <v>32189</v>
      </c>
      <c r="F1049">
        <v>1325</v>
      </c>
      <c r="H1049">
        <v>0.55265766175562248</v>
      </c>
      <c r="K1049">
        <v>0</v>
      </c>
    </row>
    <row r="1050" spans="1:11" x14ac:dyDescent="0.25">
      <c r="A1050" t="s">
        <v>10</v>
      </c>
      <c r="B1050" t="s">
        <v>1084</v>
      </c>
      <c r="C1050" t="s">
        <v>931</v>
      </c>
      <c r="D1050" t="s">
        <v>919</v>
      </c>
      <c r="E1050" s="2">
        <v>34356</v>
      </c>
      <c r="F1050">
        <v>1125</v>
      </c>
      <c r="H1050">
        <v>0.17196527391363325</v>
      </c>
      <c r="K1050">
        <v>0</v>
      </c>
    </row>
    <row r="1051" spans="1:11" x14ac:dyDescent="0.25">
      <c r="A1051" t="s">
        <v>10</v>
      </c>
      <c r="B1051" t="s">
        <v>1085</v>
      </c>
      <c r="C1051" t="s">
        <v>915</v>
      </c>
      <c r="D1051" t="s">
        <v>916</v>
      </c>
      <c r="E1051" s="3">
        <v>22459</v>
      </c>
      <c r="F1051">
        <v>4026</v>
      </c>
      <c r="H1051">
        <v>0.46033648552276329</v>
      </c>
      <c r="K1051">
        <v>0</v>
      </c>
    </row>
    <row r="1052" spans="1:11" x14ac:dyDescent="0.25">
      <c r="A1052" t="s">
        <v>10</v>
      </c>
      <c r="B1052" t="s">
        <v>1086</v>
      </c>
      <c r="C1052" t="s">
        <v>921</v>
      </c>
      <c r="D1052" t="s">
        <v>916</v>
      </c>
      <c r="E1052" s="3">
        <v>23631</v>
      </c>
      <c r="F1052">
        <v>2253</v>
      </c>
      <c r="H1052">
        <v>0.47092960643783777</v>
      </c>
      <c r="K1052">
        <v>0</v>
      </c>
    </row>
    <row r="1053" spans="1:11" x14ac:dyDescent="0.25">
      <c r="A1053" t="s">
        <v>10</v>
      </c>
      <c r="B1053" t="s">
        <v>1087</v>
      </c>
      <c r="C1053" t="s">
        <v>931</v>
      </c>
      <c r="D1053" t="s">
        <v>919</v>
      </c>
      <c r="E1053" s="3">
        <v>34266</v>
      </c>
      <c r="F1053">
        <v>644</v>
      </c>
      <c r="H1053">
        <v>0.16382620510396995</v>
      </c>
      <c r="K1053">
        <v>0</v>
      </c>
    </row>
    <row r="1054" spans="1:11" x14ac:dyDescent="0.25">
      <c r="A1054" t="s">
        <v>10</v>
      </c>
      <c r="B1054" t="s">
        <v>1088</v>
      </c>
      <c r="C1054" t="s">
        <v>915</v>
      </c>
      <c r="D1054" t="s">
        <v>916</v>
      </c>
      <c r="E1054" s="2">
        <v>22571</v>
      </c>
      <c r="F1054">
        <v>722</v>
      </c>
      <c r="H1054">
        <v>0.18499070378927551</v>
      </c>
      <c r="K1054">
        <v>0</v>
      </c>
    </row>
    <row r="1055" spans="1:11" x14ac:dyDescent="0.25">
      <c r="A1055" t="s">
        <v>10</v>
      </c>
      <c r="B1055" t="s">
        <v>1089</v>
      </c>
      <c r="C1055" t="s">
        <v>921</v>
      </c>
      <c r="D1055" t="s">
        <v>916</v>
      </c>
      <c r="E1055" s="3">
        <v>23326</v>
      </c>
      <c r="F1055">
        <v>98</v>
      </c>
      <c r="H1055">
        <v>0.67651525843600768</v>
      </c>
      <c r="K1055">
        <v>0</v>
      </c>
    </row>
    <row r="1056" spans="1:11" x14ac:dyDescent="0.25">
      <c r="A1056" t="s">
        <v>10</v>
      </c>
      <c r="B1056" t="s">
        <v>1090</v>
      </c>
      <c r="C1056" t="s">
        <v>931</v>
      </c>
      <c r="D1056" t="s">
        <v>919</v>
      </c>
      <c r="E1056" s="2">
        <v>34133</v>
      </c>
      <c r="F1056">
        <v>635</v>
      </c>
      <c r="H1056">
        <v>0.12175861803631893</v>
      </c>
      <c r="K1056">
        <v>0</v>
      </c>
    </row>
    <row r="1057" spans="1:11" x14ac:dyDescent="0.25">
      <c r="A1057" t="s">
        <v>10</v>
      </c>
      <c r="B1057" t="s">
        <v>1091</v>
      </c>
      <c r="C1057" t="s">
        <v>921</v>
      </c>
      <c r="D1057" t="s">
        <v>916</v>
      </c>
      <c r="E1057" s="3">
        <v>23533</v>
      </c>
      <c r="F1057">
        <v>1220</v>
      </c>
      <c r="H1057">
        <v>0.34527047090138951</v>
      </c>
      <c r="K1057">
        <v>69</v>
      </c>
    </row>
    <row r="1058" spans="1:11" x14ac:dyDescent="0.25">
      <c r="A1058" t="s">
        <v>10</v>
      </c>
      <c r="B1058" t="s">
        <v>1092</v>
      </c>
      <c r="C1058" t="s">
        <v>931</v>
      </c>
      <c r="D1058" t="s">
        <v>919</v>
      </c>
      <c r="E1058" s="2">
        <v>34366</v>
      </c>
      <c r="F1058">
        <v>111</v>
      </c>
      <c r="H1058">
        <v>0.1709241285968971</v>
      </c>
      <c r="K1058">
        <v>0</v>
      </c>
    </row>
    <row r="1059" spans="1:11" x14ac:dyDescent="0.25">
      <c r="A1059" t="s">
        <v>10</v>
      </c>
      <c r="B1059" t="s">
        <v>1093</v>
      </c>
      <c r="C1059" t="s">
        <v>921</v>
      </c>
      <c r="D1059" t="s">
        <v>916</v>
      </c>
      <c r="E1059" s="2">
        <v>23544</v>
      </c>
      <c r="F1059">
        <v>815</v>
      </c>
      <c r="H1059">
        <v>0.10611208703155817</v>
      </c>
      <c r="K1059">
        <v>0</v>
      </c>
    </row>
    <row r="1060" spans="1:11" x14ac:dyDescent="0.25">
      <c r="A1060" t="s">
        <v>10</v>
      </c>
      <c r="B1060" t="s">
        <v>1094</v>
      </c>
      <c r="C1060" t="s">
        <v>931</v>
      </c>
      <c r="D1060" t="s">
        <v>919</v>
      </c>
      <c r="E1060" s="2">
        <v>34233</v>
      </c>
      <c r="F1060">
        <v>566</v>
      </c>
      <c r="H1060">
        <v>0.36555283878257183</v>
      </c>
      <c r="K1060">
        <v>0</v>
      </c>
    </row>
    <row r="1061" spans="1:11" x14ac:dyDescent="0.25">
      <c r="A1061" t="s">
        <v>10</v>
      </c>
      <c r="B1061" t="s">
        <v>1095</v>
      </c>
      <c r="C1061" t="s">
        <v>918</v>
      </c>
      <c r="D1061" t="s">
        <v>919</v>
      </c>
      <c r="E1061" s="2">
        <v>37382</v>
      </c>
      <c r="F1061">
        <v>720</v>
      </c>
      <c r="H1061">
        <v>4.7477593771074744E-3</v>
      </c>
      <c r="K1061">
        <v>0</v>
      </c>
    </row>
    <row r="1062" spans="1:11" x14ac:dyDescent="0.25">
      <c r="A1062" t="s">
        <v>10</v>
      </c>
      <c r="B1062" t="s">
        <v>1096</v>
      </c>
      <c r="C1062" t="s">
        <v>921</v>
      </c>
      <c r="D1062" t="s">
        <v>916</v>
      </c>
      <c r="E1062" s="3">
        <v>23366</v>
      </c>
      <c r="F1062">
        <v>439</v>
      </c>
      <c r="H1062">
        <v>0.2543839685346313</v>
      </c>
      <c r="K1062">
        <v>0</v>
      </c>
    </row>
    <row r="1063" spans="1:11" x14ac:dyDescent="0.25">
      <c r="A1063" t="s">
        <v>10</v>
      </c>
      <c r="B1063" t="s">
        <v>1097</v>
      </c>
      <c r="C1063" t="s">
        <v>918</v>
      </c>
      <c r="D1063" t="s">
        <v>919</v>
      </c>
      <c r="E1063" s="2">
        <v>37369</v>
      </c>
      <c r="F1063">
        <v>845</v>
      </c>
      <c r="H1063">
        <v>8.387669688699817E-2</v>
      </c>
      <c r="K1063">
        <v>0</v>
      </c>
    </row>
    <row r="1064" spans="1:11" x14ac:dyDescent="0.25">
      <c r="A1064" t="s">
        <v>10</v>
      </c>
      <c r="B1064" t="s">
        <v>1098</v>
      </c>
      <c r="C1064" t="s">
        <v>915</v>
      </c>
      <c r="D1064" t="s">
        <v>916</v>
      </c>
      <c r="E1064" s="3">
        <v>22761</v>
      </c>
      <c r="F1064">
        <v>1142</v>
      </c>
      <c r="H1064">
        <v>0.21308992346938749</v>
      </c>
      <c r="K1064">
        <v>0</v>
      </c>
    </row>
    <row r="1065" spans="1:11" x14ac:dyDescent="0.25">
      <c r="A1065" t="s">
        <v>10</v>
      </c>
      <c r="B1065" t="s">
        <v>1099</v>
      </c>
      <c r="C1065" t="s">
        <v>921</v>
      </c>
      <c r="D1065" t="s">
        <v>916</v>
      </c>
      <c r="E1065" s="2">
        <v>23627</v>
      </c>
      <c r="F1065">
        <v>1850</v>
      </c>
      <c r="H1065">
        <v>1.4100174503432816E-2</v>
      </c>
      <c r="K1065">
        <v>117</v>
      </c>
    </row>
    <row r="1066" spans="1:11" x14ac:dyDescent="0.25">
      <c r="A1066" t="s">
        <v>10</v>
      </c>
      <c r="B1066" t="s">
        <v>1100</v>
      </c>
      <c r="C1066" t="s">
        <v>918</v>
      </c>
      <c r="D1066" t="s">
        <v>919</v>
      </c>
      <c r="E1066" s="3">
        <v>37351</v>
      </c>
      <c r="F1066">
        <v>1387</v>
      </c>
      <c r="H1066">
        <v>1.6771805721226385E-2</v>
      </c>
      <c r="K1066">
        <v>0</v>
      </c>
    </row>
    <row r="1067" spans="1:11" x14ac:dyDescent="0.25">
      <c r="A1067" t="s">
        <v>10</v>
      </c>
      <c r="B1067" t="s">
        <v>1101</v>
      </c>
      <c r="C1067" t="s">
        <v>918</v>
      </c>
      <c r="D1067" t="s">
        <v>919</v>
      </c>
      <c r="E1067" s="2">
        <v>37361</v>
      </c>
      <c r="F1067">
        <v>1184</v>
      </c>
      <c r="H1067">
        <v>1.0648216425438117E-2</v>
      </c>
      <c r="K1067">
        <v>0</v>
      </c>
    </row>
    <row r="1068" spans="1:11" x14ac:dyDescent="0.25">
      <c r="A1068" t="s">
        <v>10</v>
      </c>
      <c r="B1068" t="s">
        <v>1102</v>
      </c>
      <c r="C1068" t="s">
        <v>931</v>
      </c>
      <c r="D1068" t="s">
        <v>919</v>
      </c>
      <c r="E1068" s="3">
        <v>34234</v>
      </c>
      <c r="F1068">
        <v>607</v>
      </c>
      <c r="H1068">
        <v>0.14712247324613559</v>
      </c>
      <c r="K1068">
        <v>0</v>
      </c>
    </row>
    <row r="1069" spans="1:11" x14ac:dyDescent="0.25">
      <c r="A1069" t="s">
        <v>10</v>
      </c>
      <c r="B1069" t="s">
        <v>1103</v>
      </c>
      <c r="C1069" t="s">
        <v>937</v>
      </c>
      <c r="D1069" t="s">
        <v>937</v>
      </c>
      <c r="E1069" s="2">
        <v>71276</v>
      </c>
      <c r="F1069">
        <v>1946</v>
      </c>
      <c r="H1069">
        <v>0.18570733385502003</v>
      </c>
      <c r="K1069">
        <v>0</v>
      </c>
    </row>
    <row r="1070" spans="1:11" x14ac:dyDescent="0.25">
      <c r="A1070" t="s">
        <v>10</v>
      </c>
      <c r="B1070" t="s">
        <v>1104</v>
      </c>
      <c r="C1070" t="s">
        <v>937</v>
      </c>
      <c r="D1070" t="s">
        <v>937</v>
      </c>
      <c r="E1070" s="2">
        <v>71231</v>
      </c>
      <c r="F1070">
        <v>2485</v>
      </c>
      <c r="H1070">
        <v>0.42143444407977393</v>
      </c>
      <c r="K1070">
        <v>0</v>
      </c>
    </row>
    <row r="1071" spans="1:11" x14ac:dyDescent="0.25">
      <c r="A1071" t="s">
        <v>10</v>
      </c>
      <c r="B1071" t="s">
        <v>1105</v>
      </c>
      <c r="C1071" t="s">
        <v>915</v>
      </c>
      <c r="D1071" t="s">
        <v>916</v>
      </c>
      <c r="E1071" s="2">
        <v>22747</v>
      </c>
      <c r="F1071">
        <v>2269</v>
      </c>
      <c r="H1071">
        <v>0.49517009921654975</v>
      </c>
      <c r="K1071">
        <v>0</v>
      </c>
    </row>
    <row r="1072" spans="1:11" x14ac:dyDescent="0.25">
      <c r="A1072" t="s">
        <v>10</v>
      </c>
      <c r="B1072" t="s">
        <v>1106</v>
      </c>
      <c r="C1072" t="s">
        <v>918</v>
      </c>
      <c r="D1072" t="s">
        <v>919</v>
      </c>
      <c r="E1072" s="2">
        <v>37343</v>
      </c>
      <c r="F1072">
        <v>1952</v>
      </c>
      <c r="H1072">
        <v>3.230567258096162E-2</v>
      </c>
      <c r="K1072">
        <v>0</v>
      </c>
    </row>
    <row r="1073" spans="1:11" x14ac:dyDescent="0.25">
      <c r="A1073" t="s">
        <v>10</v>
      </c>
      <c r="B1073" t="s">
        <v>1107</v>
      </c>
      <c r="C1073" t="s">
        <v>934</v>
      </c>
      <c r="D1073" t="s">
        <v>919</v>
      </c>
      <c r="E1073" s="2">
        <v>32157</v>
      </c>
      <c r="F1073">
        <v>719</v>
      </c>
      <c r="H1073">
        <v>0.52229289192326145</v>
      </c>
      <c r="K1073">
        <v>0</v>
      </c>
    </row>
    <row r="1074" spans="1:11" x14ac:dyDescent="0.25">
      <c r="A1074" t="s">
        <v>10</v>
      </c>
      <c r="B1074" t="s">
        <v>1108</v>
      </c>
      <c r="C1074" t="s">
        <v>982</v>
      </c>
      <c r="D1074" t="s">
        <v>919</v>
      </c>
      <c r="E1074" s="2">
        <v>36131</v>
      </c>
      <c r="F1074">
        <v>1004</v>
      </c>
      <c r="H1074">
        <v>0.15450706911209455</v>
      </c>
      <c r="K1074">
        <v>0</v>
      </c>
    </row>
    <row r="1075" spans="1:11" x14ac:dyDescent="0.25">
      <c r="A1075" t="s">
        <v>10</v>
      </c>
      <c r="B1075" t="s">
        <v>1109</v>
      </c>
      <c r="C1075" t="s">
        <v>921</v>
      </c>
      <c r="D1075" t="s">
        <v>916</v>
      </c>
      <c r="E1075" s="3">
        <v>23411</v>
      </c>
      <c r="F1075">
        <v>310</v>
      </c>
      <c r="H1075">
        <v>0.30966854839225788</v>
      </c>
      <c r="K1075">
        <v>0</v>
      </c>
    </row>
    <row r="1076" spans="1:11" x14ac:dyDescent="0.25">
      <c r="A1076" t="s">
        <v>10</v>
      </c>
      <c r="B1076" t="s">
        <v>1110</v>
      </c>
      <c r="C1076" t="s">
        <v>921</v>
      </c>
      <c r="D1076" t="s">
        <v>916</v>
      </c>
      <c r="E1076" s="3">
        <v>23611</v>
      </c>
      <c r="F1076">
        <v>1131</v>
      </c>
      <c r="H1076">
        <v>0.62842503066890498</v>
      </c>
      <c r="K1076">
        <v>211</v>
      </c>
    </row>
    <row r="1077" spans="1:11" x14ac:dyDescent="0.25">
      <c r="A1077" t="s">
        <v>10</v>
      </c>
      <c r="B1077" t="s">
        <v>1111</v>
      </c>
      <c r="C1077" t="s">
        <v>931</v>
      </c>
      <c r="D1077" t="s">
        <v>919</v>
      </c>
      <c r="E1077" s="2">
        <v>34264</v>
      </c>
      <c r="F1077">
        <v>1157</v>
      </c>
      <c r="H1077">
        <v>0.13697374949157248</v>
      </c>
      <c r="K1077">
        <v>0</v>
      </c>
    </row>
    <row r="1078" spans="1:11" x14ac:dyDescent="0.25">
      <c r="A1078" t="s">
        <v>10</v>
      </c>
      <c r="B1078" t="s">
        <v>1112</v>
      </c>
      <c r="C1078" t="s">
        <v>931</v>
      </c>
      <c r="D1078" t="s">
        <v>919</v>
      </c>
      <c r="E1078" s="3">
        <v>34219</v>
      </c>
      <c r="F1078">
        <v>198</v>
      </c>
      <c r="H1078">
        <v>9.4732598763773157E-2</v>
      </c>
      <c r="K1078">
        <v>0</v>
      </c>
    </row>
    <row r="1079" spans="1:11" x14ac:dyDescent="0.25">
      <c r="A1079" t="s">
        <v>10</v>
      </c>
      <c r="B1079" t="s">
        <v>1113</v>
      </c>
      <c r="C1079" t="s">
        <v>921</v>
      </c>
      <c r="D1079" t="s">
        <v>916</v>
      </c>
      <c r="E1079" s="2">
        <v>23671</v>
      </c>
      <c r="F1079">
        <v>1258</v>
      </c>
      <c r="H1079">
        <v>0.42098503966572998</v>
      </c>
      <c r="K1079">
        <v>0</v>
      </c>
    </row>
    <row r="1080" spans="1:11" x14ac:dyDescent="0.25">
      <c r="A1080" t="s">
        <v>10</v>
      </c>
      <c r="B1080" t="s">
        <v>1114</v>
      </c>
      <c r="C1080" t="s">
        <v>915</v>
      </c>
      <c r="D1080" t="s">
        <v>916</v>
      </c>
      <c r="E1080" s="2">
        <v>22415</v>
      </c>
      <c r="F1080">
        <v>685</v>
      </c>
      <c r="H1080">
        <v>0.27544581618655695</v>
      </c>
      <c r="K1080">
        <v>0</v>
      </c>
    </row>
    <row r="1081" spans="1:11" x14ac:dyDescent="0.25">
      <c r="A1081" t="s">
        <v>10</v>
      </c>
      <c r="B1081" t="s">
        <v>1115</v>
      </c>
      <c r="C1081" t="s">
        <v>921</v>
      </c>
      <c r="D1081" t="s">
        <v>916</v>
      </c>
      <c r="E1081" s="3">
        <v>23522</v>
      </c>
      <c r="F1081">
        <v>98</v>
      </c>
      <c r="H1081">
        <v>0.20991662333003636</v>
      </c>
      <c r="K1081">
        <v>0</v>
      </c>
    </row>
    <row r="1082" spans="1:11" x14ac:dyDescent="0.25">
      <c r="A1082" t="s">
        <v>10</v>
      </c>
      <c r="B1082" t="s">
        <v>1116</v>
      </c>
      <c r="C1082" t="s">
        <v>934</v>
      </c>
      <c r="D1082" t="s">
        <v>919</v>
      </c>
      <c r="E1082" s="2">
        <v>32135</v>
      </c>
      <c r="F1082">
        <v>198</v>
      </c>
      <c r="H1082">
        <v>0.14074955485437324</v>
      </c>
      <c r="K1082">
        <v>0</v>
      </c>
    </row>
    <row r="1083" spans="1:11" x14ac:dyDescent="0.25">
      <c r="A1083" t="s">
        <v>10</v>
      </c>
      <c r="B1083" t="s">
        <v>1117</v>
      </c>
      <c r="C1083" t="s">
        <v>937</v>
      </c>
      <c r="D1083" t="s">
        <v>937</v>
      </c>
      <c r="E1083" s="3">
        <v>71221</v>
      </c>
      <c r="F1083">
        <v>2043</v>
      </c>
      <c r="H1083">
        <v>8.028418768439971E-2</v>
      </c>
      <c r="K1083">
        <v>0</v>
      </c>
    </row>
    <row r="1084" spans="1:11" x14ac:dyDescent="0.25">
      <c r="A1084" t="s">
        <v>10</v>
      </c>
      <c r="B1084" t="s">
        <v>1118</v>
      </c>
      <c r="C1084" t="s">
        <v>982</v>
      </c>
      <c r="D1084" t="s">
        <v>919</v>
      </c>
      <c r="E1084" s="2">
        <v>36137</v>
      </c>
      <c r="F1084">
        <v>745</v>
      </c>
      <c r="H1084">
        <v>8.4179045855601764E-2</v>
      </c>
      <c r="K1084">
        <v>0</v>
      </c>
    </row>
    <row r="1085" spans="1:11" x14ac:dyDescent="0.25">
      <c r="A1085" t="s">
        <v>10</v>
      </c>
      <c r="B1085" t="s">
        <v>1119</v>
      </c>
      <c r="C1085" t="s">
        <v>931</v>
      </c>
      <c r="D1085" t="s">
        <v>919</v>
      </c>
      <c r="E1085" s="3">
        <v>34166</v>
      </c>
      <c r="F1085">
        <v>523</v>
      </c>
      <c r="H1085">
        <v>0.33676097110483616</v>
      </c>
      <c r="K1085">
        <v>0</v>
      </c>
    </row>
    <row r="1086" spans="1:11" x14ac:dyDescent="0.25">
      <c r="A1086" t="s">
        <v>10</v>
      </c>
      <c r="B1086" t="s">
        <v>1120</v>
      </c>
      <c r="C1086" t="s">
        <v>915</v>
      </c>
      <c r="D1086" t="s">
        <v>916</v>
      </c>
      <c r="E1086" s="2">
        <v>22431</v>
      </c>
      <c r="F1086">
        <v>2586</v>
      </c>
      <c r="H1086">
        <v>0.54902972509524284</v>
      </c>
      <c r="K1086">
        <v>115</v>
      </c>
    </row>
    <row r="1087" spans="1:11" x14ac:dyDescent="0.25">
      <c r="A1087" t="s">
        <v>10</v>
      </c>
      <c r="B1087" t="s">
        <v>1121</v>
      </c>
      <c r="C1087" t="s">
        <v>931</v>
      </c>
      <c r="D1087" t="s">
        <v>919</v>
      </c>
      <c r="E1087" s="2">
        <v>34316</v>
      </c>
      <c r="F1087">
        <v>516</v>
      </c>
      <c r="H1087">
        <v>0.13978400000000002</v>
      </c>
      <c r="K1087">
        <v>0</v>
      </c>
    </row>
    <row r="1088" spans="1:11" x14ac:dyDescent="0.25">
      <c r="A1088" t="s">
        <v>10</v>
      </c>
      <c r="B1088" t="s">
        <v>1122</v>
      </c>
      <c r="C1088" t="s">
        <v>915</v>
      </c>
      <c r="D1088" t="s">
        <v>916</v>
      </c>
      <c r="E1088" s="3">
        <v>22744</v>
      </c>
      <c r="F1088">
        <v>1092</v>
      </c>
      <c r="H1088">
        <v>0.17788501685499425</v>
      </c>
      <c r="K1088">
        <v>0</v>
      </c>
    </row>
    <row r="1089" spans="1:11" x14ac:dyDescent="0.25">
      <c r="A1089" t="s">
        <v>10</v>
      </c>
      <c r="B1089" t="s">
        <v>1123</v>
      </c>
      <c r="C1089" t="s">
        <v>982</v>
      </c>
      <c r="D1089" t="s">
        <v>919</v>
      </c>
      <c r="E1089" s="3">
        <v>36177</v>
      </c>
      <c r="F1089">
        <v>3590</v>
      </c>
      <c r="H1089">
        <v>8.7404945525168865E-2</v>
      </c>
      <c r="K1089">
        <v>0</v>
      </c>
    </row>
    <row r="1090" spans="1:11" x14ac:dyDescent="0.25">
      <c r="A1090" t="s">
        <v>10</v>
      </c>
      <c r="B1090" t="s">
        <v>1124</v>
      </c>
      <c r="C1090" t="s">
        <v>934</v>
      </c>
      <c r="D1090" t="s">
        <v>919</v>
      </c>
      <c r="E1090" s="2">
        <v>32145</v>
      </c>
      <c r="F1090">
        <v>745</v>
      </c>
      <c r="H1090">
        <v>0.36687557625199863</v>
      </c>
      <c r="K1090">
        <v>0</v>
      </c>
    </row>
    <row r="1091" spans="1:11" x14ac:dyDescent="0.25">
      <c r="A1091" t="s">
        <v>10</v>
      </c>
      <c r="B1091" t="s">
        <v>1125</v>
      </c>
      <c r="C1091" t="s">
        <v>915</v>
      </c>
      <c r="D1091" t="s">
        <v>916</v>
      </c>
      <c r="E1091" s="2">
        <v>22535</v>
      </c>
      <c r="F1091">
        <v>1852</v>
      </c>
      <c r="H1091">
        <v>0.23669603544028484</v>
      </c>
      <c r="K1091">
        <v>0</v>
      </c>
    </row>
    <row r="1092" spans="1:11" x14ac:dyDescent="0.25">
      <c r="A1092" t="s">
        <v>10</v>
      </c>
      <c r="B1092" t="s">
        <v>1126</v>
      </c>
      <c r="C1092" t="s">
        <v>921</v>
      </c>
      <c r="D1092" t="s">
        <v>916</v>
      </c>
      <c r="E1092" s="3">
        <v>23279</v>
      </c>
      <c r="F1092">
        <v>369</v>
      </c>
      <c r="H1092">
        <v>9.7464474463594741E-2</v>
      </c>
      <c r="K1092">
        <v>0</v>
      </c>
    </row>
    <row r="1093" spans="1:11" x14ac:dyDescent="0.25">
      <c r="A1093" t="s">
        <v>10</v>
      </c>
      <c r="B1093" t="s">
        <v>1127</v>
      </c>
      <c r="C1093" t="s">
        <v>921</v>
      </c>
      <c r="D1093" t="s">
        <v>916</v>
      </c>
      <c r="E1093" s="3">
        <v>23437</v>
      </c>
      <c r="F1093">
        <v>1210</v>
      </c>
      <c r="H1093">
        <v>0.53788330195481504</v>
      </c>
      <c r="K1093">
        <v>0</v>
      </c>
    </row>
    <row r="1094" spans="1:11" x14ac:dyDescent="0.25">
      <c r="A1094" t="s">
        <v>10</v>
      </c>
      <c r="B1094" t="s">
        <v>1128</v>
      </c>
      <c r="C1094" t="s">
        <v>931</v>
      </c>
      <c r="D1094" t="s">
        <v>919</v>
      </c>
      <c r="E1094" s="2">
        <v>34374</v>
      </c>
      <c r="F1094">
        <v>767</v>
      </c>
      <c r="H1094">
        <v>0.41530955989590779</v>
      </c>
      <c r="K1094">
        <v>60</v>
      </c>
    </row>
    <row r="1095" spans="1:11" x14ac:dyDescent="0.25">
      <c r="A1095" t="s">
        <v>10</v>
      </c>
      <c r="B1095" t="s">
        <v>1129</v>
      </c>
      <c r="C1095" t="s">
        <v>931</v>
      </c>
      <c r="D1095" t="s">
        <v>919</v>
      </c>
      <c r="E1095" s="3">
        <v>34246</v>
      </c>
      <c r="F1095">
        <v>784</v>
      </c>
      <c r="H1095">
        <v>0.12945057502245449</v>
      </c>
      <c r="K1095">
        <v>0</v>
      </c>
    </row>
    <row r="1096" spans="1:11" x14ac:dyDescent="0.25">
      <c r="A1096" t="s">
        <v>10</v>
      </c>
      <c r="B1096" t="s">
        <v>1130</v>
      </c>
      <c r="C1096" t="s">
        <v>931</v>
      </c>
      <c r="D1096" t="s">
        <v>919</v>
      </c>
      <c r="E1096" s="2">
        <v>34239</v>
      </c>
      <c r="F1096">
        <v>414</v>
      </c>
      <c r="H1096">
        <v>0.16688855822695592</v>
      </c>
      <c r="K1096">
        <v>0</v>
      </c>
    </row>
    <row r="1097" spans="1:11" x14ac:dyDescent="0.25">
      <c r="A1097" t="s">
        <v>10</v>
      </c>
      <c r="B1097" t="s">
        <v>1131</v>
      </c>
      <c r="C1097" t="s">
        <v>915</v>
      </c>
      <c r="D1097" t="s">
        <v>916</v>
      </c>
      <c r="E1097" s="3">
        <v>22595</v>
      </c>
      <c r="F1097">
        <v>2292</v>
      </c>
      <c r="H1097">
        <v>0.23847033060941081</v>
      </c>
      <c r="K1097">
        <v>0</v>
      </c>
    </row>
    <row r="1098" spans="1:11" x14ac:dyDescent="0.25">
      <c r="A1098" t="s">
        <v>10</v>
      </c>
      <c r="B1098" t="s">
        <v>1132</v>
      </c>
      <c r="C1098" t="s">
        <v>931</v>
      </c>
      <c r="D1098" t="s">
        <v>919</v>
      </c>
      <c r="E1098" s="3">
        <v>34274</v>
      </c>
      <c r="F1098">
        <v>287</v>
      </c>
      <c r="H1098">
        <v>0.20552552388992518</v>
      </c>
      <c r="K1098">
        <v>0</v>
      </c>
    </row>
    <row r="1099" spans="1:11" x14ac:dyDescent="0.25">
      <c r="A1099" t="s">
        <v>10</v>
      </c>
      <c r="B1099" t="s">
        <v>1133</v>
      </c>
      <c r="C1099" t="s">
        <v>931</v>
      </c>
      <c r="D1099" t="s">
        <v>919</v>
      </c>
      <c r="E1099" s="2">
        <v>34331</v>
      </c>
      <c r="F1099">
        <v>517</v>
      </c>
      <c r="H1099">
        <v>0.36523606151835508</v>
      </c>
      <c r="K1099">
        <v>0</v>
      </c>
    </row>
    <row r="1100" spans="1:11" x14ac:dyDescent="0.25">
      <c r="A1100" t="s">
        <v>10</v>
      </c>
      <c r="B1100" t="s">
        <v>1134</v>
      </c>
      <c r="C1100" t="s">
        <v>937</v>
      </c>
      <c r="D1100" t="s">
        <v>937</v>
      </c>
      <c r="E1100" s="3">
        <v>71364</v>
      </c>
      <c r="F1100">
        <v>1497</v>
      </c>
      <c r="H1100">
        <v>2.554754015332128E-2</v>
      </c>
      <c r="K1100">
        <v>0</v>
      </c>
    </row>
    <row r="1101" spans="1:11" x14ac:dyDescent="0.25">
      <c r="A1101" t="s">
        <v>10</v>
      </c>
      <c r="B1101" t="s">
        <v>1135</v>
      </c>
      <c r="C1101" t="s">
        <v>931</v>
      </c>
      <c r="D1101" t="s">
        <v>919</v>
      </c>
      <c r="E1101" s="2">
        <v>34271</v>
      </c>
      <c r="F1101">
        <v>578</v>
      </c>
      <c r="H1101">
        <v>0.41168791585436704</v>
      </c>
      <c r="K1101">
        <v>0</v>
      </c>
    </row>
    <row r="1102" spans="1:11" x14ac:dyDescent="0.25">
      <c r="A1102" t="s">
        <v>10</v>
      </c>
      <c r="B1102" t="s">
        <v>1136</v>
      </c>
      <c r="C1102" t="s">
        <v>931</v>
      </c>
      <c r="D1102" t="s">
        <v>919</v>
      </c>
      <c r="E1102" s="3">
        <v>34236</v>
      </c>
      <c r="F1102">
        <v>445</v>
      </c>
      <c r="H1102">
        <v>0.32139095166921039</v>
      </c>
      <c r="K1102">
        <v>0</v>
      </c>
    </row>
    <row r="1103" spans="1:11" x14ac:dyDescent="0.25">
      <c r="A1103" t="s">
        <v>10</v>
      </c>
      <c r="B1103" t="s">
        <v>1137</v>
      </c>
      <c r="C1103" t="s">
        <v>918</v>
      </c>
      <c r="D1103" t="s">
        <v>919</v>
      </c>
      <c r="E1103" s="2">
        <v>37251</v>
      </c>
      <c r="F1103">
        <v>624</v>
      </c>
      <c r="H1103">
        <v>1.1952920423871971E-2</v>
      </c>
      <c r="K1103">
        <v>0</v>
      </c>
    </row>
    <row r="1104" spans="1:11" x14ac:dyDescent="0.25">
      <c r="A1104" t="s">
        <v>10</v>
      </c>
      <c r="B1104" t="s">
        <v>1138</v>
      </c>
      <c r="C1104" t="s">
        <v>918</v>
      </c>
      <c r="D1104" t="s">
        <v>919</v>
      </c>
      <c r="E1104" s="2">
        <v>37339</v>
      </c>
      <c r="F1104">
        <v>2342</v>
      </c>
      <c r="H1104">
        <v>5.6847301288552865E-3</v>
      </c>
      <c r="K1104">
        <v>0</v>
      </c>
    </row>
    <row r="1105" spans="1:11" x14ac:dyDescent="0.25">
      <c r="A1105" t="s">
        <v>10</v>
      </c>
      <c r="B1105" t="s">
        <v>1139</v>
      </c>
      <c r="C1105" t="s">
        <v>921</v>
      </c>
      <c r="D1105" t="s">
        <v>916</v>
      </c>
      <c r="E1105" s="3">
        <v>23316</v>
      </c>
      <c r="F1105">
        <v>161</v>
      </c>
      <c r="H1105">
        <v>0.72661971895017752</v>
      </c>
      <c r="K1105">
        <v>0</v>
      </c>
    </row>
    <row r="1106" spans="1:11" x14ac:dyDescent="0.25">
      <c r="A1106" t="s">
        <v>10</v>
      </c>
      <c r="B1106" t="s">
        <v>1140</v>
      </c>
      <c r="C1106" t="s">
        <v>921</v>
      </c>
      <c r="D1106" t="s">
        <v>916</v>
      </c>
      <c r="E1106" s="2">
        <v>23365</v>
      </c>
      <c r="F1106">
        <v>56</v>
      </c>
      <c r="H1106">
        <v>0.17512430081531483</v>
      </c>
      <c r="K1106">
        <v>121</v>
      </c>
    </row>
    <row r="1107" spans="1:11" x14ac:dyDescent="0.25">
      <c r="A1107" t="s">
        <v>10</v>
      </c>
      <c r="B1107" t="s">
        <v>1141</v>
      </c>
      <c r="C1107" t="s">
        <v>915</v>
      </c>
      <c r="D1107" t="s">
        <v>916</v>
      </c>
      <c r="E1107" s="3">
        <v>22539</v>
      </c>
      <c r="F1107">
        <v>622</v>
      </c>
      <c r="H1107">
        <v>0.13339458651542768</v>
      </c>
      <c r="K1107">
        <v>0</v>
      </c>
    </row>
    <row r="1108" spans="1:11" x14ac:dyDescent="0.25">
      <c r="A1108" t="s">
        <v>10</v>
      </c>
      <c r="B1108" t="s">
        <v>1142</v>
      </c>
      <c r="C1108" t="s">
        <v>921</v>
      </c>
      <c r="D1108" t="s">
        <v>916</v>
      </c>
      <c r="E1108" s="2">
        <v>23647</v>
      </c>
      <c r="F1108">
        <v>585</v>
      </c>
      <c r="H1108">
        <v>6.8012123104419064E-2</v>
      </c>
      <c r="K1108">
        <v>0</v>
      </c>
    </row>
    <row r="1109" spans="1:11" x14ac:dyDescent="0.25">
      <c r="A1109" t="s">
        <v>10</v>
      </c>
      <c r="B1109" t="s">
        <v>1143</v>
      </c>
      <c r="C1109" t="s">
        <v>921</v>
      </c>
      <c r="D1109" t="s">
        <v>916</v>
      </c>
      <c r="E1109" s="3">
        <v>23443</v>
      </c>
      <c r="F1109">
        <v>1194</v>
      </c>
      <c r="H1109">
        <v>0.17642472712640189</v>
      </c>
      <c r="K1109">
        <v>0</v>
      </c>
    </row>
    <row r="1110" spans="1:11" x14ac:dyDescent="0.25">
      <c r="A1110" t="s">
        <v>10</v>
      </c>
      <c r="B1110" t="s">
        <v>1144</v>
      </c>
      <c r="C1110" t="s">
        <v>915</v>
      </c>
      <c r="D1110" t="s">
        <v>916</v>
      </c>
      <c r="E1110" s="2">
        <v>22575</v>
      </c>
      <c r="F1110">
        <v>141</v>
      </c>
      <c r="H1110">
        <v>0.25396825396825395</v>
      </c>
      <c r="K1110">
        <v>0</v>
      </c>
    </row>
    <row r="1111" spans="1:11" x14ac:dyDescent="0.25">
      <c r="A1111" t="s">
        <v>10</v>
      </c>
      <c r="B1111" t="s">
        <v>1145</v>
      </c>
      <c r="C1111" t="s">
        <v>915</v>
      </c>
      <c r="D1111" t="s">
        <v>916</v>
      </c>
      <c r="E1111" s="3">
        <v>22463</v>
      </c>
      <c r="F1111">
        <v>1722</v>
      </c>
      <c r="H1111">
        <v>0.32416284052647659</v>
      </c>
      <c r="K1111">
        <v>0</v>
      </c>
    </row>
    <row r="1112" spans="1:11" x14ac:dyDescent="0.25">
      <c r="A1112" t="s">
        <v>10</v>
      </c>
      <c r="B1112" t="s">
        <v>1146</v>
      </c>
      <c r="C1112" t="s">
        <v>934</v>
      </c>
      <c r="D1112" t="s">
        <v>919</v>
      </c>
      <c r="E1112" s="2">
        <v>32151</v>
      </c>
      <c r="F1112">
        <v>685</v>
      </c>
      <c r="H1112">
        <v>0.233299181602864</v>
      </c>
      <c r="K1112">
        <v>0</v>
      </c>
    </row>
    <row r="1113" spans="1:11" x14ac:dyDescent="0.25">
      <c r="A1113" t="s">
        <v>10</v>
      </c>
      <c r="B1113" t="s">
        <v>1147</v>
      </c>
      <c r="C1113" t="s">
        <v>921</v>
      </c>
      <c r="D1113" t="s">
        <v>916</v>
      </c>
      <c r="E1113" s="3">
        <v>23687</v>
      </c>
      <c r="F1113">
        <v>244</v>
      </c>
      <c r="H1113">
        <v>0.20788641577283185</v>
      </c>
      <c r="K1113">
        <v>0</v>
      </c>
    </row>
    <row r="1114" spans="1:11" x14ac:dyDescent="0.25">
      <c r="A1114" t="s">
        <v>10</v>
      </c>
      <c r="B1114" t="s">
        <v>1148</v>
      </c>
      <c r="C1114" t="s">
        <v>918</v>
      </c>
      <c r="D1114" t="s">
        <v>919</v>
      </c>
      <c r="E1114" s="2">
        <v>37315</v>
      </c>
      <c r="F1114">
        <v>1196</v>
      </c>
      <c r="H1114">
        <v>0.33856803110364353</v>
      </c>
      <c r="K1114">
        <v>0</v>
      </c>
    </row>
    <row r="1115" spans="1:11" x14ac:dyDescent="0.25">
      <c r="A1115" t="s">
        <v>10</v>
      </c>
      <c r="B1115" t="s">
        <v>1149</v>
      </c>
      <c r="C1115" t="s">
        <v>915</v>
      </c>
      <c r="D1115" t="s">
        <v>916</v>
      </c>
      <c r="E1115" s="2">
        <v>22579</v>
      </c>
      <c r="F1115">
        <v>167</v>
      </c>
      <c r="H1115">
        <v>0.16408317580340281</v>
      </c>
      <c r="K1115">
        <v>0</v>
      </c>
    </row>
    <row r="1116" spans="1:11" x14ac:dyDescent="0.25">
      <c r="A1116" t="s">
        <v>10</v>
      </c>
      <c r="B1116" t="s">
        <v>1150</v>
      </c>
      <c r="C1116" t="s">
        <v>931</v>
      </c>
      <c r="D1116" t="s">
        <v>919</v>
      </c>
      <c r="E1116" s="2">
        <v>34341</v>
      </c>
      <c r="F1116">
        <v>425</v>
      </c>
      <c r="H1116">
        <v>0.5295318615073854</v>
      </c>
      <c r="K1116">
        <v>0</v>
      </c>
    </row>
    <row r="1117" spans="1:11" x14ac:dyDescent="0.25">
      <c r="A1117" t="s">
        <v>10</v>
      </c>
      <c r="B1117" t="s">
        <v>1151</v>
      </c>
      <c r="C1117" t="s">
        <v>934</v>
      </c>
      <c r="D1117" t="s">
        <v>919</v>
      </c>
      <c r="E1117" s="3">
        <v>32141</v>
      </c>
      <c r="F1117">
        <v>296</v>
      </c>
      <c r="H1117">
        <v>0.17036011080332403</v>
      </c>
      <c r="K1117">
        <v>24</v>
      </c>
    </row>
    <row r="1118" spans="1:11" x14ac:dyDescent="0.25">
      <c r="A1118" t="s">
        <v>10</v>
      </c>
      <c r="B1118" t="s">
        <v>1152</v>
      </c>
      <c r="C1118" t="s">
        <v>915</v>
      </c>
      <c r="D1118" t="s">
        <v>916</v>
      </c>
      <c r="E1118" s="2">
        <v>22555</v>
      </c>
      <c r="F1118">
        <v>889</v>
      </c>
      <c r="H1118">
        <v>0.60324115444994564</v>
      </c>
      <c r="K1118">
        <v>0</v>
      </c>
    </row>
    <row r="1119" spans="1:11" x14ac:dyDescent="0.25">
      <c r="A1119" t="s">
        <v>10</v>
      </c>
      <c r="B1119" t="s">
        <v>1153</v>
      </c>
      <c r="C1119" t="s">
        <v>937</v>
      </c>
      <c r="D1119" t="s">
        <v>937</v>
      </c>
      <c r="E1119" s="3">
        <v>71271</v>
      </c>
      <c r="F1119">
        <v>717</v>
      </c>
      <c r="H1119">
        <v>0.65816375580836395</v>
      </c>
      <c r="K1119">
        <v>0</v>
      </c>
    </row>
    <row r="1120" spans="1:11" x14ac:dyDescent="0.25">
      <c r="A1120" t="s">
        <v>10</v>
      </c>
      <c r="B1120" t="s">
        <v>1154</v>
      </c>
      <c r="C1120" t="s">
        <v>915</v>
      </c>
      <c r="D1120" t="s">
        <v>916</v>
      </c>
      <c r="E1120" s="3">
        <v>22319</v>
      </c>
      <c r="F1120">
        <v>1937</v>
      </c>
      <c r="H1120">
        <v>0.77826988071998005</v>
      </c>
      <c r="K1120">
        <v>0</v>
      </c>
    </row>
    <row r="1121" spans="1:11" x14ac:dyDescent="0.25">
      <c r="A1121" t="s">
        <v>10</v>
      </c>
      <c r="B1121" t="s">
        <v>1155</v>
      </c>
      <c r="C1121" t="s">
        <v>915</v>
      </c>
      <c r="D1121" t="s">
        <v>916</v>
      </c>
      <c r="E1121" s="2">
        <v>22767</v>
      </c>
      <c r="F1121">
        <v>403</v>
      </c>
      <c r="H1121">
        <v>0.28307794057251356</v>
      </c>
      <c r="K1121">
        <v>0</v>
      </c>
    </row>
    <row r="1122" spans="1:11" x14ac:dyDescent="0.25">
      <c r="A1122" t="s">
        <v>10</v>
      </c>
      <c r="B1122" t="s">
        <v>1156</v>
      </c>
      <c r="C1122" t="s">
        <v>921</v>
      </c>
      <c r="D1122" t="s">
        <v>916</v>
      </c>
      <c r="E1122" s="3">
        <v>23429</v>
      </c>
      <c r="F1122">
        <v>1012</v>
      </c>
      <c r="H1122">
        <v>2.2852552184970065E-2</v>
      </c>
      <c r="K1122">
        <v>0</v>
      </c>
    </row>
    <row r="1123" spans="1:11" x14ac:dyDescent="0.25">
      <c r="A1123" t="s">
        <v>10</v>
      </c>
      <c r="B1123" t="s">
        <v>1157</v>
      </c>
      <c r="C1123" t="s">
        <v>915</v>
      </c>
      <c r="D1123" t="s">
        <v>916</v>
      </c>
      <c r="E1123" s="3">
        <v>22559</v>
      </c>
      <c r="F1123">
        <v>565</v>
      </c>
      <c r="H1123">
        <v>0.2284088493080656</v>
      </c>
      <c r="K1123">
        <v>0</v>
      </c>
    </row>
    <row r="1124" spans="1:11" x14ac:dyDescent="0.25">
      <c r="A1124" t="s">
        <v>10</v>
      </c>
      <c r="B1124" t="s">
        <v>1158</v>
      </c>
      <c r="C1124" t="s">
        <v>931</v>
      </c>
      <c r="D1124" t="s">
        <v>919</v>
      </c>
      <c r="E1124" s="2">
        <v>34237</v>
      </c>
      <c r="F1124">
        <v>182</v>
      </c>
      <c r="H1124">
        <v>0.18047176737208337</v>
      </c>
      <c r="K1124">
        <v>0</v>
      </c>
    </row>
    <row r="1125" spans="1:11" x14ac:dyDescent="0.25">
      <c r="A1125" t="s">
        <v>10</v>
      </c>
      <c r="B1125" t="s">
        <v>1159</v>
      </c>
      <c r="C1125" t="s">
        <v>931</v>
      </c>
      <c r="D1125" t="s">
        <v>919</v>
      </c>
      <c r="E1125" s="3">
        <v>34122</v>
      </c>
      <c r="F1125">
        <v>283</v>
      </c>
      <c r="H1125">
        <v>0.14118723899239149</v>
      </c>
      <c r="K1125">
        <v>0</v>
      </c>
    </row>
    <row r="1126" spans="1:11" x14ac:dyDescent="0.25">
      <c r="A1126" t="s">
        <v>10</v>
      </c>
      <c r="B1126" t="s">
        <v>1160</v>
      </c>
      <c r="C1126" t="s">
        <v>915</v>
      </c>
      <c r="D1126" t="s">
        <v>916</v>
      </c>
      <c r="E1126" s="2">
        <v>22627</v>
      </c>
      <c r="F1126">
        <v>1129</v>
      </c>
      <c r="H1126">
        <v>0.23555788819306089</v>
      </c>
      <c r="K1126">
        <v>0</v>
      </c>
    </row>
    <row r="1127" spans="1:11" x14ac:dyDescent="0.25">
      <c r="A1127" t="s">
        <v>10</v>
      </c>
      <c r="B1127" t="s">
        <v>1161</v>
      </c>
      <c r="C1127" t="s">
        <v>921</v>
      </c>
      <c r="D1127" t="s">
        <v>916</v>
      </c>
      <c r="E1127" s="2">
        <v>23421</v>
      </c>
      <c r="F1127">
        <v>1262</v>
      </c>
      <c r="H1127">
        <v>0.23265407288756101</v>
      </c>
      <c r="K1127">
        <v>0</v>
      </c>
    </row>
    <row r="1128" spans="1:11" x14ac:dyDescent="0.25">
      <c r="A1128" t="s">
        <v>10</v>
      </c>
      <c r="B1128" t="s">
        <v>1162</v>
      </c>
      <c r="C1128" t="s">
        <v>931</v>
      </c>
      <c r="D1128" t="s">
        <v>919</v>
      </c>
      <c r="E1128" s="3">
        <v>34218</v>
      </c>
      <c r="F1128">
        <v>196</v>
      </c>
      <c r="H1128">
        <v>8.347915784044635E-2</v>
      </c>
      <c r="K1128">
        <v>0</v>
      </c>
    </row>
    <row r="1129" spans="1:11" x14ac:dyDescent="0.25">
      <c r="A1129" t="s">
        <v>10</v>
      </c>
      <c r="B1129" t="s">
        <v>1163</v>
      </c>
      <c r="C1129" t="s">
        <v>931</v>
      </c>
      <c r="D1129" t="s">
        <v>919</v>
      </c>
      <c r="E1129" s="3">
        <v>34214</v>
      </c>
      <c r="F1129">
        <v>121</v>
      </c>
      <c r="H1129">
        <v>0.20841942148760328</v>
      </c>
      <c r="K1129">
        <v>0</v>
      </c>
    </row>
    <row r="1130" spans="1:11" x14ac:dyDescent="0.25">
      <c r="A1130" t="s">
        <v>10</v>
      </c>
      <c r="B1130" t="s">
        <v>1164</v>
      </c>
      <c r="C1130" t="s">
        <v>918</v>
      </c>
      <c r="D1130" t="s">
        <v>919</v>
      </c>
      <c r="E1130" s="3">
        <v>37371</v>
      </c>
      <c r="F1130">
        <v>470</v>
      </c>
      <c r="H1130">
        <v>0.11302040050398077</v>
      </c>
      <c r="K1130">
        <v>0</v>
      </c>
    </row>
    <row r="1131" spans="1:11" x14ac:dyDescent="0.25">
      <c r="A1131" t="s">
        <v>10</v>
      </c>
      <c r="B1131" t="s">
        <v>1165</v>
      </c>
      <c r="C1131" t="s">
        <v>918</v>
      </c>
      <c r="D1131" t="s">
        <v>919</v>
      </c>
      <c r="E1131" s="2">
        <v>37331</v>
      </c>
      <c r="F1131">
        <v>319</v>
      </c>
      <c r="H1131">
        <v>0.47501079861195361</v>
      </c>
      <c r="K1131">
        <v>0</v>
      </c>
    </row>
    <row r="1132" spans="1:11" x14ac:dyDescent="0.25">
      <c r="A1132" t="s">
        <v>10</v>
      </c>
      <c r="B1132" t="s">
        <v>1166</v>
      </c>
      <c r="C1132" t="s">
        <v>934</v>
      </c>
      <c r="D1132" t="s">
        <v>919</v>
      </c>
      <c r="E1132" s="2">
        <v>32133</v>
      </c>
      <c r="F1132">
        <v>586</v>
      </c>
      <c r="H1132">
        <v>0.50452466489554393</v>
      </c>
      <c r="K1132">
        <v>106</v>
      </c>
    </row>
    <row r="1133" spans="1:11" x14ac:dyDescent="0.25">
      <c r="A1133" t="s">
        <v>10</v>
      </c>
      <c r="B1133" t="s">
        <v>1167</v>
      </c>
      <c r="C1133" t="s">
        <v>921</v>
      </c>
      <c r="D1133" t="s">
        <v>916</v>
      </c>
      <c r="E1133" s="3">
        <v>23435</v>
      </c>
      <c r="F1133">
        <v>976</v>
      </c>
      <c r="H1133">
        <v>1.6506447352296449E-2</v>
      </c>
      <c r="K1133">
        <v>0</v>
      </c>
    </row>
    <row r="1134" spans="1:11" x14ac:dyDescent="0.25">
      <c r="A1134" t="s">
        <v>10</v>
      </c>
      <c r="B1134" t="s">
        <v>1168</v>
      </c>
      <c r="C1134" t="s">
        <v>921</v>
      </c>
      <c r="D1134" t="s">
        <v>916</v>
      </c>
      <c r="E1134" s="2">
        <v>23455</v>
      </c>
      <c r="F1134">
        <v>1096</v>
      </c>
      <c r="H1134">
        <v>0.23608397607408993</v>
      </c>
      <c r="K1134">
        <v>0</v>
      </c>
    </row>
    <row r="1135" spans="1:11" x14ac:dyDescent="0.25">
      <c r="A1135" t="s">
        <v>10</v>
      </c>
      <c r="B1135" t="s">
        <v>1169</v>
      </c>
      <c r="C1135" t="s">
        <v>931</v>
      </c>
      <c r="D1135" t="s">
        <v>919</v>
      </c>
      <c r="E1135" s="2">
        <v>34267</v>
      </c>
      <c r="F1135">
        <v>271</v>
      </c>
      <c r="H1135">
        <v>0.13993498317346198</v>
      </c>
      <c r="K1135">
        <v>0</v>
      </c>
    </row>
    <row r="1136" spans="1:11" x14ac:dyDescent="0.25">
      <c r="A1136" t="s">
        <v>10</v>
      </c>
      <c r="B1136" t="s">
        <v>1170</v>
      </c>
      <c r="C1136" t="s">
        <v>934</v>
      </c>
      <c r="D1136" t="s">
        <v>919</v>
      </c>
      <c r="E1136" s="3">
        <v>32161</v>
      </c>
      <c r="F1136">
        <v>299</v>
      </c>
      <c r="H1136">
        <v>5.043043894143906E-2</v>
      </c>
      <c r="K1136">
        <v>0</v>
      </c>
    </row>
    <row r="1137" spans="1:11" x14ac:dyDescent="0.25">
      <c r="A1137" t="s">
        <v>10</v>
      </c>
      <c r="B1137" t="s">
        <v>1171</v>
      </c>
      <c r="C1137" t="s">
        <v>918</v>
      </c>
      <c r="D1137" t="s">
        <v>919</v>
      </c>
      <c r="E1137" s="3">
        <v>37355</v>
      </c>
      <c r="F1137">
        <v>484</v>
      </c>
      <c r="H1137">
        <v>0.13158841916946951</v>
      </c>
      <c r="K1137">
        <v>0</v>
      </c>
    </row>
    <row r="1138" spans="1:11" x14ac:dyDescent="0.25">
      <c r="A1138" t="s">
        <v>10</v>
      </c>
      <c r="B1138" t="s">
        <v>1172</v>
      </c>
      <c r="C1138" t="s">
        <v>934</v>
      </c>
      <c r="D1138" t="s">
        <v>919</v>
      </c>
      <c r="E1138" s="3">
        <v>32139</v>
      </c>
      <c r="F1138">
        <v>1409</v>
      </c>
      <c r="H1138">
        <v>0.14112489694142227</v>
      </c>
      <c r="K1138">
        <v>0</v>
      </c>
    </row>
    <row r="1139" spans="1:11" x14ac:dyDescent="0.25">
      <c r="A1139" t="s">
        <v>10</v>
      </c>
      <c r="B1139" t="s">
        <v>1173</v>
      </c>
      <c r="C1139" t="s">
        <v>915</v>
      </c>
      <c r="D1139" t="s">
        <v>916</v>
      </c>
      <c r="E1139" s="2">
        <v>22774</v>
      </c>
      <c r="F1139">
        <v>345</v>
      </c>
      <c r="H1139">
        <v>0.12199467465748604</v>
      </c>
      <c r="K1139">
        <v>42</v>
      </c>
    </row>
    <row r="1140" spans="1:11" x14ac:dyDescent="0.25">
      <c r="A1140" t="s">
        <v>10</v>
      </c>
      <c r="B1140" t="s">
        <v>1174</v>
      </c>
      <c r="C1140" t="s">
        <v>982</v>
      </c>
      <c r="D1140" t="s">
        <v>919</v>
      </c>
      <c r="E1140" s="2">
        <v>36181</v>
      </c>
      <c r="F1140">
        <v>731</v>
      </c>
      <c r="H1140">
        <v>0.12324506498151822</v>
      </c>
      <c r="K1140">
        <v>0</v>
      </c>
    </row>
    <row r="1141" spans="1:11" x14ac:dyDescent="0.25">
      <c r="A1141" t="s">
        <v>10</v>
      </c>
      <c r="B1141" t="s">
        <v>1175</v>
      </c>
      <c r="C1141" t="s">
        <v>921</v>
      </c>
      <c r="D1141" t="s">
        <v>916</v>
      </c>
      <c r="E1141" s="3">
        <v>23371</v>
      </c>
      <c r="F1141">
        <v>79</v>
      </c>
      <c r="H1141">
        <v>0.13194444444444431</v>
      </c>
      <c r="K1141">
        <v>0</v>
      </c>
    </row>
    <row r="1142" spans="1:11" x14ac:dyDescent="0.25">
      <c r="A1142" t="s">
        <v>10</v>
      </c>
      <c r="B1142" t="s">
        <v>1176</v>
      </c>
      <c r="C1142" t="s">
        <v>915</v>
      </c>
      <c r="D1142" t="s">
        <v>916</v>
      </c>
      <c r="E1142" s="2">
        <v>22451</v>
      </c>
      <c r="F1142">
        <v>1518</v>
      </c>
      <c r="H1142">
        <v>0.46822636458892841</v>
      </c>
      <c r="K1142">
        <v>0</v>
      </c>
    </row>
    <row r="1143" spans="1:11" x14ac:dyDescent="0.25">
      <c r="A1143" t="s">
        <v>10</v>
      </c>
      <c r="B1143" t="s">
        <v>1177</v>
      </c>
      <c r="C1143" t="s">
        <v>918</v>
      </c>
      <c r="D1143" t="s">
        <v>919</v>
      </c>
      <c r="E1143" s="3">
        <v>37347</v>
      </c>
      <c r="F1143">
        <v>803</v>
      </c>
      <c r="H1143">
        <v>3.8967601345938352E-2</v>
      </c>
      <c r="K1143">
        <v>0</v>
      </c>
    </row>
    <row r="1144" spans="1:11" x14ac:dyDescent="0.25">
      <c r="A1144" t="s">
        <v>10</v>
      </c>
      <c r="B1144" t="s">
        <v>1178</v>
      </c>
      <c r="C1144" t="s">
        <v>982</v>
      </c>
      <c r="D1144" t="s">
        <v>919</v>
      </c>
      <c r="E1144" s="3">
        <v>36164</v>
      </c>
      <c r="F1144">
        <v>232</v>
      </c>
      <c r="H1144">
        <v>0.32254560408438782</v>
      </c>
      <c r="K1144">
        <v>31</v>
      </c>
    </row>
    <row r="1145" spans="1:11" x14ac:dyDescent="0.25">
      <c r="A1145" t="s">
        <v>10</v>
      </c>
      <c r="B1145" t="s">
        <v>1179</v>
      </c>
      <c r="C1145" t="s">
        <v>921</v>
      </c>
      <c r="D1145" t="s">
        <v>916</v>
      </c>
      <c r="E1145" s="2">
        <v>23235</v>
      </c>
      <c r="F1145">
        <v>104</v>
      </c>
      <c r="H1145">
        <v>0.1720060466079909</v>
      </c>
      <c r="K1145">
        <v>0</v>
      </c>
    </row>
    <row r="1146" spans="1:11" x14ac:dyDescent="0.25">
      <c r="A1146" t="s">
        <v>10</v>
      </c>
      <c r="B1146" t="s">
        <v>1180</v>
      </c>
      <c r="C1146" t="s">
        <v>931</v>
      </c>
      <c r="D1146" t="s">
        <v>919</v>
      </c>
      <c r="E1146" s="3">
        <v>34231</v>
      </c>
      <c r="F1146">
        <v>283</v>
      </c>
      <c r="H1146">
        <v>0.25148166329426136</v>
      </c>
      <c r="K1146">
        <v>0</v>
      </c>
    </row>
    <row r="1147" spans="1:11" x14ac:dyDescent="0.25">
      <c r="A1147" t="s">
        <v>10</v>
      </c>
      <c r="B1147" t="s">
        <v>1181</v>
      </c>
      <c r="C1147" t="s">
        <v>918</v>
      </c>
      <c r="D1147" t="s">
        <v>919</v>
      </c>
      <c r="E1147" s="2">
        <v>37329</v>
      </c>
      <c r="F1147">
        <v>2214</v>
      </c>
      <c r="H1147">
        <v>6.7954459048840121E-3</v>
      </c>
      <c r="K1147">
        <v>0</v>
      </c>
    </row>
    <row r="1148" spans="1:11" x14ac:dyDescent="0.25">
      <c r="A1148" t="s">
        <v>10</v>
      </c>
      <c r="B1148" t="s">
        <v>1182</v>
      </c>
      <c r="C1148" t="s">
        <v>931</v>
      </c>
      <c r="D1148" t="s">
        <v>919</v>
      </c>
      <c r="E1148" s="2">
        <v>34229</v>
      </c>
      <c r="F1148">
        <v>166</v>
      </c>
      <c r="H1148">
        <v>0.15942099858183778</v>
      </c>
      <c r="K1148">
        <v>0</v>
      </c>
    </row>
    <row r="1149" spans="1:11" x14ac:dyDescent="0.25">
      <c r="A1149" t="s">
        <v>10</v>
      </c>
      <c r="B1149" t="s">
        <v>1183</v>
      </c>
      <c r="C1149" t="s">
        <v>982</v>
      </c>
      <c r="D1149" t="s">
        <v>919</v>
      </c>
      <c r="E1149" s="3">
        <v>36184</v>
      </c>
      <c r="F1149">
        <v>1048</v>
      </c>
      <c r="H1149">
        <v>0.12628625220317258</v>
      </c>
      <c r="K1149">
        <v>0</v>
      </c>
    </row>
    <row r="1150" spans="1:11" x14ac:dyDescent="0.25">
      <c r="A1150" t="s">
        <v>10</v>
      </c>
      <c r="B1150" t="s">
        <v>1184</v>
      </c>
      <c r="C1150" t="s">
        <v>931</v>
      </c>
      <c r="D1150" t="s">
        <v>919</v>
      </c>
      <c r="E1150" s="2">
        <v>34351</v>
      </c>
      <c r="F1150">
        <v>467</v>
      </c>
      <c r="H1150">
        <v>0.12021249999999994</v>
      </c>
      <c r="K1150">
        <v>0</v>
      </c>
    </row>
    <row r="1151" spans="1:11" x14ac:dyDescent="0.25">
      <c r="A1151" t="s">
        <v>10</v>
      </c>
      <c r="B1151" t="s">
        <v>1185</v>
      </c>
      <c r="C1151" t="s">
        <v>931</v>
      </c>
      <c r="D1151" t="s">
        <v>919</v>
      </c>
      <c r="E1151" s="3">
        <v>34254</v>
      </c>
      <c r="F1151">
        <v>93</v>
      </c>
      <c r="H1151">
        <v>0.13486922726795292</v>
      </c>
      <c r="K1151">
        <v>0</v>
      </c>
    </row>
    <row r="1152" spans="1:11" x14ac:dyDescent="0.25">
      <c r="A1152" t="s">
        <v>10</v>
      </c>
      <c r="B1152" t="s">
        <v>1186</v>
      </c>
      <c r="C1152" t="s">
        <v>915</v>
      </c>
      <c r="D1152" t="s">
        <v>916</v>
      </c>
      <c r="E1152" s="2">
        <v>22734</v>
      </c>
      <c r="F1152">
        <v>578</v>
      </c>
      <c r="H1152">
        <v>0.31873610441407796</v>
      </c>
      <c r="K1152">
        <v>0</v>
      </c>
    </row>
    <row r="1153" spans="1:11" x14ac:dyDescent="0.25">
      <c r="A1153" t="s">
        <v>10</v>
      </c>
      <c r="B1153" t="s">
        <v>1187</v>
      </c>
      <c r="C1153" t="s">
        <v>921</v>
      </c>
      <c r="D1153" t="s">
        <v>916</v>
      </c>
      <c r="E1153" s="3">
        <v>23376</v>
      </c>
      <c r="F1153">
        <v>50</v>
      </c>
      <c r="H1153">
        <v>0.25350837483024014</v>
      </c>
      <c r="K1153">
        <v>0</v>
      </c>
    </row>
    <row r="1154" spans="1:11" x14ac:dyDescent="0.25">
      <c r="A1154" t="s">
        <v>10</v>
      </c>
      <c r="B1154" t="s">
        <v>1188</v>
      </c>
      <c r="C1154" t="s">
        <v>918</v>
      </c>
      <c r="D1154" t="s">
        <v>919</v>
      </c>
      <c r="E1154" s="2">
        <v>37373</v>
      </c>
      <c r="F1154">
        <v>528</v>
      </c>
      <c r="H1154">
        <v>7.7051715574102841E-2</v>
      </c>
      <c r="K1154">
        <v>0</v>
      </c>
    </row>
    <row r="1155" spans="1:11" x14ac:dyDescent="0.25">
      <c r="A1155" t="s">
        <v>10</v>
      </c>
      <c r="B1155" t="s">
        <v>1189</v>
      </c>
      <c r="C1155" t="s">
        <v>931</v>
      </c>
      <c r="D1155" t="s">
        <v>919</v>
      </c>
      <c r="E1155" s="3">
        <v>34251</v>
      </c>
      <c r="F1155">
        <v>198</v>
      </c>
      <c r="H1155">
        <v>0.19094130039260737</v>
      </c>
      <c r="K1155">
        <v>0</v>
      </c>
    </row>
    <row r="1156" spans="1:11" x14ac:dyDescent="0.25">
      <c r="A1156" t="s">
        <v>10</v>
      </c>
      <c r="B1156" t="s">
        <v>1190</v>
      </c>
      <c r="C1156" t="s">
        <v>931</v>
      </c>
      <c r="D1156" t="s">
        <v>919</v>
      </c>
      <c r="E1156" s="2">
        <v>34215</v>
      </c>
      <c r="F1156">
        <v>314</v>
      </c>
      <c r="H1156">
        <v>0.11766314112078002</v>
      </c>
      <c r="K1156">
        <v>0</v>
      </c>
    </row>
    <row r="1157" spans="1:11" x14ac:dyDescent="0.25">
      <c r="A1157" t="s">
        <v>10</v>
      </c>
      <c r="B1157" t="s">
        <v>1191</v>
      </c>
      <c r="C1157" t="s">
        <v>921</v>
      </c>
      <c r="D1157" t="s">
        <v>916</v>
      </c>
      <c r="E1157" s="3">
        <v>23639</v>
      </c>
      <c r="F1157">
        <v>2439</v>
      </c>
      <c r="H1157">
        <v>0.30587737339459642</v>
      </c>
      <c r="K1157">
        <v>0</v>
      </c>
    </row>
    <row r="1158" spans="1:11" x14ac:dyDescent="0.25">
      <c r="A1158" t="s">
        <v>10</v>
      </c>
      <c r="B1158" t="s">
        <v>1192</v>
      </c>
      <c r="C1158" t="s">
        <v>915</v>
      </c>
      <c r="D1158" t="s">
        <v>916</v>
      </c>
      <c r="E1158" s="2">
        <v>22737</v>
      </c>
      <c r="F1158">
        <v>298</v>
      </c>
      <c r="H1158">
        <v>0.50415027225339126</v>
      </c>
      <c r="K1158">
        <v>0</v>
      </c>
    </row>
    <row r="1159" spans="1:11" x14ac:dyDescent="0.25">
      <c r="A1159" t="s">
        <v>10</v>
      </c>
      <c r="B1159" t="s">
        <v>1193</v>
      </c>
      <c r="C1159" t="s">
        <v>915</v>
      </c>
      <c r="D1159" t="s">
        <v>916</v>
      </c>
      <c r="E1159" s="3">
        <v>22717</v>
      </c>
      <c r="F1159">
        <v>189</v>
      </c>
      <c r="H1159">
        <v>0.21031084663482513</v>
      </c>
      <c r="K1159">
        <v>0</v>
      </c>
    </row>
    <row r="1160" spans="1:11" x14ac:dyDescent="0.25">
      <c r="A1160" t="s">
        <v>10</v>
      </c>
      <c r="B1160" t="s">
        <v>1194</v>
      </c>
      <c r="C1160" t="s">
        <v>982</v>
      </c>
      <c r="D1160" t="s">
        <v>919</v>
      </c>
      <c r="E1160" s="3">
        <v>36161</v>
      </c>
      <c r="F1160">
        <v>254</v>
      </c>
      <c r="H1160">
        <v>5.9381380438096487E-2</v>
      </c>
      <c r="K1160">
        <v>0</v>
      </c>
    </row>
    <row r="1161" spans="1:11" x14ac:dyDescent="0.25">
      <c r="A1161" t="s">
        <v>10</v>
      </c>
      <c r="B1161" t="s">
        <v>1195</v>
      </c>
      <c r="C1161" t="s">
        <v>915</v>
      </c>
      <c r="D1161" t="s">
        <v>916</v>
      </c>
      <c r="E1161" s="2">
        <v>22391</v>
      </c>
      <c r="F1161">
        <v>1052</v>
      </c>
      <c r="H1161">
        <v>0.64508921446583045</v>
      </c>
      <c r="K1161">
        <v>0</v>
      </c>
    </row>
    <row r="1162" spans="1:11" x14ac:dyDescent="0.25">
      <c r="A1162" t="s">
        <v>10</v>
      </c>
      <c r="B1162" t="s">
        <v>1196</v>
      </c>
      <c r="C1162" t="s">
        <v>915</v>
      </c>
      <c r="D1162" t="s">
        <v>916</v>
      </c>
      <c r="E1162" s="3">
        <v>22643</v>
      </c>
      <c r="F1162">
        <v>1023</v>
      </c>
      <c r="H1162">
        <v>0.44678307061819433</v>
      </c>
      <c r="K1162">
        <v>0</v>
      </c>
    </row>
    <row r="1163" spans="1:11" x14ac:dyDescent="0.25">
      <c r="A1163" t="s">
        <v>10</v>
      </c>
      <c r="B1163" t="s">
        <v>1197</v>
      </c>
      <c r="C1163" t="s">
        <v>918</v>
      </c>
      <c r="D1163" t="s">
        <v>919</v>
      </c>
      <c r="E1163" s="2">
        <v>37395</v>
      </c>
      <c r="F1163">
        <v>787</v>
      </c>
      <c r="H1163">
        <v>1.1027645741789494E-2</v>
      </c>
      <c r="K1163">
        <v>0</v>
      </c>
    </row>
    <row r="1164" spans="1:11" x14ac:dyDescent="0.25">
      <c r="A1164" t="s">
        <v>10</v>
      </c>
      <c r="B1164" t="s">
        <v>1198</v>
      </c>
      <c r="C1164" t="s">
        <v>931</v>
      </c>
      <c r="D1164" t="s">
        <v>919</v>
      </c>
      <c r="E1164" s="3">
        <v>34273</v>
      </c>
      <c r="F1164">
        <v>75</v>
      </c>
      <c r="H1164">
        <v>0.18028741471911747</v>
      </c>
      <c r="K1164">
        <v>0</v>
      </c>
    </row>
    <row r="1165" spans="1:11" x14ac:dyDescent="0.25">
      <c r="A1165" t="s">
        <v>10</v>
      </c>
      <c r="B1165" t="s">
        <v>1199</v>
      </c>
      <c r="C1165" t="s">
        <v>1200</v>
      </c>
      <c r="D1165" t="s">
        <v>1201</v>
      </c>
      <c r="E1165" s="2">
        <v>54114</v>
      </c>
      <c r="F1165">
        <v>27</v>
      </c>
      <c r="H1165">
        <v>0.84625004159297879</v>
      </c>
      <c r="K1165">
        <v>0</v>
      </c>
    </row>
    <row r="1166" spans="1:11" x14ac:dyDescent="0.25">
      <c r="A1166" t="s">
        <v>10</v>
      </c>
      <c r="B1166" t="s">
        <v>1202</v>
      </c>
      <c r="C1166" t="s">
        <v>915</v>
      </c>
      <c r="D1166" t="s">
        <v>916</v>
      </c>
      <c r="E1166" s="3">
        <v>22777</v>
      </c>
      <c r="F1166">
        <v>308</v>
      </c>
      <c r="H1166">
        <v>0.58774670573851617</v>
      </c>
      <c r="K1166">
        <v>0</v>
      </c>
    </row>
    <row r="1167" spans="1:11" x14ac:dyDescent="0.25">
      <c r="A1167" t="s">
        <v>10</v>
      </c>
      <c r="B1167" t="s">
        <v>1203</v>
      </c>
      <c r="C1167" t="s">
        <v>921</v>
      </c>
      <c r="D1167" t="s">
        <v>916</v>
      </c>
      <c r="E1167" s="3">
        <v>23453</v>
      </c>
      <c r="F1167">
        <v>168</v>
      </c>
      <c r="H1167">
        <v>0.15698934911242612</v>
      </c>
      <c r="K1167">
        <v>0</v>
      </c>
    </row>
    <row r="1168" spans="1:11" x14ac:dyDescent="0.25">
      <c r="A1168" t="s">
        <v>10</v>
      </c>
      <c r="B1168" t="s">
        <v>1204</v>
      </c>
      <c r="C1168" t="s">
        <v>982</v>
      </c>
      <c r="D1168" t="s">
        <v>919</v>
      </c>
      <c r="E1168" s="3">
        <v>36144</v>
      </c>
      <c r="F1168">
        <v>109</v>
      </c>
      <c r="H1168">
        <v>0.53045906508264473</v>
      </c>
      <c r="K1168">
        <v>0</v>
      </c>
    </row>
    <row r="1169" spans="1:11" x14ac:dyDescent="0.25">
      <c r="A1169" t="s">
        <v>10</v>
      </c>
      <c r="B1169" t="s">
        <v>1205</v>
      </c>
      <c r="C1169" t="s">
        <v>931</v>
      </c>
      <c r="D1169" t="s">
        <v>919</v>
      </c>
      <c r="E1169" s="2">
        <v>34257</v>
      </c>
      <c r="F1169">
        <v>96</v>
      </c>
      <c r="H1169">
        <v>0.12469766191883891</v>
      </c>
      <c r="K1169">
        <v>0</v>
      </c>
    </row>
    <row r="1170" spans="1:11" x14ac:dyDescent="0.25">
      <c r="A1170" t="s">
        <v>10</v>
      </c>
      <c r="B1170" t="s">
        <v>1206</v>
      </c>
      <c r="C1170" t="s">
        <v>931</v>
      </c>
      <c r="D1170" t="s">
        <v>919</v>
      </c>
      <c r="E1170" s="3">
        <v>34261</v>
      </c>
      <c r="F1170">
        <v>421</v>
      </c>
      <c r="H1170">
        <v>0.14179126143126719</v>
      </c>
      <c r="K1170">
        <v>0</v>
      </c>
    </row>
    <row r="1171" spans="1:11" x14ac:dyDescent="0.25">
      <c r="A1171" t="s">
        <v>10</v>
      </c>
      <c r="B1171" t="s">
        <v>1207</v>
      </c>
      <c r="C1171" t="s">
        <v>915</v>
      </c>
      <c r="D1171" t="s">
        <v>916</v>
      </c>
      <c r="E1171" s="2">
        <v>22527</v>
      </c>
      <c r="F1171">
        <v>635</v>
      </c>
      <c r="H1171">
        <v>0.18912249864791753</v>
      </c>
      <c r="K1171">
        <v>0</v>
      </c>
    </row>
    <row r="1172" spans="1:11" x14ac:dyDescent="0.25">
      <c r="A1172" t="s">
        <v>10</v>
      </c>
      <c r="B1172" t="s">
        <v>1208</v>
      </c>
      <c r="C1172" t="s">
        <v>915</v>
      </c>
      <c r="D1172" t="s">
        <v>916</v>
      </c>
      <c r="E1172" s="3">
        <v>22794</v>
      </c>
      <c r="F1172">
        <v>302</v>
      </c>
      <c r="H1172">
        <v>0.43843821307711639</v>
      </c>
      <c r="K1172">
        <v>0</v>
      </c>
    </row>
    <row r="1173" spans="1:11" x14ac:dyDescent="0.25">
      <c r="A1173" t="s">
        <v>10</v>
      </c>
      <c r="B1173" t="s">
        <v>1209</v>
      </c>
      <c r="C1173" t="s">
        <v>921</v>
      </c>
      <c r="D1173" t="s">
        <v>916</v>
      </c>
      <c r="E1173" s="3">
        <v>23346</v>
      </c>
      <c r="F1173">
        <v>107</v>
      </c>
      <c r="H1173">
        <v>0.48141798720949303</v>
      </c>
      <c r="K1173">
        <v>0</v>
      </c>
    </row>
    <row r="1174" spans="1:11" x14ac:dyDescent="0.25">
      <c r="A1174" t="s">
        <v>10</v>
      </c>
      <c r="B1174" t="s">
        <v>1210</v>
      </c>
      <c r="C1174" t="s">
        <v>921</v>
      </c>
      <c r="D1174" t="s">
        <v>916</v>
      </c>
      <c r="E1174" s="2">
        <v>23361</v>
      </c>
      <c r="F1174">
        <v>619</v>
      </c>
      <c r="H1174">
        <v>0.26760959104739934</v>
      </c>
      <c r="K1174">
        <v>0</v>
      </c>
    </row>
    <row r="1175" spans="1:11" x14ac:dyDescent="0.25">
      <c r="A1175" t="s">
        <v>10</v>
      </c>
      <c r="B1175" t="s">
        <v>1211</v>
      </c>
      <c r="C1175" t="s">
        <v>915</v>
      </c>
      <c r="D1175" t="s">
        <v>916</v>
      </c>
      <c r="E1175" s="3">
        <v>22727</v>
      </c>
      <c r="F1175">
        <v>530</v>
      </c>
      <c r="H1175">
        <v>0.38525665143778554</v>
      </c>
      <c r="K1175">
        <v>0</v>
      </c>
    </row>
    <row r="1176" spans="1:11" x14ac:dyDescent="0.25">
      <c r="A1176" t="s">
        <v>10</v>
      </c>
      <c r="B1176" t="s">
        <v>1212</v>
      </c>
      <c r="C1176" t="s">
        <v>921</v>
      </c>
      <c r="D1176" t="s">
        <v>916</v>
      </c>
      <c r="E1176" s="2">
        <v>23659</v>
      </c>
      <c r="F1176">
        <v>1459</v>
      </c>
      <c r="H1176">
        <v>1.3669366587028664E-2</v>
      </c>
      <c r="K1176">
        <v>0</v>
      </c>
    </row>
    <row r="1177" spans="1:11" x14ac:dyDescent="0.25">
      <c r="A1177" t="s">
        <v>10</v>
      </c>
      <c r="B1177" t="s">
        <v>1213</v>
      </c>
      <c r="C1177" t="s">
        <v>921</v>
      </c>
      <c r="D1177" t="s">
        <v>916</v>
      </c>
      <c r="E1177" s="3">
        <v>23555</v>
      </c>
      <c r="F1177">
        <v>227</v>
      </c>
      <c r="H1177">
        <v>0.31336801942421078</v>
      </c>
      <c r="K1177">
        <v>0</v>
      </c>
    </row>
    <row r="1178" spans="1:11" x14ac:dyDescent="0.25">
      <c r="A1178" t="s">
        <v>10</v>
      </c>
      <c r="B1178" t="s">
        <v>1214</v>
      </c>
      <c r="C1178" t="s">
        <v>931</v>
      </c>
      <c r="D1178" t="s">
        <v>919</v>
      </c>
      <c r="E1178" s="2">
        <v>34286</v>
      </c>
      <c r="F1178">
        <v>458</v>
      </c>
      <c r="H1178">
        <v>0.28470166839475919</v>
      </c>
      <c r="K1178">
        <v>0</v>
      </c>
    </row>
    <row r="1179" spans="1:11" x14ac:dyDescent="0.25">
      <c r="A1179" t="s">
        <v>10</v>
      </c>
      <c r="B1179" t="s">
        <v>1215</v>
      </c>
      <c r="C1179" t="s">
        <v>931</v>
      </c>
      <c r="D1179" t="s">
        <v>919</v>
      </c>
      <c r="E1179" s="3">
        <v>34226</v>
      </c>
      <c r="F1179">
        <v>132</v>
      </c>
      <c r="H1179">
        <v>0.14253320375769352</v>
      </c>
      <c r="K1179">
        <v>0</v>
      </c>
    </row>
    <row r="1180" spans="1:11" x14ac:dyDescent="0.25">
      <c r="A1180" t="s">
        <v>10</v>
      </c>
      <c r="B1180" t="s">
        <v>1216</v>
      </c>
      <c r="C1180" t="s">
        <v>918</v>
      </c>
      <c r="D1180" t="s">
        <v>919</v>
      </c>
      <c r="E1180" s="2">
        <v>37357</v>
      </c>
      <c r="F1180">
        <v>464</v>
      </c>
      <c r="H1180">
        <v>4.1343569563931926E-3</v>
      </c>
      <c r="K1180">
        <v>0</v>
      </c>
    </row>
    <row r="1181" spans="1:11" x14ac:dyDescent="0.25">
      <c r="A1181" t="s">
        <v>10</v>
      </c>
      <c r="B1181" t="s">
        <v>1217</v>
      </c>
      <c r="C1181" t="s">
        <v>915</v>
      </c>
      <c r="D1181" t="s">
        <v>916</v>
      </c>
      <c r="E1181" s="2">
        <v>22683</v>
      </c>
      <c r="F1181">
        <v>169</v>
      </c>
      <c r="H1181">
        <v>0.19606659624767364</v>
      </c>
      <c r="K1181">
        <v>0</v>
      </c>
    </row>
    <row r="1182" spans="1:11" x14ac:dyDescent="0.25">
      <c r="A1182" t="s">
        <v>10</v>
      </c>
      <c r="B1182" t="s">
        <v>1218</v>
      </c>
      <c r="C1182" t="s">
        <v>931</v>
      </c>
      <c r="D1182" t="s">
        <v>919</v>
      </c>
      <c r="E1182" s="3">
        <v>34361</v>
      </c>
      <c r="F1182">
        <v>122</v>
      </c>
      <c r="H1182">
        <v>0.1476113769508568</v>
      </c>
      <c r="K1182">
        <v>0</v>
      </c>
    </row>
    <row r="1183" spans="1:11" x14ac:dyDescent="0.25">
      <c r="A1183" t="s">
        <v>10</v>
      </c>
      <c r="B1183" t="s">
        <v>1219</v>
      </c>
      <c r="C1183" t="s">
        <v>915</v>
      </c>
      <c r="D1183" t="s">
        <v>916</v>
      </c>
      <c r="E1183" s="3">
        <v>22563</v>
      </c>
      <c r="F1183">
        <v>372</v>
      </c>
      <c r="H1183">
        <v>0.29351740696278505</v>
      </c>
      <c r="K1183">
        <v>0</v>
      </c>
    </row>
    <row r="1184" spans="1:11" x14ac:dyDescent="0.25">
      <c r="A1184" t="s">
        <v>10</v>
      </c>
      <c r="B1184" t="s">
        <v>1220</v>
      </c>
      <c r="C1184" t="s">
        <v>915</v>
      </c>
      <c r="D1184" t="s">
        <v>916</v>
      </c>
      <c r="E1184" s="3">
        <v>22587</v>
      </c>
      <c r="F1184">
        <v>508</v>
      </c>
      <c r="H1184">
        <v>0.70615697358352514</v>
      </c>
      <c r="K1184">
        <v>0</v>
      </c>
    </row>
    <row r="1185" spans="1:11" x14ac:dyDescent="0.25">
      <c r="A1185" t="s">
        <v>10</v>
      </c>
      <c r="B1185" t="s">
        <v>1221</v>
      </c>
      <c r="C1185" t="s">
        <v>918</v>
      </c>
      <c r="D1185" t="s">
        <v>919</v>
      </c>
      <c r="E1185" s="2">
        <v>37358</v>
      </c>
      <c r="F1185">
        <v>556</v>
      </c>
      <c r="H1185">
        <v>0</v>
      </c>
      <c r="K1185">
        <v>0</v>
      </c>
    </row>
    <row r="1186" spans="1:11" x14ac:dyDescent="0.25">
      <c r="A1186" t="s">
        <v>10</v>
      </c>
      <c r="B1186" t="s">
        <v>1222</v>
      </c>
      <c r="C1186" t="s">
        <v>982</v>
      </c>
      <c r="D1186" t="s">
        <v>919</v>
      </c>
      <c r="E1186" s="3">
        <v>36147</v>
      </c>
      <c r="F1186">
        <v>636</v>
      </c>
      <c r="H1186">
        <v>4.1686272059044072E-2</v>
      </c>
      <c r="K1186">
        <v>0</v>
      </c>
    </row>
    <row r="1187" spans="1:11" x14ac:dyDescent="0.25">
      <c r="A1187" t="s">
        <v>10</v>
      </c>
      <c r="B1187" t="s">
        <v>1223</v>
      </c>
      <c r="C1187" t="s">
        <v>982</v>
      </c>
      <c r="D1187" t="s">
        <v>919</v>
      </c>
      <c r="E1187" s="2">
        <v>36157</v>
      </c>
      <c r="F1187">
        <v>54</v>
      </c>
      <c r="H1187">
        <v>0.11689597225312864</v>
      </c>
      <c r="K1187">
        <v>0</v>
      </c>
    </row>
    <row r="1188" spans="1:11" x14ac:dyDescent="0.25">
      <c r="A1188" t="s">
        <v>10</v>
      </c>
      <c r="B1188" t="s">
        <v>1224</v>
      </c>
      <c r="C1188" t="s">
        <v>921</v>
      </c>
      <c r="D1188" t="s">
        <v>916</v>
      </c>
      <c r="E1188" s="2">
        <v>23667</v>
      </c>
      <c r="F1188">
        <v>2678</v>
      </c>
      <c r="H1188">
        <v>0.58730777573885062</v>
      </c>
      <c r="K1188">
        <v>0</v>
      </c>
    </row>
    <row r="1189" spans="1:11" x14ac:dyDescent="0.25">
      <c r="A1189" t="s">
        <v>10</v>
      </c>
      <c r="B1189" t="s">
        <v>1225</v>
      </c>
      <c r="C1189" t="s">
        <v>931</v>
      </c>
      <c r="D1189" t="s">
        <v>919</v>
      </c>
      <c r="E1189" s="2">
        <v>34256</v>
      </c>
      <c r="F1189">
        <v>308</v>
      </c>
      <c r="H1189">
        <v>0.10467863894139884</v>
      </c>
      <c r="K1189">
        <v>0</v>
      </c>
    </row>
    <row r="1190" spans="1:11" x14ac:dyDescent="0.25">
      <c r="A1190" t="s">
        <v>10</v>
      </c>
      <c r="B1190" t="s">
        <v>1226</v>
      </c>
      <c r="C1190" t="s">
        <v>915</v>
      </c>
      <c r="D1190" t="s">
        <v>916</v>
      </c>
      <c r="E1190" s="3">
        <v>22567</v>
      </c>
      <c r="F1190">
        <v>496</v>
      </c>
      <c r="H1190">
        <v>6.8909938504264967E-2</v>
      </c>
      <c r="K1190">
        <v>0</v>
      </c>
    </row>
    <row r="1191" spans="1:11" x14ac:dyDescent="0.25">
      <c r="A1191" t="s">
        <v>10</v>
      </c>
      <c r="B1191" t="s">
        <v>1227</v>
      </c>
      <c r="C1191" t="s">
        <v>918</v>
      </c>
      <c r="D1191" t="s">
        <v>919</v>
      </c>
      <c r="E1191" s="2">
        <v>37325</v>
      </c>
      <c r="F1191">
        <v>3224</v>
      </c>
      <c r="H1191">
        <v>6.4740980168903617E-3</v>
      </c>
      <c r="K1191">
        <v>0</v>
      </c>
    </row>
    <row r="1192" spans="1:11" x14ac:dyDescent="0.25">
      <c r="A1192" t="s">
        <v>10</v>
      </c>
      <c r="B1192" t="s">
        <v>1228</v>
      </c>
      <c r="C1192" t="s">
        <v>982</v>
      </c>
      <c r="D1192" t="s">
        <v>919</v>
      </c>
      <c r="E1192" s="2">
        <v>36121</v>
      </c>
      <c r="F1192">
        <v>801</v>
      </c>
      <c r="H1192">
        <v>9.5111268939393923E-2</v>
      </c>
      <c r="K1192">
        <v>0</v>
      </c>
    </row>
    <row r="1193" spans="1:11" x14ac:dyDescent="0.25">
      <c r="A1193" t="s">
        <v>10</v>
      </c>
      <c r="B1193" t="s">
        <v>1229</v>
      </c>
      <c r="C1193" t="s">
        <v>982</v>
      </c>
      <c r="D1193" t="s">
        <v>919</v>
      </c>
      <c r="E1193" s="3">
        <v>36191</v>
      </c>
      <c r="F1193">
        <v>543</v>
      </c>
      <c r="H1193">
        <v>0.11525005461955029</v>
      </c>
      <c r="K1193">
        <v>0</v>
      </c>
    </row>
    <row r="1194" spans="1:11" x14ac:dyDescent="0.25">
      <c r="A1194" t="s">
        <v>10</v>
      </c>
      <c r="B1194" t="s">
        <v>1230</v>
      </c>
      <c r="C1194" t="s">
        <v>915</v>
      </c>
      <c r="D1194" t="s">
        <v>916</v>
      </c>
      <c r="E1194" s="2">
        <v>22471</v>
      </c>
      <c r="F1194">
        <v>1338</v>
      </c>
      <c r="H1194">
        <v>0.38633704699883464</v>
      </c>
      <c r="K1194">
        <v>0</v>
      </c>
    </row>
    <row r="1195" spans="1:11" x14ac:dyDescent="0.25">
      <c r="A1195" t="s">
        <v>10</v>
      </c>
      <c r="B1195" t="s">
        <v>1231</v>
      </c>
      <c r="C1195" t="s">
        <v>982</v>
      </c>
      <c r="D1195" t="s">
        <v>919</v>
      </c>
      <c r="E1195" s="3">
        <v>36187</v>
      </c>
      <c r="F1195">
        <v>6119</v>
      </c>
      <c r="H1195">
        <v>0.13151097235012688</v>
      </c>
      <c r="K1195">
        <v>0</v>
      </c>
    </row>
    <row r="1196" spans="1:11" x14ac:dyDescent="0.25">
      <c r="A1196" t="s">
        <v>10</v>
      </c>
      <c r="B1196" t="s">
        <v>1232</v>
      </c>
      <c r="C1196" t="s">
        <v>982</v>
      </c>
      <c r="D1196" t="s">
        <v>919</v>
      </c>
      <c r="E1196" s="2">
        <v>36124</v>
      </c>
      <c r="F1196">
        <v>601</v>
      </c>
      <c r="H1196">
        <v>5.1211375421161942E-2</v>
      </c>
      <c r="K1196">
        <v>0</v>
      </c>
    </row>
    <row r="1197" spans="1:11" x14ac:dyDescent="0.25">
      <c r="A1197" t="s">
        <v>10</v>
      </c>
      <c r="B1197" t="s">
        <v>1233</v>
      </c>
      <c r="C1197" t="s">
        <v>915</v>
      </c>
      <c r="D1197" t="s">
        <v>916</v>
      </c>
      <c r="E1197" s="3">
        <v>22591</v>
      </c>
      <c r="F1197">
        <v>426</v>
      </c>
      <c r="H1197">
        <v>0.31701893488466126</v>
      </c>
      <c r="K1197">
        <v>0</v>
      </c>
    </row>
    <row r="1198" spans="1:11" x14ac:dyDescent="0.25">
      <c r="A1198" t="s">
        <v>10</v>
      </c>
      <c r="B1198" t="s">
        <v>1234</v>
      </c>
      <c r="C1198" t="s">
        <v>915</v>
      </c>
      <c r="D1198" t="s">
        <v>916</v>
      </c>
      <c r="E1198" s="2">
        <v>22722</v>
      </c>
      <c r="F1198">
        <v>47</v>
      </c>
      <c r="H1198">
        <v>0.20764970757207168</v>
      </c>
      <c r="K1198">
        <v>0</v>
      </c>
    </row>
    <row r="1199" spans="1:11" x14ac:dyDescent="0.25">
      <c r="A1199" t="s">
        <v>10</v>
      </c>
      <c r="B1199" t="s">
        <v>1235</v>
      </c>
      <c r="C1199" t="s">
        <v>921</v>
      </c>
      <c r="D1199" t="s">
        <v>916</v>
      </c>
      <c r="E1199" s="2">
        <v>23619</v>
      </c>
      <c r="F1199">
        <v>1414</v>
      </c>
      <c r="H1199">
        <v>0.10730243583382892</v>
      </c>
      <c r="K1199">
        <v>0</v>
      </c>
    </row>
    <row r="1200" spans="1:11" x14ac:dyDescent="0.25">
      <c r="A1200" t="s">
        <v>10</v>
      </c>
      <c r="B1200" t="s">
        <v>1236</v>
      </c>
      <c r="C1200" t="s">
        <v>931</v>
      </c>
      <c r="D1200" t="s">
        <v>919</v>
      </c>
      <c r="E1200" s="3">
        <v>34279</v>
      </c>
      <c r="F1200">
        <v>85</v>
      </c>
      <c r="H1200">
        <v>0.19362067154511386</v>
      </c>
      <c r="K1200">
        <v>0</v>
      </c>
    </row>
    <row r="1201" spans="1:11" x14ac:dyDescent="0.25">
      <c r="A1201" t="s">
        <v>10</v>
      </c>
      <c r="B1201" t="s">
        <v>1237</v>
      </c>
      <c r="C1201" t="s">
        <v>915</v>
      </c>
      <c r="D1201" t="s">
        <v>916</v>
      </c>
      <c r="E1201" s="2">
        <v>22543</v>
      </c>
      <c r="F1201">
        <v>1009</v>
      </c>
      <c r="H1201">
        <v>0.19700173057275683</v>
      </c>
      <c r="K1201">
        <v>0</v>
      </c>
    </row>
    <row r="1202" spans="1:11" x14ac:dyDescent="0.25">
      <c r="A1202" t="s">
        <v>10</v>
      </c>
      <c r="B1202" t="s">
        <v>1238</v>
      </c>
      <c r="C1202" t="s">
        <v>918</v>
      </c>
      <c r="D1202" t="s">
        <v>919</v>
      </c>
      <c r="E1202" s="3">
        <v>37344</v>
      </c>
      <c r="F1202">
        <v>458</v>
      </c>
      <c r="H1202">
        <v>1.0858347749259423E-2</v>
      </c>
      <c r="K1202">
        <v>0</v>
      </c>
    </row>
    <row r="1203" spans="1:11" x14ac:dyDescent="0.25">
      <c r="A1203" t="s">
        <v>10</v>
      </c>
      <c r="B1203" t="s">
        <v>1239</v>
      </c>
      <c r="C1203" t="s">
        <v>982</v>
      </c>
      <c r="D1203" t="s">
        <v>919</v>
      </c>
      <c r="E1203" s="2">
        <v>36151</v>
      </c>
      <c r="F1203">
        <v>538</v>
      </c>
      <c r="H1203">
        <v>3.6798041963344685E-2</v>
      </c>
      <c r="K1203">
        <v>0</v>
      </c>
    </row>
    <row r="1204" spans="1:11" x14ac:dyDescent="0.25">
      <c r="A1204" t="s">
        <v>10</v>
      </c>
      <c r="B1204" t="s">
        <v>1240</v>
      </c>
      <c r="C1204" t="s">
        <v>982</v>
      </c>
      <c r="D1204" t="s">
        <v>919</v>
      </c>
      <c r="E1204" s="2">
        <v>36141</v>
      </c>
      <c r="F1204">
        <v>105</v>
      </c>
      <c r="H1204">
        <v>4.6091493383742743E-2</v>
      </c>
      <c r="K1204">
        <v>0</v>
      </c>
    </row>
    <row r="1205" spans="1:11" x14ac:dyDescent="0.25">
      <c r="A1205" t="s">
        <v>10</v>
      </c>
      <c r="B1205" t="s">
        <v>1241</v>
      </c>
      <c r="C1205" t="s">
        <v>982</v>
      </c>
      <c r="D1205" t="s">
        <v>919</v>
      </c>
      <c r="E1205" s="3">
        <v>36114</v>
      </c>
      <c r="F1205">
        <v>138</v>
      </c>
      <c r="H1205">
        <v>0.1254975079780557</v>
      </c>
      <c r="K1205">
        <v>0</v>
      </c>
    </row>
    <row r="1206" spans="1:11" x14ac:dyDescent="0.25">
      <c r="A1206" t="s">
        <v>10</v>
      </c>
      <c r="B1206" t="s">
        <v>1242</v>
      </c>
      <c r="C1206" t="s">
        <v>921</v>
      </c>
      <c r="D1206" t="s">
        <v>916</v>
      </c>
      <c r="E1206" s="3">
        <v>23441</v>
      </c>
      <c r="F1206">
        <v>563</v>
      </c>
      <c r="H1206">
        <v>0.5615045013850416</v>
      </c>
      <c r="K1206">
        <v>0</v>
      </c>
    </row>
    <row r="1207" spans="1:11" x14ac:dyDescent="0.25">
      <c r="A1207" t="s">
        <v>10</v>
      </c>
      <c r="B1207" t="s">
        <v>1243</v>
      </c>
      <c r="C1207" t="s">
        <v>931</v>
      </c>
      <c r="D1207" t="s">
        <v>919</v>
      </c>
      <c r="E1207" s="3">
        <v>34244</v>
      </c>
      <c r="F1207">
        <v>88</v>
      </c>
      <c r="H1207">
        <v>8.7990210360701537E-2</v>
      </c>
      <c r="K1207">
        <v>0</v>
      </c>
    </row>
    <row r="1208" spans="1:11" x14ac:dyDescent="0.25">
      <c r="A1208" t="s">
        <v>10</v>
      </c>
      <c r="B1208" t="s">
        <v>1244</v>
      </c>
      <c r="C1208" t="s">
        <v>931</v>
      </c>
      <c r="D1208" t="s">
        <v>919</v>
      </c>
      <c r="E1208" s="3">
        <v>34381</v>
      </c>
      <c r="F1208">
        <v>794</v>
      </c>
      <c r="H1208">
        <v>0.16799130864197531</v>
      </c>
      <c r="K1208">
        <v>0</v>
      </c>
    </row>
    <row r="1209" spans="1:11" x14ac:dyDescent="0.25">
      <c r="A1209" t="s">
        <v>10</v>
      </c>
      <c r="B1209" t="s">
        <v>1245</v>
      </c>
      <c r="C1209" t="s">
        <v>934</v>
      </c>
      <c r="D1209" t="s">
        <v>919</v>
      </c>
      <c r="E1209" s="3">
        <v>32195</v>
      </c>
      <c r="F1209">
        <v>36</v>
      </c>
      <c r="H1209">
        <v>0.22476586888657657</v>
      </c>
      <c r="K1209">
        <v>0</v>
      </c>
    </row>
    <row r="1210" spans="1:11" x14ac:dyDescent="0.25">
      <c r="A1210" t="s">
        <v>10</v>
      </c>
      <c r="B1210" t="s">
        <v>1246</v>
      </c>
      <c r="C1210" t="s">
        <v>915</v>
      </c>
      <c r="D1210" t="s">
        <v>916</v>
      </c>
      <c r="E1210" s="3">
        <v>22714</v>
      </c>
      <c r="F1210">
        <v>94</v>
      </c>
      <c r="H1210">
        <v>0.13748150887573973</v>
      </c>
      <c r="K1210">
        <v>0</v>
      </c>
    </row>
    <row r="1211" spans="1:11" x14ac:dyDescent="0.25">
      <c r="A1211" t="s">
        <v>10</v>
      </c>
      <c r="B1211" t="s">
        <v>1247</v>
      </c>
      <c r="C1211" t="s">
        <v>915</v>
      </c>
      <c r="D1211" t="s">
        <v>916</v>
      </c>
      <c r="E1211" s="3">
        <v>22787</v>
      </c>
      <c r="F1211">
        <v>72</v>
      </c>
      <c r="H1211">
        <v>0.64871458059673492</v>
      </c>
      <c r="K1211">
        <v>0</v>
      </c>
    </row>
    <row r="1212" spans="1:11" x14ac:dyDescent="0.25">
      <c r="A1212" t="s">
        <v>10</v>
      </c>
      <c r="B1212" t="s">
        <v>1248</v>
      </c>
      <c r="C1212" t="s">
        <v>915</v>
      </c>
      <c r="D1212" t="s">
        <v>916</v>
      </c>
      <c r="E1212" s="2">
        <v>22519</v>
      </c>
      <c r="F1212">
        <v>73</v>
      </c>
      <c r="H1212">
        <v>0.21854912764003676</v>
      </c>
      <c r="K1212">
        <v>0</v>
      </c>
    </row>
    <row r="1213" spans="1:11" x14ac:dyDescent="0.25">
      <c r="A1213" t="s">
        <v>10</v>
      </c>
      <c r="B1213" t="s">
        <v>1249</v>
      </c>
      <c r="C1213" t="s">
        <v>915</v>
      </c>
      <c r="D1213" t="s">
        <v>916</v>
      </c>
      <c r="E1213" s="3">
        <v>22791</v>
      </c>
      <c r="F1213">
        <v>264</v>
      </c>
      <c r="H1213">
        <v>0.58686250000000006</v>
      </c>
      <c r="K1213">
        <v>0</v>
      </c>
    </row>
    <row r="1214" spans="1:11" x14ac:dyDescent="0.25">
      <c r="A1214" t="s">
        <v>10</v>
      </c>
      <c r="B1214" t="s">
        <v>1250</v>
      </c>
      <c r="C1214" t="s">
        <v>918</v>
      </c>
      <c r="D1214" t="s">
        <v>919</v>
      </c>
      <c r="E1214" s="3">
        <v>37367</v>
      </c>
      <c r="F1214">
        <v>394</v>
      </c>
      <c r="H1214">
        <v>5.0968825184949496E-2</v>
      </c>
      <c r="K1214">
        <v>0</v>
      </c>
    </row>
    <row r="1215" spans="1:11" x14ac:dyDescent="0.25">
      <c r="A1215" t="s">
        <v>10</v>
      </c>
      <c r="B1215" t="s">
        <v>1251</v>
      </c>
      <c r="C1215" t="s">
        <v>918</v>
      </c>
      <c r="D1215" t="s">
        <v>919</v>
      </c>
      <c r="E1215" s="2">
        <v>37327</v>
      </c>
      <c r="F1215">
        <v>1220</v>
      </c>
      <c r="H1215">
        <v>0.14515834245952419</v>
      </c>
      <c r="K1215">
        <v>0</v>
      </c>
    </row>
    <row r="1216" spans="1:11" x14ac:dyDescent="0.25">
      <c r="A1216" t="s">
        <v>10</v>
      </c>
      <c r="B1216" t="s">
        <v>1252</v>
      </c>
      <c r="C1216" t="s">
        <v>918</v>
      </c>
      <c r="D1216" t="s">
        <v>919</v>
      </c>
      <c r="E1216" s="3">
        <v>37345</v>
      </c>
      <c r="F1216">
        <v>970</v>
      </c>
      <c r="H1216">
        <v>5.7388333937167246E-3</v>
      </c>
      <c r="K1216">
        <v>0</v>
      </c>
    </row>
    <row r="1217" spans="1:11" x14ac:dyDescent="0.25">
      <c r="A1217" t="s">
        <v>10</v>
      </c>
      <c r="B1217" t="s">
        <v>1253</v>
      </c>
      <c r="C1217" t="s">
        <v>918</v>
      </c>
      <c r="D1217" t="s">
        <v>919</v>
      </c>
      <c r="E1217" s="2">
        <v>37335</v>
      </c>
      <c r="F1217">
        <v>421</v>
      </c>
      <c r="H1217">
        <v>0.1345817492485416</v>
      </c>
      <c r="K1217">
        <v>0</v>
      </c>
    </row>
    <row r="1218" spans="1:11" x14ac:dyDescent="0.25">
      <c r="A1218" t="s">
        <v>14</v>
      </c>
      <c r="B1218" t="s">
        <v>1254</v>
      </c>
      <c r="C1218" t="s">
        <v>1255</v>
      </c>
      <c r="D1218" t="s">
        <v>919</v>
      </c>
      <c r="E1218" s="2">
        <v>31111</v>
      </c>
      <c r="F1218">
        <v>11995</v>
      </c>
      <c r="H1218">
        <v>0.2634269870438668</v>
      </c>
      <c r="K1218">
        <v>0</v>
      </c>
    </row>
    <row r="1219" spans="1:11" x14ac:dyDescent="0.25">
      <c r="A1219" t="s">
        <v>14</v>
      </c>
      <c r="B1219" t="s">
        <v>1256</v>
      </c>
      <c r="C1219" t="s">
        <v>918</v>
      </c>
      <c r="D1219" t="s">
        <v>919</v>
      </c>
      <c r="E1219" s="2">
        <v>37291</v>
      </c>
      <c r="F1219">
        <v>10806</v>
      </c>
      <c r="H1219">
        <v>0.26021689927080782</v>
      </c>
      <c r="K1219">
        <v>0</v>
      </c>
    </row>
    <row r="1220" spans="1:11" x14ac:dyDescent="0.25">
      <c r="A1220" t="s">
        <v>14</v>
      </c>
      <c r="B1220" t="s">
        <v>1257</v>
      </c>
      <c r="C1220" t="s">
        <v>991</v>
      </c>
      <c r="D1220" t="s">
        <v>991</v>
      </c>
      <c r="E1220" s="3">
        <v>35211</v>
      </c>
      <c r="F1220">
        <v>8388</v>
      </c>
      <c r="H1220">
        <v>0.25368873086436833</v>
      </c>
      <c r="K1220">
        <v>98</v>
      </c>
    </row>
    <row r="1221" spans="1:11" x14ac:dyDescent="0.25">
      <c r="A1221" t="s">
        <v>14</v>
      </c>
      <c r="B1221" t="s">
        <v>1258</v>
      </c>
      <c r="C1221" t="s">
        <v>1259</v>
      </c>
      <c r="D1221" t="s">
        <v>1260</v>
      </c>
      <c r="E1221" s="2">
        <v>51125</v>
      </c>
      <c r="F1221">
        <v>8896</v>
      </c>
      <c r="H1221">
        <v>0.25506024019045243</v>
      </c>
      <c r="K1221">
        <v>0</v>
      </c>
    </row>
    <row r="1222" spans="1:11" x14ac:dyDescent="0.25">
      <c r="A1222" t="s">
        <v>14</v>
      </c>
      <c r="B1222" t="s">
        <v>1261</v>
      </c>
      <c r="C1222" t="s">
        <v>991</v>
      </c>
      <c r="D1222" t="s">
        <v>991</v>
      </c>
      <c r="E1222" s="3">
        <v>35416</v>
      </c>
      <c r="F1222">
        <v>7454</v>
      </c>
      <c r="H1222">
        <v>0.25116709757585942</v>
      </c>
      <c r="K1222">
        <v>37</v>
      </c>
    </row>
    <row r="1223" spans="1:11" x14ac:dyDescent="0.25">
      <c r="A1223" t="s">
        <v>14</v>
      </c>
      <c r="B1223" t="s">
        <v>1262</v>
      </c>
      <c r="C1223" t="s">
        <v>991</v>
      </c>
      <c r="D1223" t="s">
        <v>991</v>
      </c>
      <c r="E1223" s="3">
        <v>35269</v>
      </c>
      <c r="F1223">
        <v>6377</v>
      </c>
      <c r="H1223">
        <v>0.2482593898117009</v>
      </c>
      <c r="K1223">
        <v>0</v>
      </c>
    </row>
    <row r="1224" spans="1:11" x14ac:dyDescent="0.25">
      <c r="A1224" t="s">
        <v>14</v>
      </c>
      <c r="B1224" t="s">
        <v>1263</v>
      </c>
      <c r="C1224" t="s">
        <v>1259</v>
      </c>
      <c r="D1224" t="s">
        <v>1260</v>
      </c>
      <c r="E1224" s="3">
        <v>51281</v>
      </c>
      <c r="F1224">
        <v>8385</v>
      </c>
      <c r="H1224">
        <v>0.2536806313998442</v>
      </c>
      <c r="K1224">
        <v>137</v>
      </c>
    </row>
    <row r="1225" spans="1:11" x14ac:dyDescent="0.25">
      <c r="A1225" t="s">
        <v>14</v>
      </c>
      <c r="B1225" t="s">
        <v>1264</v>
      </c>
      <c r="C1225" t="s">
        <v>991</v>
      </c>
      <c r="D1225" t="s">
        <v>991</v>
      </c>
      <c r="E1225" s="2">
        <v>35511</v>
      </c>
      <c r="F1225">
        <v>3449</v>
      </c>
      <c r="H1225">
        <v>0.24035431243616126</v>
      </c>
      <c r="K1225">
        <v>0</v>
      </c>
    </row>
    <row r="1226" spans="1:11" x14ac:dyDescent="0.25">
      <c r="A1226" t="s">
        <v>14</v>
      </c>
      <c r="B1226" t="s">
        <v>1265</v>
      </c>
      <c r="C1226" t="s">
        <v>1266</v>
      </c>
      <c r="D1226" t="s">
        <v>1201</v>
      </c>
      <c r="E1226" s="2">
        <v>53127</v>
      </c>
      <c r="F1226">
        <v>1661</v>
      </c>
      <c r="H1226">
        <v>0.23552703157978663</v>
      </c>
      <c r="K1226">
        <v>0</v>
      </c>
    </row>
    <row r="1227" spans="1:11" x14ac:dyDescent="0.25">
      <c r="A1227" t="s">
        <v>14</v>
      </c>
      <c r="B1227" t="s">
        <v>1267</v>
      </c>
      <c r="C1227" t="s">
        <v>921</v>
      </c>
      <c r="D1227" t="s">
        <v>916</v>
      </c>
      <c r="E1227" s="3">
        <v>23623</v>
      </c>
      <c r="F1227">
        <v>8142</v>
      </c>
      <c r="H1227">
        <v>0.25302457477339063</v>
      </c>
      <c r="K1227">
        <v>127</v>
      </c>
    </row>
    <row r="1228" spans="1:11" x14ac:dyDescent="0.25">
      <c r="A1228" t="s">
        <v>14</v>
      </c>
      <c r="B1228" t="s">
        <v>1268</v>
      </c>
      <c r="C1228" t="s">
        <v>1269</v>
      </c>
      <c r="D1228" t="s">
        <v>1270</v>
      </c>
      <c r="E1228" s="2">
        <v>62243</v>
      </c>
      <c r="F1228">
        <v>5741</v>
      </c>
      <c r="H1228">
        <v>0.24654230333258778</v>
      </c>
      <c r="K1228">
        <v>0</v>
      </c>
    </row>
    <row r="1229" spans="1:11" x14ac:dyDescent="0.25">
      <c r="A1229" t="s">
        <v>14</v>
      </c>
      <c r="B1229" t="s">
        <v>1271</v>
      </c>
      <c r="C1229" t="s">
        <v>991</v>
      </c>
      <c r="D1229" t="s">
        <v>991</v>
      </c>
      <c r="E1229" s="2">
        <v>35515</v>
      </c>
      <c r="F1229">
        <v>1803</v>
      </c>
      <c r="H1229">
        <v>0.23591040623392825</v>
      </c>
      <c r="K1229">
        <v>0</v>
      </c>
    </row>
    <row r="1230" spans="1:11" x14ac:dyDescent="0.25">
      <c r="A1230" t="s">
        <v>14</v>
      </c>
      <c r="B1230" t="s">
        <v>1272</v>
      </c>
      <c r="C1230" t="s">
        <v>991</v>
      </c>
      <c r="D1230" t="s">
        <v>991</v>
      </c>
      <c r="E1230" s="2">
        <v>35231</v>
      </c>
      <c r="F1230">
        <v>3226</v>
      </c>
      <c r="H1230">
        <v>0.23975225223986846</v>
      </c>
      <c r="K1230">
        <v>0</v>
      </c>
    </row>
    <row r="1231" spans="1:11" x14ac:dyDescent="0.25">
      <c r="A1231" t="s">
        <v>14</v>
      </c>
      <c r="B1231" t="s">
        <v>1273</v>
      </c>
      <c r="C1231" t="s">
        <v>921</v>
      </c>
      <c r="D1231" t="s">
        <v>916</v>
      </c>
      <c r="E1231" s="3">
        <v>23227</v>
      </c>
      <c r="F1231">
        <v>5736</v>
      </c>
      <c r="H1231">
        <v>0.24652880422504758</v>
      </c>
      <c r="K1231">
        <v>486</v>
      </c>
    </row>
    <row r="1232" spans="1:11" x14ac:dyDescent="0.25">
      <c r="A1232" t="s">
        <v>14</v>
      </c>
      <c r="B1232" t="s">
        <v>1274</v>
      </c>
      <c r="C1232" t="s">
        <v>1275</v>
      </c>
      <c r="D1232" t="s">
        <v>916</v>
      </c>
      <c r="E1232" s="2">
        <v>21133</v>
      </c>
      <c r="F1232">
        <v>12221</v>
      </c>
      <c r="H1232">
        <v>0.26403714670468376</v>
      </c>
      <c r="K1232">
        <v>813</v>
      </c>
    </row>
    <row r="1233" spans="1:11" x14ac:dyDescent="0.25">
      <c r="A1233" t="s">
        <v>14</v>
      </c>
      <c r="B1233" t="s">
        <v>1276</v>
      </c>
      <c r="C1233" t="s">
        <v>991</v>
      </c>
      <c r="D1233" t="s">
        <v>991</v>
      </c>
      <c r="E1233" s="3">
        <v>35233</v>
      </c>
      <c r="F1233">
        <v>2393</v>
      </c>
      <c r="H1233">
        <v>0.23750330092367156</v>
      </c>
      <c r="K1233">
        <v>0</v>
      </c>
    </row>
    <row r="1234" spans="1:11" x14ac:dyDescent="0.25">
      <c r="A1234" t="s">
        <v>14</v>
      </c>
      <c r="B1234" t="s">
        <v>1277</v>
      </c>
      <c r="C1234" t="s">
        <v>991</v>
      </c>
      <c r="D1234" t="s">
        <v>991</v>
      </c>
      <c r="E1234" s="2">
        <v>35219</v>
      </c>
      <c r="F1234">
        <v>2207</v>
      </c>
      <c r="H1234">
        <v>0.23700113412317619</v>
      </c>
      <c r="K1234">
        <v>0</v>
      </c>
    </row>
    <row r="1235" spans="1:11" x14ac:dyDescent="0.25">
      <c r="A1235" t="s">
        <v>14</v>
      </c>
      <c r="B1235" t="s">
        <v>1278</v>
      </c>
      <c r="C1235" t="s">
        <v>1278</v>
      </c>
      <c r="D1235" t="s">
        <v>937</v>
      </c>
      <c r="E1235" s="3">
        <v>73111</v>
      </c>
      <c r="F1235">
        <v>3137</v>
      </c>
      <c r="H1235">
        <v>0.23951196812565292</v>
      </c>
      <c r="K1235">
        <v>0</v>
      </c>
    </row>
    <row r="1236" spans="1:11" x14ac:dyDescent="0.25">
      <c r="A1236" t="s">
        <v>14</v>
      </c>
      <c r="B1236" t="s">
        <v>1279</v>
      </c>
      <c r="C1236" t="s">
        <v>1280</v>
      </c>
      <c r="D1236" t="s">
        <v>937</v>
      </c>
      <c r="E1236" s="3">
        <v>74141</v>
      </c>
      <c r="F1236">
        <v>1085</v>
      </c>
      <c r="H1236">
        <v>0.23397193439115588</v>
      </c>
      <c r="K1236">
        <v>0</v>
      </c>
    </row>
    <row r="1237" spans="1:11" x14ac:dyDescent="0.25">
      <c r="A1237" t="s">
        <v>14</v>
      </c>
      <c r="B1237" t="s">
        <v>1281</v>
      </c>
      <c r="C1237" t="s">
        <v>1282</v>
      </c>
      <c r="D1237" t="s">
        <v>916</v>
      </c>
      <c r="E1237" s="2">
        <v>24414</v>
      </c>
      <c r="F1237">
        <v>1602</v>
      </c>
      <c r="H1237">
        <v>0.23536774211081229</v>
      </c>
      <c r="K1237">
        <v>145</v>
      </c>
    </row>
    <row r="1238" spans="1:11" x14ac:dyDescent="0.25">
      <c r="A1238" t="s">
        <v>14</v>
      </c>
      <c r="B1238" t="s">
        <v>1283</v>
      </c>
      <c r="C1238" t="s">
        <v>1266</v>
      </c>
      <c r="D1238" t="s">
        <v>1201</v>
      </c>
      <c r="E1238" s="2">
        <v>53183</v>
      </c>
      <c r="F1238">
        <v>3241</v>
      </c>
      <c r="H1238">
        <v>0.23979274956248905</v>
      </c>
      <c r="K1238">
        <v>0</v>
      </c>
    </row>
    <row r="1239" spans="1:11" x14ac:dyDescent="0.25">
      <c r="A1239" t="s">
        <v>14</v>
      </c>
      <c r="B1239" t="s">
        <v>1284</v>
      </c>
      <c r="C1239" t="s">
        <v>1255</v>
      </c>
      <c r="D1239" t="s">
        <v>919</v>
      </c>
      <c r="E1239" s="3">
        <v>31186</v>
      </c>
      <c r="F1239">
        <v>12806</v>
      </c>
      <c r="H1239">
        <v>0.26561654228688686</v>
      </c>
      <c r="K1239">
        <v>0</v>
      </c>
    </row>
    <row r="1240" spans="1:11" x14ac:dyDescent="0.25">
      <c r="A1240" t="s">
        <v>14</v>
      </c>
      <c r="B1240" t="s">
        <v>1285</v>
      </c>
      <c r="C1240" t="s">
        <v>931</v>
      </c>
      <c r="D1240" t="s">
        <v>919</v>
      </c>
      <c r="E1240" s="2">
        <v>34336</v>
      </c>
      <c r="F1240">
        <v>1332</v>
      </c>
      <c r="H1240">
        <v>0.23463879030364165</v>
      </c>
      <c r="K1240">
        <v>19</v>
      </c>
    </row>
    <row r="1241" spans="1:11" x14ac:dyDescent="0.25">
      <c r="A1241" t="s">
        <v>14</v>
      </c>
      <c r="B1241" t="s">
        <v>1286</v>
      </c>
      <c r="C1241" t="s">
        <v>1280</v>
      </c>
      <c r="D1241" t="s">
        <v>937</v>
      </c>
      <c r="E1241" s="3">
        <v>74111</v>
      </c>
      <c r="F1241">
        <v>7001</v>
      </c>
      <c r="H1241">
        <v>0.24994407843271754</v>
      </c>
      <c r="K1241">
        <v>407</v>
      </c>
    </row>
    <row r="1242" spans="1:11" x14ac:dyDescent="0.25">
      <c r="A1242" t="s">
        <v>14</v>
      </c>
      <c r="B1242" t="s">
        <v>1287</v>
      </c>
      <c r="C1242" t="s">
        <v>1288</v>
      </c>
      <c r="D1242" t="s">
        <v>1270</v>
      </c>
      <c r="E1242" s="3">
        <v>61496</v>
      </c>
      <c r="F1242">
        <v>2078</v>
      </c>
      <c r="H1242">
        <v>0.2366528571486391</v>
      </c>
      <c r="K1242">
        <v>0</v>
      </c>
    </row>
    <row r="1243" spans="1:11" x14ac:dyDescent="0.25">
      <c r="A1243" t="s">
        <v>14</v>
      </c>
      <c r="B1243" t="s">
        <v>1289</v>
      </c>
      <c r="C1243" t="s">
        <v>937</v>
      </c>
      <c r="D1243" t="s">
        <v>937</v>
      </c>
      <c r="E1243" s="2">
        <v>71122</v>
      </c>
      <c r="F1243">
        <v>6688</v>
      </c>
      <c r="H1243">
        <v>0.24909903430070118</v>
      </c>
      <c r="K1243">
        <v>0</v>
      </c>
    </row>
    <row r="1244" spans="1:11" x14ac:dyDescent="0.25">
      <c r="A1244" t="s">
        <v>14</v>
      </c>
      <c r="B1244" t="s">
        <v>1290</v>
      </c>
      <c r="C1244" t="s">
        <v>1291</v>
      </c>
      <c r="D1244" t="s">
        <v>1260</v>
      </c>
      <c r="E1244" s="3">
        <v>55111</v>
      </c>
      <c r="F1244">
        <v>5817</v>
      </c>
      <c r="H1244">
        <v>0.24674748976719879</v>
      </c>
      <c r="K1244">
        <v>123</v>
      </c>
    </row>
    <row r="1245" spans="1:11" x14ac:dyDescent="0.25">
      <c r="A1245" t="s">
        <v>14</v>
      </c>
      <c r="B1245" t="s">
        <v>1292</v>
      </c>
      <c r="C1245" t="s">
        <v>934</v>
      </c>
      <c r="D1245" t="s">
        <v>919</v>
      </c>
      <c r="E1245" s="3">
        <v>32123</v>
      </c>
      <c r="F1245">
        <v>3174</v>
      </c>
      <c r="H1245">
        <v>0.23961186152145039</v>
      </c>
      <c r="K1245">
        <v>0</v>
      </c>
    </row>
    <row r="1246" spans="1:11" x14ac:dyDescent="0.25">
      <c r="A1246" t="s">
        <v>14</v>
      </c>
      <c r="B1246" t="s">
        <v>1293</v>
      </c>
      <c r="C1246" t="s">
        <v>1259</v>
      </c>
      <c r="D1246" t="s">
        <v>1260</v>
      </c>
      <c r="E1246" s="3">
        <v>51184</v>
      </c>
      <c r="F1246">
        <v>1617</v>
      </c>
      <c r="H1246">
        <v>0.23540823943343289</v>
      </c>
      <c r="K1246">
        <v>0</v>
      </c>
    </row>
    <row r="1247" spans="1:11" x14ac:dyDescent="0.25">
      <c r="A1247" t="s">
        <v>14</v>
      </c>
      <c r="B1247" t="s">
        <v>1294</v>
      </c>
      <c r="C1247" t="s">
        <v>1295</v>
      </c>
      <c r="D1247" t="s">
        <v>916</v>
      </c>
      <c r="E1247" s="3">
        <v>26117</v>
      </c>
      <c r="F1247">
        <v>1118</v>
      </c>
      <c r="H1247">
        <v>0.2340610285009212</v>
      </c>
      <c r="K1247">
        <v>0</v>
      </c>
    </row>
    <row r="1248" spans="1:11" x14ac:dyDescent="0.25">
      <c r="A1248" t="s">
        <v>14</v>
      </c>
      <c r="B1248" t="s">
        <v>1296</v>
      </c>
      <c r="C1248" t="s">
        <v>1297</v>
      </c>
      <c r="D1248" t="s">
        <v>919</v>
      </c>
      <c r="E1248" s="3">
        <v>33211</v>
      </c>
      <c r="F1248">
        <v>568</v>
      </c>
      <c r="H1248">
        <v>0.23257612667149946</v>
      </c>
      <c r="K1248">
        <v>0</v>
      </c>
    </row>
    <row r="1249" spans="1:11" x14ac:dyDescent="0.25">
      <c r="A1249" t="s">
        <v>14</v>
      </c>
      <c r="B1249" t="s">
        <v>1298</v>
      </c>
      <c r="C1249" t="s">
        <v>937</v>
      </c>
      <c r="D1249" t="s">
        <v>937</v>
      </c>
      <c r="E1249" s="3">
        <v>71117</v>
      </c>
      <c r="F1249">
        <v>2048</v>
      </c>
      <c r="H1249">
        <v>0.23657186250339793</v>
      </c>
      <c r="K1249">
        <v>0</v>
      </c>
    </row>
    <row r="1250" spans="1:11" x14ac:dyDescent="0.25">
      <c r="A1250" t="s">
        <v>14</v>
      </c>
      <c r="B1250" t="s">
        <v>1299</v>
      </c>
      <c r="C1250" t="s">
        <v>1259</v>
      </c>
      <c r="D1250" t="s">
        <v>1260</v>
      </c>
      <c r="E1250" s="2">
        <v>51177</v>
      </c>
      <c r="F1250">
        <v>1360</v>
      </c>
      <c r="H1250">
        <v>0.23471438530586675</v>
      </c>
      <c r="K1250">
        <v>0</v>
      </c>
    </row>
    <row r="1251" spans="1:11" x14ac:dyDescent="0.25">
      <c r="A1251" t="s">
        <v>14</v>
      </c>
      <c r="B1251" t="s">
        <v>1300</v>
      </c>
      <c r="C1251" t="s">
        <v>1269</v>
      </c>
      <c r="D1251" t="s">
        <v>1270</v>
      </c>
      <c r="E1251" s="3">
        <v>62245</v>
      </c>
      <c r="F1251">
        <v>4696</v>
      </c>
      <c r="H1251">
        <v>0.2437209898566865</v>
      </c>
      <c r="K1251">
        <v>69</v>
      </c>
    </row>
    <row r="1252" spans="1:11" x14ac:dyDescent="0.25">
      <c r="A1252" t="s">
        <v>14</v>
      </c>
      <c r="B1252" t="s">
        <v>1301</v>
      </c>
      <c r="C1252" t="s">
        <v>1297</v>
      </c>
      <c r="D1252" t="s">
        <v>919</v>
      </c>
      <c r="E1252" s="2">
        <v>33115</v>
      </c>
      <c r="F1252">
        <v>4084</v>
      </c>
      <c r="H1252">
        <v>0.24206869909376633</v>
      </c>
      <c r="K1252">
        <v>0</v>
      </c>
    </row>
    <row r="1253" spans="1:11" x14ac:dyDescent="0.25">
      <c r="A1253" t="s">
        <v>14</v>
      </c>
      <c r="B1253" t="s">
        <v>1302</v>
      </c>
      <c r="C1253" t="s">
        <v>1266</v>
      </c>
      <c r="D1253" t="s">
        <v>1201</v>
      </c>
      <c r="E1253" s="2">
        <v>53257</v>
      </c>
      <c r="F1253">
        <v>852</v>
      </c>
      <c r="H1253">
        <v>0.23334287597978268</v>
      </c>
      <c r="K1253">
        <v>0</v>
      </c>
    </row>
    <row r="1254" spans="1:11" x14ac:dyDescent="0.25">
      <c r="A1254" t="s">
        <v>14</v>
      </c>
      <c r="B1254" t="s">
        <v>1303</v>
      </c>
      <c r="C1254" t="s">
        <v>1259</v>
      </c>
      <c r="D1254" t="s">
        <v>1260</v>
      </c>
      <c r="E1254" s="3">
        <v>51133</v>
      </c>
      <c r="F1254">
        <v>4328</v>
      </c>
      <c r="H1254">
        <v>0.24272745554172798</v>
      </c>
      <c r="K1254">
        <v>0</v>
      </c>
    </row>
    <row r="1255" spans="1:11" x14ac:dyDescent="0.25">
      <c r="A1255" t="s">
        <v>14</v>
      </c>
      <c r="B1255" t="s">
        <v>1304</v>
      </c>
      <c r="C1255" t="s">
        <v>991</v>
      </c>
      <c r="D1255" t="s">
        <v>991</v>
      </c>
      <c r="E1255" s="2">
        <v>35259</v>
      </c>
      <c r="F1255">
        <v>535</v>
      </c>
      <c r="H1255">
        <v>0.23248703256173417</v>
      </c>
      <c r="K1255">
        <v>0</v>
      </c>
    </row>
    <row r="1256" spans="1:11" x14ac:dyDescent="0.25">
      <c r="A1256" t="s">
        <v>14</v>
      </c>
      <c r="B1256" t="s">
        <v>1305</v>
      </c>
      <c r="C1256" t="s">
        <v>1259</v>
      </c>
      <c r="D1256" t="s">
        <v>1260</v>
      </c>
      <c r="E1256" s="3">
        <v>51354</v>
      </c>
      <c r="F1256">
        <v>1153</v>
      </c>
      <c r="H1256">
        <v>0.23415552225370256</v>
      </c>
      <c r="K1256">
        <v>0</v>
      </c>
    </row>
    <row r="1257" spans="1:11" x14ac:dyDescent="0.25">
      <c r="A1257" t="s">
        <v>14</v>
      </c>
      <c r="B1257" t="s">
        <v>1306</v>
      </c>
      <c r="C1257" t="s">
        <v>1307</v>
      </c>
      <c r="D1257" t="s">
        <v>916</v>
      </c>
      <c r="E1257" s="3">
        <v>25415</v>
      </c>
      <c r="F1257">
        <v>4543</v>
      </c>
      <c r="H1257">
        <v>0.24330791716595646</v>
      </c>
      <c r="K1257">
        <v>0</v>
      </c>
    </row>
    <row r="1258" spans="1:11" x14ac:dyDescent="0.25">
      <c r="A1258" t="s">
        <v>14</v>
      </c>
      <c r="B1258" t="s">
        <v>1308</v>
      </c>
      <c r="C1258" t="s">
        <v>937</v>
      </c>
      <c r="D1258" t="s">
        <v>937</v>
      </c>
      <c r="E1258" s="3">
        <v>71374</v>
      </c>
      <c r="F1258">
        <v>5855</v>
      </c>
      <c r="H1258">
        <v>0.24685008298450428</v>
      </c>
      <c r="K1258">
        <v>0</v>
      </c>
    </row>
    <row r="1259" spans="1:11" x14ac:dyDescent="0.25">
      <c r="A1259" t="s">
        <v>14</v>
      </c>
      <c r="B1259" t="s">
        <v>1309</v>
      </c>
      <c r="C1259" t="s">
        <v>937</v>
      </c>
      <c r="D1259" t="s">
        <v>937</v>
      </c>
      <c r="E1259" s="3">
        <v>71211</v>
      </c>
      <c r="F1259">
        <v>3835</v>
      </c>
      <c r="H1259">
        <v>0.2413964435382645</v>
      </c>
      <c r="K1259">
        <v>0</v>
      </c>
    </row>
    <row r="1260" spans="1:11" x14ac:dyDescent="0.25">
      <c r="A1260" t="s">
        <v>14</v>
      </c>
      <c r="B1260" t="s">
        <v>1310</v>
      </c>
      <c r="C1260" t="s">
        <v>1288</v>
      </c>
      <c r="D1260" t="s">
        <v>1270</v>
      </c>
      <c r="E1260" s="2">
        <v>61469</v>
      </c>
      <c r="F1260">
        <v>646</v>
      </c>
      <c r="H1260">
        <v>0.23278671274912655</v>
      </c>
      <c r="K1260">
        <v>43</v>
      </c>
    </row>
    <row r="1261" spans="1:11" x14ac:dyDescent="0.25">
      <c r="A1261" t="s">
        <v>14</v>
      </c>
      <c r="B1261" t="s">
        <v>1311</v>
      </c>
      <c r="C1261" t="s">
        <v>1266</v>
      </c>
      <c r="D1261" t="s">
        <v>1201</v>
      </c>
      <c r="E1261" s="3">
        <v>53115</v>
      </c>
      <c r="F1261">
        <v>929</v>
      </c>
      <c r="H1261">
        <v>0.23355076223590171</v>
      </c>
      <c r="K1261">
        <v>0</v>
      </c>
    </row>
    <row r="1262" spans="1:11" x14ac:dyDescent="0.25">
      <c r="A1262" t="s">
        <v>14</v>
      </c>
      <c r="B1262" t="s">
        <v>1312</v>
      </c>
      <c r="C1262" t="s">
        <v>991</v>
      </c>
      <c r="D1262" t="s">
        <v>991</v>
      </c>
      <c r="E1262" s="3">
        <v>35411</v>
      </c>
      <c r="F1262">
        <v>1964</v>
      </c>
      <c r="H1262">
        <v>0.23634507749672259</v>
      </c>
      <c r="K1262">
        <v>0</v>
      </c>
    </row>
    <row r="1263" spans="1:11" x14ac:dyDescent="0.25">
      <c r="A1263" t="s">
        <v>14</v>
      </c>
      <c r="B1263" t="s">
        <v>1313</v>
      </c>
      <c r="C1263" t="s">
        <v>1288</v>
      </c>
      <c r="D1263" t="s">
        <v>1270</v>
      </c>
      <c r="E1263" s="3">
        <v>61412</v>
      </c>
      <c r="F1263">
        <v>694</v>
      </c>
      <c r="H1263">
        <v>0.23291630418151243</v>
      </c>
      <c r="K1263">
        <v>0</v>
      </c>
    </row>
    <row r="1264" spans="1:11" x14ac:dyDescent="0.25">
      <c r="A1264" t="s">
        <v>14</v>
      </c>
      <c r="B1264" t="s">
        <v>1314</v>
      </c>
      <c r="C1264" t="s">
        <v>1315</v>
      </c>
      <c r="D1264" t="s">
        <v>1315</v>
      </c>
      <c r="E1264" s="3">
        <v>10999</v>
      </c>
      <c r="F1264">
        <v>272</v>
      </c>
      <c r="H1264">
        <v>0.23177697950511977</v>
      </c>
      <c r="K1264">
        <v>0</v>
      </c>
    </row>
    <row r="1265" spans="1:11" x14ac:dyDescent="0.25">
      <c r="A1265" t="s">
        <v>14</v>
      </c>
      <c r="B1265" t="s">
        <v>1316</v>
      </c>
      <c r="C1265" t="s">
        <v>934</v>
      </c>
      <c r="D1265" t="s">
        <v>919</v>
      </c>
      <c r="E1265" s="3">
        <v>32167</v>
      </c>
      <c r="F1265">
        <v>814</v>
      </c>
      <c r="H1265">
        <v>0.23324028276247719</v>
      </c>
      <c r="K1265">
        <v>0</v>
      </c>
    </row>
    <row r="1266" spans="1:11" x14ac:dyDescent="0.25">
      <c r="A1266" t="s">
        <v>14</v>
      </c>
      <c r="B1266" t="s">
        <v>1317</v>
      </c>
      <c r="C1266" t="s">
        <v>1297</v>
      </c>
      <c r="D1266" t="s">
        <v>919</v>
      </c>
      <c r="E1266" s="2">
        <v>33121</v>
      </c>
      <c r="F1266">
        <v>1748</v>
      </c>
      <c r="H1266">
        <v>0.23576191605098606</v>
      </c>
      <c r="K1266">
        <v>0</v>
      </c>
    </row>
    <row r="1267" spans="1:11" x14ac:dyDescent="0.25">
      <c r="A1267" t="s">
        <v>14</v>
      </c>
      <c r="B1267" t="s">
        <v>1318</v>
      </c>
      <c r="C1267" t="s">
        <v>937</v>
      </c>
      <c r="D1267" t="s">
        <v>937</v>
      </c>
      <c r="E1267" s="3">
        <v>71177</v>
      </c>
      <c r="F1267">
        <v>2962</v>
      </c>
      <c r="H1267">
        <v>0.23903949936174601</v>
      </c>
      <c r="K1267">
        <v>0</v>
      </c>
    </row>
    <row r="1268" spans="1:11" x14ac:dyDescent="0.25">
      <c r="A1268" t="s">
        <v>14</v>
      </c>
      <c r="B1268" t="s">
        <v>1319</v>
      </c>
      <c r="C1268" t="s">
        <v>934</v>
      </c>
      <c r="D1268" t="s">
        <v>919</v>
      </c>
      <c r="E1268" s="3">
        <v>32115</v>
      </c>
      <c r="F1268">
        <v>1420</v>
      </c>
      <c r="H1268">
        <v>0.23487637459634911</v>
      </c>
      <c r="K1268">
        <v>0</v>
      </c>
    </row>
    <row r="1269" spans="1:11" x14ac:dyDescent="0.25">
      <c r="A1269" t="s">
        <v>14</v>
      </c>
      <c r="B1269" t="s">
        <v>1320</v>
      </c>
      <c r="C1269" t="s">
        <v>921</v>
      </c>
      <c r="D1269" t="s">
        <v>916</v>
      </c>
      <c r="E1269" s="3">
        <v>23433</v>
      </c>
      <c r="F1269">
        <v>2839</v>
      </c>
      <c r="H1269">
        <v>0.23870742131625716</v>
      </c>
      <c r="K1269">
        <v>77</v>
      </c>
    </row>
    <row r="1270" spans="1:11" x14ac:dyDescent="0.25">
      <c r="A1270" t="s">
        <v>14</v>
      </c>
      <c r="B1270" t="s">
        <v>1321</v>
      </c>
      <c r="C1270" t="s">
        <v>991</v>
      </c>
      <c r="D1270" t="s">
        <v>991</v>
      </c>
      <c r="E1270" s="2">
        <v>35445</v>
      </c>
      <c r="F1270">
        <v>774</v>
      </c>
      <c r="H1270">
        <v>0.23313228990215559</v>
      </c>
      <c r="K1270">
        <v>0</v>
      </c>
    </row>
    <row r="1271" spans="1:11" x14ac:dyDescent="0.25">
      <c r="A1271" t="s">
        <v>14</v>
      </c>
      <c r="B1271" t="s">
        <v>1322</v>
      </c>
      <c r="C1271" t="s">
        <v>1323</v>
      </c>
      <c r="D1271" t="s">
        <v>1260</v>
      </c>
      <c r="E1271" s="2">
        <v>52244</v>
      </c>
      <c r="F1271">
        <v>3702</v>
      </c>
      <c r="H1271">
        <v>0.24103736727769526</v>
      </c>
      <c r="K1271">
        <v>0</v>
      </c>
    </row>
    <row r="1272" spans="1:11" x14ac:dyDescent="0.25">
      <c r="A1272" t="s">
        <v>14</v>
      </c>
      <c r="B1272" t="s">
        <v>1324</v>
      </c>
      <c r="C1272" t="s">
        <v>921</v>
      </c>
      <c r="D1272" t="s">
        <v>916</v>
      </c>
      <c r="E1272" s="3">
        <v>23461</v>
      </c>
      <c r="F1272">
        <v>202</v>
      </c>
      <c r="H1272">
        <v>0.23158799199955701</v>
      </c>
      <c r="K1272">
        <v>0</v>
      </c>
    </row>
    <row r="1273" spans="1:11" x14ac:dyDescent="0.25">
      <c r="A1273" t="s">
        <v>14</v>
      </c>
      <c r="B1273" t="s">
        <v>1325</v>
      </c>
      <c r="C1273" t="s">
        <v>915</v>
      </c>
      <c r="D1273" t="s">
        <v>916</v>
      </c>
      <c r="E1273" s="2">
        <v>22343</v>
      </c>
      <c r="F1273">
        <v>3678</v>
      </c>
      <c r="H1273">
        <v>0.24097257156150231</v>
      </c>
      <c r="K1273">
        <v>0</v>
      </c>
    </row>
    <row r="1274" spans="1:11" x14ac:dyDescent="0.25">
      <c r="A1274" t="s">
        <v>14</v>
      </c>
      <c r="B1274" t="s">
        <v>1326</v>
      </c>
      <c r="C1274" t="s">
        <v>991</v>
      </c>
      <c r="D1274" t="s">
        <v>991</v>
      </c>
      <c r="E1274" s="3">
        <v>35158</v>
      </c>
      <c r="F1274">
        <v>1165</v>
      </c>
      <c r="H1274">
        <v>0.23418792011179904</v>
      </c>
      <c r="K1274">
        <v>0</v>
      </c>
    </row>
    <row r="1275" spans="1:11" x14ac:dyDescent="0.25">
      <c r="A1275" t="s">
        <v>14</v>
      </c>
      <c r="B1275" t="s">
        <v>1327</v>
      </c>
      <c r="C1275" t="s">
        <v>991</v>
      </c>
      <c r="D1275" t="s">
        <v>991</v>
      </c>
      <c r="E1275" s="2">
        <v>35223</v>
      </c>
      <c r="F1275">
        <v>500</v>
      </c>
      <c r="H1275">
        <v>0.23239253880895278</v>
      </c>
      <c r="K1275">
        <v>0</v>
      </c>
    </row>
    <row r="1276" spans="1:11" x14ac:dyDescent="0.25">
      <c r="A1276" t="s">
        <v>14</v>
      </c>
      <c r="B1276" t="s">
        <v>1328</v>
      </c>
      <c r="C1276" t="s">
        <v>991</v>
      </c>
      <c r="D1276" t="s">
        <v>991</v>
      </c>
      <c r="E1276" s="3">
        <v>35518</v>
      </c>
      <c r="F1276">
        <v>828</v>
      </c>
      <c r="H1276">
        <v>0.23327808026358973</v>
      </c>
      <c r="K1276">
        <v>0</v>
      </c>
    </row>
    <row r="1277" spans="1:11" x14ac:dyDescent="0.25">
      <c r="A1277" t="s">
        <v>14</v>
      </c>
      <c r="B1277" t="s">
        <v>1329</v>
      </c>
      <c r="C1277" t="s">
        <v>1295</v>
      </c>
      <c r="D1277" t="s">
        <v>916</v>
      </c>
      <c r="E1277" s="3">
        <v>26284</v>
      </c>
      <c r="F1277">
        <v>1727</v>
      </c>
      <c r="H1277">
        <v>0.23570521979931724</v>
      </c>
      <c r="K1277">
        <v>0</v>
      </c>
    </row>
    <row r="1278" spans="1:11" x14ac:dyDescent="0.25">
      <c r="A1278" t="s">
        <v>14</v>
      </c>
      <c r="B1278" t="s">
        <v>1330</v>
      </c>
      <c r="C1278" t="s">
        <v>1288</v>
      </c>
      <c r="D1278" t="s">
        <v>1270</v>
      </c>
      <c r="E1278" s="2">
        <v>61415</v>
      </c>
      <c r="F1278">
        <v>530</v>
      </c>
      <c r="H1278">
        <v>0.23247353345419397</v>
      </c>
      <c r="K1278">
        <v>0</v>
      </c>
    </row>
    <row r="1279" spans="1:11" x14ac:dyDescent="0.25">
      <c r="A1279" t="s">
        <v>14</v>
      </c>
      <c r="B1279" t="s">
        <v>1331</v>
      </c>
      <c r="C1279" t="s">
        <v>1332</v>
      </c>
      <c r="D1279" t="s">
        <v>1270</v>
      </c>
      <c r="E1279" s="2">
        <v>63319</v>
      </c>
      <c r="F1279">
        <v>1215</v>
      </c>
      <c r="H1279">
        <v>0.23432291118720103</v>
      </c>
      <c r="K1279">
        <v>0</v>
      </c>
    </row>
    <row r="1280" spans="1:11" x14ac:dyDescent="0.25">
      <c r="A1280" t="s">
        <v>14</v>
      </c>
      <c r="B1280" t="s">
        <v>1333</v>
      </c>
      <c r="C1280" t="s">
        <v>934</v>
      </c>
      <c r="D1280" t="s">
        <v>919</v>
      </c>
      <c r="E1280" s="2">
        <v>32177</v>
      </c>
      <c r="F1280">
        <v>1714</v>
      </c>
      <c r="H1280">
        <v>0.23567012211971272</v>
      </c>
      <c r="K1280">
        <v>66</v>
      </c>
    </row>
    <row r="1281" spans="1:11" x14ac:dyDescent="0.25">
      <c r="A1281" t="s">
        <v>14</v>
      </c>
      <c r="B1281" t="s">
        <v>1334</v>
      </c>
      <c r="C1281" t="s">
        <v>1291</v>
      </c>
      <c r="D1281" t="s">
        <v>1260</v>
      </c>
      <c r="E1281" s="3">
        <v>55161</v>
      </c>
      <c r="F1281">
        <v>564</v>
      </c>
      <c r="H1281">
        <v>0.23256532738546731</v>
      </c>
      <c r="K1281">
        <v>0</v>
      </c>
    </row>
    <row r="1282" spans="1:11" x14ac:dyDescent="0.25">
      <c r="A1282" t="s">
        <v>14</v>
      </c>
      <c r="B1282" t="s">
        <v>1335</v>
      </c>
      <c r="C1282" t="s">
        <v>931</v>
      </c>
      <c r="D1282" t="s">
        <v>919</v>
      </c>
      <c r="E1282" s="2">
        <v>34259</v>
      </c>
      <c r="F1282">
        <v>819</v>
      </c>
      <c r="H1282">
        <v>0.23325378187001738</v>
      </c>
      <c r="K1282">
        <v>0</v>
      </c>
    </row>
    <row r="1283" spans="1:11" x14ac:dyDescent="0.25">
      <c r="A1283" t="s">
        <v>14</v>
      </c>
      <c r="B1283" t="s">
        <v>1336</v>
      </c>
      <c r="C1283" t="s">
        <v>1323</v>
      </c>
      <c r="D1283" t="s">
        <v>1260</v>
      </c>
      <c r="E1283" s="3">
        <v>52281</v>
      </c>
      <c r="F1283">
        <v>1943</v>
      </c>
      <c r="H1283">
        <v>0.23628838124505377</v>
      </c>
      <c r="K1283">
        <v>0</v>
      </c>
    </row>
    <row r="1284" spans="1:11" x14ac:dyDescent="0.25">
      <c r="A1284" t="s">
        <v>14</v>
      </c>
      <c r="B1284" t="s">
        <v>1337</v>
      </c>
      <c r="C1284" t="s">
        <v>1200</v>
      </c>
      <c r="D1284" t="s">
        <v>1201</v>
      </c>
      <c r="E1284" s="2">
        <v>54159</v>
      </c>
      <c r="F1284">
        <v>126</v>
      </c>
      <c r="H1284">
        <v>0.231382805564946</v>
      </c>
      <c r="K1284">
        <v>0</v>
      </c>
    </row>
    <row r="1285" spans="1:11" x14ac:dyDescent="0.25">
      <c r="A1285" t="s">
        <v>14</v>
      </c>
      <c r="B1285" t="s">
        <v>1338</v>
      </c>
      <c r="C1285" t="s">
        <v>1332</v>
      </c>
      <c r="D1285" t="s">
        <v>1270</v>
      </c>
      <c r="E1285" s="2">
        <v>63214</v>
      </c>
      <c r="F1285">
        <v>628</v>
      </c>
      <c r="H1285">
        <v>0.23273811596198182</v>
      </c>
      <c r="K1285">
        <v>0</v>
      </c>
    </row>
    <row r="1286" spans="1:11" x14ac:dyDescent="0.25">
      <c r="A1286" t="s">
        <v>14</v>
      </c>
      <c r="B1286" t="s">
        <v>1339</v>
      </c>
      <c r="C1286" t="s">
        <v>1288</v>
      </c>
      <c r="D1286" t="s">
        <v>1270</v>
      </c>
      <c r="E1286" s="3">
        <v>61426</v>
      </c>
      <c r="F1286">
        <v>1559</v>
      </c>
      <c r="H1286">
        <v>0.2352516497859666</v>
      </c>
      <c r="K1286">
        <v>0</v>
      </c>
    </row>
    <row r="1287" spans="1:11" x14ac:dyDescent="0.25">
      <c r="A1287" t="s">
        <v>14</v>
      </c>
      <c r="B1287" t="s">
        <v>1340</v>
      </c>
      <c r="C1287" t="s">
        <v>1288</v>
      </c>
      <c r="D1287" t="s">
        <v>1270</v>
      </c>
      <c r="E1287" s="2">
        <v>61437</v>
      </c>
      <c r="F1287">
        <v>899</v>
      </c>
      <c r="H1287">
        <v>0.23346976759066054</v>
      </c>
      <c r="K1287">
        <v>0</v>
      </c>
    </row>
    <row r="1288" spans="1:11" x14ac:dyDescent="0.25">
      <c r="A1288" t="s">
        <v>14</v>
      </c>
      <c r="B1288" t="s">
        <v>1341</v>
      </c>
      <c r="C1288" t="s">
        <v>934</v>
      </c>
      <c r="D1288" t="s">
        <v>919</v>
      </c>
      <c r="E1288" s="3">
        <v>32143</v>
      </c>
      <c r="F1288">
        <v>778</v>
      </c>
      <c r="H1288">
        <v>0.23314308918818777</v>
      </c>
      <c r="K1288">
        <v>0</v>
      </c>
    </row>
    <row r="1289" spans="1:11" x14ac:dyDescent="0.25">
      <c r="A1289" t="s">
        <v>14</v>
      </c>
      <c r="B1289" t="s">
        <v>1342</v>
      </c>
      <c r="C1289" t="s">
        <v>1282</v>
      </c>
      <c r="D1289" t="s">
        <v>916</v>
      </c>
      <c r="E1289" s="2">
        <v>24369</v>
      </c>
      <c r="F1289">
        <v>1727</v>
      </c>
      <c r="H1289">
        <v>0.23570521979931724</v>
      </c>
      <c r="K1289">
        <v>68</v>
      </c>
    </row>
    <row r="1290" spans="1:11" x14ac:dyDescent="0.25">
      <c r="A1290" t="s">
        <v>14</v>
      </c>
      <c r="B1290" t="s">
        <v>1343</v>
      </c>
      <c r="C1290" t="s">
        <v>991</v>
      </c>
      <c r="D1290" t="s">
        <v>991</v>
      </c>
      <c r="E1290" s="2">
        <v>35125</v>
      </c>
      <c r="F1290">
        <v>2607</v>
      </c>
      <c r="H1290">
        <v>0.23808106272639201</v>
      </c>
      <c r="K1290">
        <v>0</v>
      </c>
    </row>
    <row r="1291" spans="1:11" x14ac:dyDescent="0.25">
      <c r="A1291" t="s">
        <v>14</v>
      </c>
      <c r="B1291" t="s">
        <v>1344</v>
      </c>
      <c r="C1291" t="s">
        <v>934</v>
      </c>
      <c r="D1291" t="s">
        <v>919</v>
      </c>
      <c r="E1291" s="3">
        <v>32149</v>
      </c>
      <c r="F1291">
        <v>620</v>
      </c>
      <c r="H1291">
        <v>0.23271651738991753</v>
      </c>
      <c r="K1291">
        <v>0</v>
      </c>
    </row>
    <row r="1292" spans="1:11" x14ac:dyDescent="0.25">
      <c r="A1292" t="s">
        <v>14</v>
      </c>
      <c r="B1292" t="s">
        <v>1345</v>
      </c>
      <c r="C1292" t="s">
        <v>1288</v>
      </c>
      <c r="D1292" t="s">
        <v>1270</v>
      </c>
      <c r="E1292" s="3">
        <v>61414</v>
      </c>
      <c r="F1292">
        <v>1344</v>
      </c>
      <c r="H1292">
        <v>0.23467118816173813</v>
      </c>
      <c r="K1292">
        <v>0</v>
      </c>
    </row>
    <row r="1293" spans="1:11" x14ac:dyDescent="0.25">
      <c r="A1293" t="s">
        <v>14</v>
      </c>
      <c r="B1293" t="s">
        <v>1346</v>
      </c>
      <c r="C1293" t="s">
        <v>991</v>
      </c>
      <c r="D1293" t="s">
        <v>991</v>
      </c>
      <c r="E1293" s="3">
        <v>35247</v>
      </c>
      <c r="F1293">
        <v>180</v>
      </c>
      <c r="H1293">
        <v>0.23152859592638014</v>
      </c>
      <c r="K1293">
        <v>0</v>
      </c>
    </row>
    <row r="1294" spans="1:11" x14ac:dyDescent="0.25">
      <c r="A1294" t="s">
        <v>14</v>
      </c>
      <c r="B1294" t="s">
        <v>1347</v>
      </c>
      <c r="C1294" t="s">
        <v>1282</v>
      </c>
      <c r="D1294" t="s">
        <v>916</v>
      </c>
      <c r="E1294" s="2">
        <v>24441</v>
      </c>
      <c r="F1294">
        <v>346</v>
      </c>
      <c r="H1294">
        <v>0.23197676629671471</v>
      </c>
      <c r="K1294">
        <v>0</v>
      </c>
    </row>
    <row r="1295" spans="1:11" x14ac:dyDescent="0.25">
      <c r="A1295" t="s">
        <v>14</v>
      </c>
      <c r="B1295" t="s">
        <v>1348</v>
      </c>
      <c r="C1295" t="s">
        <v>1255</v>
      </c>
      <c r="D1295" t="s">
        <v>919</v>
      </c>
      <c r="E1295" s="3">
        <v>31141</v>
      </c>
      <c r="F1295">
        <v>7658</v>
      </c>
      <c r="H1295">
        <v>0.25171786116349948</v>
      </c>
      <c r="K1295">
        <v>0</v>
      </c>
    </row>
    <row r="1296" spans="1:11" x14ac:dyDescent="0.25">
      <c r="A1296" t="s">
        <v>14</v>
      </c>
      <c r="B1296" t="s">
        <v>1349</v>
      </c>
      <c r="C1296" t="s">
        <v>1259</v>
      </c>
      <c r="D1296" t="s">
        <v>1260</v>
      </c>
      <c r="E1296" s="3">
        <v>51237</v>
      </c>
      <c r="F1296">
        <v>85</v>
      </c>
      <c r="H1296">
        <v>0.23127211288311639</v>
      </c>
      <c r="K1296">
        <v>0</v>
      </c>
    </row>
    <row r="1297" spans="1:11" x14ac:dyDescent="0.25">
      <c r="A1297" t="s">
        <v>14</v>
      </c>
      <c r="B1297" t="s">
        <v>1350</v>
      </c>
      <c r="C1297" t="s">
        <v>1297</v>
      </c>
      <c r="D1297" t="s">
        <v>919</v>
      </c>
      <c r="E1297" s="3">
        <v>33151</v>
      </c>
      <c r="F1297">
        <v>352</v>
      </c>
      <c r="H1297">
        <v>0.23199296522576293</v>
      </c>
      <c r="K1297">
        <v>0</v>
      </c>
    </row>
    <row r="1298" spans="1:11" x14ac:dyDescent="0.25">
      <c r="A1298" t="s">
        <v>14</v>
      </c>
      <c r="B1298" t="s">
        <v>1351</v>
      </c>
      <c r="C1298" t="s">
        <v>921</v>
      </c>
      <c r="D1298" t="s">
        <v>916</v>
      </c>
      <c r="E1298" s="3">
        <v>23427</v>
      </c>
      <c r="F1298">
        <v>100</v>
      </c>
      <c r="H1298">
        <v>0.23131261020573698</v>
      </c>
      <c r="K1298">
        <v>0</v>
      </c>
    </row>
    <row r="1299" spans="1:11" x14ac:dyDescent="0.25">
      <c r="A1299" t="s">
        <v>14</v>
      </c>
      <c r="B1299" t="s">
        <v>1352</v>
      </c>
      <c r="C1299" t="s">
        <v>1275</v>
      </c>
      <c r="D1299" t="s">
        <v>916</v>
      </c>
      <c r="E1299" s="3">
        <v>21283</v>
      </c>
      <c r="F1299">
        <v>960</v>
      </c>
      <c r="H1299">
        <v>0.23363445670265096</v>
      </c>
      <c r="K1299">
        <v>0</v>
      </c>
    </row>
    <row r="1300" spans="1:11" x14ac:dyDescent="0.25">
      <c r="A1300" t="s">
        <v>14</v>
      </c>
      <c r="B1300" t="s">
        <v>1353</v>
      </c>
      <c r="C1300" t="s">
        <v>1266</v>
      </c>
      <c r="D1300" t="s">
        <v>1201</v>
      </c>
      <c r="E1300" s="2">
        <v>53227</v>
      </c>
      <c r="F1300">
        <v>72</v>
      </c>
      <c r="H1300">
        <v>0.23123701520351186</v>
      </c>
      <c r="K1300">
        <v>0</v>
      </c>
    </row>
    <row r="1301" spans="1:11" x14ac:dyDescent="0.25">
      <c r="A1301" t="s">
        <v>14</v>
      </c>
      <c r="B1301" t="s">
        <v>1354</v>
      </c>
      <c r="C1301" t="s">
        <v>1297</v>
      </c>
      <c r="D1301" t="s">
        <v>919</v>
      </c>
      <c r="E1301" s="3">
        <v>33139</v>
      </c>
      <c r="F1301">
        <v>280</v>
      </c>
      <c r="H1301">
        <v>0.2317985780771841</v>
      </c>
      <c r="K1301">
        <v>0</v>
      </c>
    </row>
    <row r="1302" spans="1:11" x14ac:dyDescent="0.25">
      <c r="A1302" t="s">
        <v>14</v>
      </c>
      <c r="B1302" t="s">
        <v>1355</v>
      </c>
      <c r="C1302" t="s">
        <v>1297</v>
      </c>
      <c r="D1302" t="s">
        <v>919</v>
      </c>
      <c r="E1302" s="3">
        <v>33155</v>
      </c>
      <c r="F1302">
        <v>1465</v>
      </c>
      <c r="H1302">
        <v>0.2349978665642109</v>
      </c>
      <c r="K1302">
        <v>0</v>
      </c>
    </row>
    <row r="1303" spans="1:11" x14ac:dyDescent="0.25">
      <c r="A1303" t="s">
        <v>14</v>
      </c>
      <c r="B1303" t="s">
        <v>1356</v>
      </c>
      <c r="C1303" t="s">
        <v>1200</v>
      </c>
      <c r="D1303" t="s">
        <v>1201</v>
      </c>
      <c r="E1303" s="2">
        <v>54151</v>
      </c>
      <c r="F1303">
        <v>245</v>
      </c>
      <c r="H1303">
        <v>0.2317040843244027</v>
      </c>
      <c r="K1303">
        <v>0</v>
      </c>
    </row>
    <row r="1304" spans="1:11" x14ac:dyDescent="0.25">
      <c r="A1304" t="s">
        <v>14</v>
      </c>
      <c r="B1304" t="s">
        <v>1357</v>
      </c>
      <c r="C1304" t="s">
        <v>931</v>
      </c>
      <c r="D1304" t="s">
        <v>919</v>
      </c>
      <c r="E1304" s="3">
        <v>34283</v>
      </c>
      <c r="F1304">
        <v>66</v>
      </c>
      <c r="H1304">
        <v>0.23122081627446364</v>
      </c>
      <c r="K1304">
        <v>0</v>
      </c>
    </row>
    <row r="1305" spans="1:11" x14ac:dyDescent="0.25">
      <c r="A1305" t="s">
        <v>14</v>
      </c>
      <c r="B1305" t="s">
        <v>1358</v>
      </c>
      <c r="C1305" t="s">
        <v>1332</v>
      </c>
      <c r="D1305" t="s">
        <v>1270</v>
      </c>
      <c r="E1305" s="3">
        <v>63144</v>
      </c>
      <c r="F1305">
        <v>744</v>
      </c>
      <c r="H1305">
        <v>0.23305129525691443</v>
      </c>
      <c r="K1305">
        <v>31</v>
      </c>
    </row>
    <row r="1306" spans="1:11" x14ac:dyDescent="0.25">
      <c r="A1306" t="s">
        <v>14</v>
      </c>
      <c r="B1306" t="s">
        <v>1359</v>
      </c>
      <c r="C1306" t="s">
        <v>915</v>
      </c>
      <c r="D1306" t="s">
        <v>916</v>
      </c>
      <c r="E1306" s="2">
        <v>22771</v>
      </c>
      <c r="F1306">
        <v>416</v>
      </c>
      <c r="H1306">
        <v>0.23216575380227747</v>
      </c>
      <c r="K1306">
        <v>0</v>
      </c>
    </row>
    <row r="1307" spans="1:11" x14ac:dyDescent="0.25">
      <c r="A1307" t="s">
        <v>14</v>
      </c>
      <c r="B1307" t="s">
        <v>1360</v>
      </c>
      <c r="C1307" t="s">
        <v>921</v>
      </c>
      <c r="D1307" t="s">
        <v>916</v>
      </c>
      <c r="E1307" s="2">
        <v>23635</v>
      </c>
      <c r="F1307">
        <v>1926</v>
      </c>
      <c r="H1307">
        <v>0.2362424842794171</v>
      </c>
      <c r="K1307">
        <v>0</v>
      </c>
    </row>
    <row r="1308" spans="1:11" x14ac:dyDescent="0.25">
      <c r="A1308" t="s">
        <v>14</v>
      </c>
      <c r="B1308" t="s">
        <v>1361</v>
      </c>
      <c r="C1308" t="s">
        <v>1200</v>
      </c>
      <c r="D1308" t="s">
        <v>1201</v>
      </c>
      <c r="E1308" s="3">
        <v>54167</v>
      </c>
      <c r="F1308">
        <v>102</v>
      </c>
      <c r="H1308">
        <v>0.23131800984875306</v>
      </c>
      <c r="K1308">
        <v>0</v>
      </c>
    </row>
    <row r="1309" spans="1:11" x14ac:dyDescent="0.25">
      <c r="A1309" t="s">
        <v>14</v>
      </c>
      <c r="B1309" t="s">
        <v>1362</v>
      </c>
      <c r="C1309" t="s">
        <v>1295</v>
      </c>
      <c r="D1309" t="s">
        <v>916</v>
      </c>
      <c r="E1309" s="3">
        <v>26224</v>
      </c>
      <c r="F1309">
        <v>364</v>
      </c>
      <c r="H1309">
        <v>0.2320253630838594</v>
      </c>
      <c r="K1309">
        <v>0</v>
      </c>
    </row>
    <row r="1310" spans="1:11" x14ac:dyDescent="0.25">
      <c r="A1310" t="s">
        <v>14</v>
      </c>
      <c r="B1310" t="s">
        <v>1363</v>
      </c>
      <c r="C1310" t="s">
        <v>1288</v>
      </c>
      <c r="D1310" t="s">
        <v>1270</v>
      </c>
      <c r="E1310" s="2">
        <v>61487</v>
      </c>
      <c r="F1310">
        <v>424</v>
      </c>
      <c r="H1310">
        <v>0.23218735237434177</v>
      </c>
      <c r="K1310">
        <v>0</v>
      </c>
    </row>
    <row r="1311" spans="1:11" x14ac:dyDescent="0.25">
      <c r="A1311" t="s">
        <v>14</v>
      </c>
      <c r="B1311" t="s">
        <v>1364</v>
      </c>
      <c r="C1311" t="s">
        <v>1323</v>
      </c>
      <c r="D1311" t="s">
        <v>1260</v>
      </c>
      <c r="E1311" s="3">
        <v>52221</v>
      </c>
      <c r="F1311">
        <v>348</v>
      </c>
      <c r="H1311">
        <v>0.23198216593973078</v>
      </c>
      <c r="K1311">
        <v>106</v>
      </c>
    </row>
    <row r="1312" spans="1:11" x14ac:dyDescent="0.25">
      <c r="A1312" t="s">
        <v>14</v>
      </c>
      <c r="B1312" t="s">
        <v>1365</v>
      </c>
      <c r="C1312" t="s">
        <v>991</v>
      </c>
      <c r="D1312" t="s">
        <v>991</v>
      </c>
      <c r="E1312" s="2">
        <v>35263</v>
      </c>
      <c r="F1312">
        <v>180</v>
      </c>
      <c r="H1312">
        <v>0.23152859592638014</v>
      </c>
      <c r="K1312">
        <v>0</v>
      </c>
    </row>
    <row r="1313" spans="1:11" x14ac:dyDescent="0.25">
      <c r="A1313" t="s">
        <v>14</v>
      </c>
      <c r="B1313" t="s">
        <v>1366</v>
      </c>
      <c r="C1313" t="s">
        <v>934</v>
      </c>
      <c r="D1313" t="s">
        <v>919</v>
      </c>
      <c r="E1313" s="3">
        <v>32165</v>
      </c>
      <c r="F1313">
        <v>550</v>
      </c>
      <c r="H1313">
        <v>0.23252752988435477</v>
      </c>
      <c r="K1313">
        <v>0</v>
      </c>
    </row>
    <row r="1314" spans="1:11" x14ac:dyDescent="0.25">
      <c r="A1314" t="s">
        <v>14</v>
      </c>
      <c r="B1314" t="s">
        <v>1367</v>
      </c>
      <c r="C1314" t="s">
        <v>1266</v>
      </c>
      <c r="D1314" t="s">
        <v>1201</v>
      </c>
      <c r="E1314" s="2">
        <v>53159</v>
      </c>
      <c r="F1314">
        <v>73</v>
      </c>
      <c r="H1314">
        <v>0.23123971502501992</v>
      </c>
      <c r="K1314">
        <v>0</v>
      </c>
    </row>
    <row r="1315" spans="1:11" x14ac:dyDescent="0.25">
      <c r="A1315" t="s">
        <v>14</v>
      </c>
      <c r="B1315" t="s">
        <v>1368</v>
      </c>
      <c r="C1315" t="s">
        <v>991</v>
      </c>
      <c r="D1315" t="s">
        <v>991</v>
      </c>
      <c r="E1315" s="2">
        <v>35421</v>
      </c>
      <c r="F1315">
        <v>265</v>
      </c>
      <c r="H1315">
        <v>0.2317580807545635</v>
      </c>
      <c r="K1315">
        <v>0</v>
      </c>
    </row>
    <row r="1316" spans="1:11" x14ac:dyDescent="0.25">
      <c r="A1316" t="s">
        <v>14</v>
      </c>
      <c r="B1316" t="s">
        <v>1369</v>
      </c>
      <c r="C1316" t="s">
        <v>1288</v>
      </c>
      <c r="D1316" t="s">
        <v>1270</v>
      </c>
      <c r="E1316" s="2">
        <v>61431</v>
      </c>
      <c r="F1316">
        <v>73</v>
      </c>
      <c r="H1316">
        <v>0.23123971502501992</v>
      </c>
      <c r="K1316">
        <v>0</v>
      </c>
    </row>
    <row r="1317" spans="1:11" x14ac:dyDescent="0.25">
      <c r="A1317" t="s">
        <v>14</v>
      </c>
      <c r="B1317" t="s">
        <v>1370</v>
      </c>
      <c r="C1317" t="s">
        <v>918</v>
      </c>
      <c r="D1317" t="s">
        <v>919</v>
      </c>
      <c r="E1317" s="3">
        <v>37359</v>
      </c>
      <c r="F1317">
        <v>51</v>
      </c>
      <c r="H1317">
        <v>0.23118031895184304</v>
      </c>
      <c r="K1317">
        <v>0</v>
      </c>
    </row>
    <row r="1318" spans="1:11" x14ac:dyDescent="0.25">
      <c r="A1318" t="s">
        <v>14</v>
      </c>
      <c r="B1318" t="s">
        <v>1371</v>
      </c>
      <c r="C1318" t="s">
        <v>1295</v>
      </c>
      <c r="D1318" t="s">
        <v>916</v>
      </c>
      <c r="E1318" s="2">
        <v>26123</v>
      </c>
      <c r="F1318">
        <v>3875</v>
      </c>
      <c r="H1318">
        <v>0.2415044363985861</v>
      </c>
      <c r="K1318">
        <v>0</v>
      </c>
    </row>
    <row r="1319" spans="1:11" x14ac:dyDescent="0.25">
      <c r="A1319" t="s">
        <v>14</v>
      </c>
      <c r="B1319" t="s">
        <v>1372</v>
      </c>
      <c r="C1319" t="s">
        <v>1332</v>
      </c>
      <c r="D1319" t="s">
        <v>1270</v>
      </c>
      <c r="E1319" s="3">
        <v>63131</v>
      </c>
      <c r="F1319">
        <v>658</v>
      </c>
      <c r="H1319">
        <v>0.23281911060722302</v>
      </c>
      <c r="K1319">
        <v>0</v>
      </c>
    </row>
    <row r="1320" spans="1:11" x14ac:dyDescent="0.25">
      <c r="A1320" t="s">
        <v>14</v>
      </c>
      <c r="B1320" t="s">
        <v>1373</v>
      </c>
      <c r="C1320" t="s">
        <v>1259</v>
      </c>
      <c r="D1320" t="s">
        <v>1260</v>
      </c>
      <c r="E1320" s="2">
        <v>51131</v>
      </c>
      <c r="F1320">
        <v>4830</v>
      </c>
      <c r="H1320">
        <v>0.2440827659387638</v>
      </c>
      <c r="K1320">
        <v>0</v>
      </c>
    </row>
    <row r="1321" spans="1:11" x14ac:dyDescent="0.25">
      <c r="A1321" t="s">
        <v>14</v>
      </c>
      <c r="B1321" t="s">
        <v>1374</v>
      </c>
      <c r="C1321" t="s">
        <v>1297</v>
      </c>
      <c r="D1321" t="s">
        <v>919</v>
      </c>
      <c r="E1321" s="3">
        <v>33149</v>
      </c>
      <c r="F1321">
        <v>459</v>
      </c>
      <c r="H1321">
        <v>0.23228184612712316</v>
      </c>
      <c r="K1321">
        <v>0</v>
      </c>
    </row>
    <row r="1322" spans="1:11" x14ac:dyDescent="0.25">
      <c r="A1322" t="s">
        <v>14</v>
      </c>
      <c r="B1322" t="s">
        <v>1375</v>
      </c>
      <c r="C1322" t="s">
        <v>1200</v>
      </c>
      <c r="D1322" t="s">
        <v>1201</v>
      </c>
      <c r="E1322" s="2">
        <v>54135</v>
      </c>
      <c r="F1322">
        <v>128</v>
      </c>
      <c r="H1322">
        <v>0.23138820520796208</v>
      </c>
      <c r="K1322">
        <v>0</v>
      </c>
    </row>
    <row r="1323" spans="1:11" x14ac:dyDescent="0.25">
      <c r="A1323" t="s">
        <v>14</v>
      </c>
      <c r="B1323" t="s">
        <v>1376</v>
      </c>
      <c r="C1323" t="s">
        <v>1288</v>
      </c>
      <c r="D1323" t="s">
        <v>1270</v>
      </c>
      <c r="E1323" s="3">
        <v>61483</v>
      </c>
      <c r="F1323">
        <v>724</v>
      </c>
      <c r="H1323">
        <v>0.23299729882675363</v>
      </c>
      <c r="K1323">
        <v>57</v>
      </c>
    </row>
    <row r="1324" spans="1:11" x14ac:dyDescent="0.25">
      <c r="A1324" t="s">
        <v>14</v>
      </c>
      <c r="B1324" t="s">
        <v>1377</v>
      </c>
      <c r="C1324" t="s">
        <v>1259</v>
      </c>
      <c r="D1324" t="s">
        <v>1260</v>
      </c>
      <c r="E1324" s="2">
        <v>51335</v>
      </c>
      <c r="F1324">
        <v>50</v>
      </c>
      <c r="H1324">
        <v>0.23117761913033499</v>
      </c>
      <c r="K1324">
        <v>0</v>
      </c>
    </row>
    <row r="1325" spans="1:11" x14ac:dyDescent="0.25">
      <c r="A1325" t="s">
        <v>14</v>
      </c>
      <c r="B1325" t="s">
        <v>1378</v>
      </c>
      <c r="C1325" t="s">
        <v>982</v>
      </c>
      <c r="D1325" t="s">
        <v>919</v>
      </c>
      <c r="E1325" s="3">
        <v>36154</v>
      </c>
      <c r="F1325">
        <v>190</v>
      </c>
      <c r="H1325">
        <v>0.23155559414146054</v>
      </c>
      <c r="K1325">
        <v>0</v>
      </c>
    </row>
    <row r="1326" spans="1:11" x14ac:dyDescent="0.25">
      <c r="A1326" t="s">
        <v>14</v>
      </c>
      <c r="B1326" t="s">
        <v>1379</v>
      </c>
      <c r="C1326" t="s">
        <v>1266</v>
      </c>
      <c r="D1326" t="s">
        <v>1201</v>
      </c>
      <c r="E1326" s="3">
        <v>53221</v>
      </c>
      <c r="F1326">
        <v>490</v>
      </c>
      <c r="H1326">
        <v>0.23236554059387238</v>
      </c>
      <c r="K1326">
        <v>0</v>
      </c>
    </row>
    <row r="1327" spans="1:11" x14ac:dyDescent="0.25">
      <c r="A1327" t="s">
        <v>14</v>
      </c>
      <c r="B1327" t="s">
        <v>1380</v>
      </c>
      <c r="C1327" t="s">
        <v>937</v>
      </c>
      <c r="D1327" t="s">
        <v>937</v>
      </c>
      <c r="E1327" s="2">
        <v>71236</v>
      </c>
      <c r="F1327">
        <v>1260</v>
      </c>
      <c r="H1327">
        <v>0.23444440315506279</v>
      </c>
      <c r="K1327">
        <v>0</v>
      </c>
    </row>
    <row r="1328" spans="1:11" x14ac:dyDescent="0.25">
      <c r="A1328" t="s">
        <v>14</v>
      </c>
      <c r="B1328" t="s">
        <v>1381</v>
      </c>
      <c r="C1328" t="s">
        <v>1266</v>
      </c>
      <c r="D1328" t="s">
        <v>1201</v>
      </c>
      <c r="E1328" s="3">
        <v>53131</v>
      </c>
      <c r="F1328">
        <v>46</v>
      </c>
      <c r="H1328">
        <v>0.23116681984430285</v>
      </c>
      <c r="K1328">
        <v>0</v>
      </c>
    </row>
    <row r="1329" spans="1:11" x14ac:dyDescent="0.25">
      <c r="A1329" t="s">
        <v>14</v>
      </c>
      <c r="B1329" t="s">
        <v>1382</v>
      </c>
      <c r="C1329" t="s">
        <v>1295</v>
      </c>
      <c r="D1329" t="s">
        <v>916</v>
      </c>
      <c r="E1329" s="2">
        <v>26253</v>
      </c>
      <c r="F1329">
        <v>607</v>
      </c>
      <c r="H1329">
        <v>0.232681419710313</v>
      </c>
      <c r="K1329">
        <v>0</v>
      </c>
    </row>
    <row r="1330" spans="1:11" x14ac:dyDescent="0.25">
      <c r="A1330" t="s">
        <v>14</v>
      </c>
      <c r="B1330" t="s">
        <v>1383</v>
      </c>
      <c r="C1330" t="s">
        <v>1278</v>
      </c>
      <c r="D1330" t="s">
        <v>937</v>
      </c>
      <c r="E1330" s="3">
        <v>73256</v>
      </c>
      <c r="F1330">
        <v>258</v>
      </c>
      <c r="H1330">
        <v>0.23173918200400723</v>
      </c>
      <c r="K1330">
        <v>0</v>
      </c>
    </row>
    <row r="1331" spans="1:11" x14ac:dyDescent="0.25">
      <c r="A1331" t="s">
        <v>14</v>
      </c>
      <c r="B1331" t="s">
        <v>1384</v>
      </c>
      <c r="C1331" t="s">
        <v>1288</v>
      </c>
      <c r="D1331" t="s">
        <v>1270</v>
      </c>
      <c r="E1331" s="2">
        <v>61443</v>
      </c>
      <c r="F1331">
        <v>276</v>
      </c>
      <c r="H1331">
        <v>0.23178777879115192</v>
      </c>
      <c r="K1331">
        <v>0</v>
      </c>
    </row>
    <row r="1332" spans="1:11" x14ac:dyDescent="0.25">
      <c r="A1332" t="s">
        <v>14</v>
      </c>
      <c r="B1332" t="s">
        <v>1385</v>
      </c>
      <c r="C1332" t="s">
        <v>931</v>
      </c>
      <c r="D1332" t="s">
        <v>919</v>
      </c>
      <c r="E1332" s="3">
        <v>34249</v>
      </c>
      <c r="F1332">
        <v>614</v>
      </c>
      <c r="H1332">
        <v>0.23270031846086928</v>
      </c>
      <c r="K1332">
        <v>0</v>
      </c>
    </row>
    <row r="1333" spans="1:11" x14ac:dyDescent="0.25">
      <c r="A1333" t="s">
        <v>14</v>
      </c>
      <c r="B1333" t="s">
        <v>1386</v>
      </c>
      <c r="C1333" t="s">
        <v>934</v>
      </c>
      <c r="D1333" t="s">
        <v>919</v>
      </c>
      <c r="E1333" s="2">
        <v>32183</v>
      </c>
      <c r="F1333">
        <v>196</v>
      </c>
      <c r="H1333">
        <v>0.23157179307050876</v>
      </c>
      <c r="K1333">
        <v>0</v>
      </c>
    </row>
    <row r="1334" spans="1:11" x14ac:dyDescent="0.25">
      <c r="A1334" t="s">
        <v>14</v>
      </c>
      <c r="B1334" t="s">
        <v>1387</v>
      </c>
      <c r="C1334" t="s">
        <v>921</v>
      </c>
      <c r="D1334" t="s">
        <v>916</v>
      </c>
      <c r="E1334" s="3">
        <v>23419</v>
      </c>
      <c r="F1334">
        <v>1004</v>
      </c>
      <c r="H1334">
        <v>0.2337532488490047</v>
      </c>
      <c r="K1334">
        <v>0</v>
      </c>
    </row>
    <row r="1335" spans="1:11" x14ac:dyDescent="0.25">
      <c r="A1335" t="s">
        <v>14</v>
      </c>
      <c r="B1335" t="s">
        <v>1388</v>
      </c>
      <c r="C1335" t="s">
        <v>991</v>
      </c>
      <c r="D1335" t="s">
        <v>991</v>
      </c>
      <c r="E1335" s="3">
        <v>35318</v>
      </c>
      <c r="F1335">
        <v>5965</v>
      </c>
      <c r="H1335">
        <v>0.24714706335038863</v>
      </c>
      <c r="K1335">
        <v>0</v>
      </c>
    </row>
    <row r="1336" spans="1:11" x14ac:dyDescent="0.25">
      <c r="A1336" t="s">
        <v>14</v>
      </c>
      <c r="B1336" t="s">
        <v>1389</v>
      </c>
      <c r="C1336" t="s">
        <v>1266</v>
      </c>
      <c r="D1336" t="s">
        <v>1201</v>
      </c>
      <c r="E1336" s="3">
        <v>53267</v>
      </c>
      <c r="F1336">
        <v>713</v>
      </c>
      <c r="H1336">
        <v>0.23296760079016518</v>
      </c>
      <c r="K1336">
        <v>101</v>
      </c>
    </row>
    <row r="1337" spans="1:11" x14ac:dyDescent="0.25">
      <c r="A1337" t="s">
        <v>14</v>
      </c>
      <c r="B1337" t="s">
        <v>1390</v>
      </c>
      <c r="C1337" t="s">
        <v>921</v>
      </c>
      <c r="D1337" t="s">
        <v>916</v>
      </c>
      <c r="E1337" s="2">
        <v>23457</v>
      </c>
      <c r="F1337">
        <v>38</v>
      </c>
      <c r="H1337">
        <v>0.23114522127223852</v>
      </c>
      <c r="K1337">
        <v>0</v>
      </c>
    </row>
    <row r="1338" spans="1:11" x14ac:dyDescent="0.25">
      <c r="A1338" t="s">
        <v>14</v>
      </c>
      <c r="B1338" t="s">
        <v>1391</v>
      </c>
      <c r="C1338" t="s">
        <v>991</v>
      </c>
      <c r="D1338" t="s">
        <v>991</v>
      </c>
      <c r="E1338" s="3">
        <v>35255</v>
      </c>
      <c r="F1338">
        <v>308</v>
      </c>
      <c r="H1338">
        <v>0.23187417307940919</v>
      </c>
      <c r="K1338">
        <v>0</v>
      </c>
    </row>
    <row r="1339" spans="1:11" x14ac:dyDescent="0.25">
      <c r="A1339" t="s">
        <v>14</v>
      </c>
      <c r="B1339" t="s">
        <v>1392</v>
      </c>
      <c r="C1339" t="s">
        <v>1323</v>
      </c>
      <c r="D1339" t="s">
        <v>1260</v>
      </c>
      <c r="E1339" s="2">
        <v>52291</v>
      </c>
      <c r="F1339">
        <v>760</v>
      </c>
      <c r="H1339">
        <v>0.23309449240104305</v>
      </c>
      <c r="K1339">
        <v>0</v>
      </c>
    </row>
    <row r="1340" spans="1:11" x14ac:dyDescent="0.25">
      <c r="A1340" t="s">
        <v>14</v>
      </c>
      <c r="B1340" t="s">
        <v>1393</v>
      </c>
      <c r="C1340" t="s">
        <v>991</v>
      </c>
      <c r="D1340" t="s">
        <v>991</v>
      </c>
      <c r="E1340" s="3">
        <v>35157</v>
      </c>
      <c r="F1340">
        <v>325</v>
      </c>
      <c r="H1340">
        <v>0.23192007004504586</v>
      </c>
      <c r="K1340">
        <v>0</v>
      </c>
    </row>
    <row r="1341" spans="1:11" x14ac:dyDescent="0.25">
      <c r="A1341" t="s">
        <v>14</v>
      </c>
      <c r="B1341" t="s">
        <v>1394</v>
      </c>
      <c r="C1341" t="s">
        <v>982</v>
      </c>
      <c r="D1341" t="s">
        <v>919</v>
      </c>
      <c r="E1341" s="2">
        <v>36127</v>
      </c>
      <c r="F1341">
        <v>730</v>
      </c>
      <c r="H1341">
        <v>0.23301349775580185</v>
      </c>
      <c r="K1341">
        <v>0</v>
      </c>
    </row>
    <row r="1342" spans="1:11" x14ac:dyDescent="0.25">
      <c r="A1342" t="s">
        <v>14</v>
      </c>
      <c r="B1342" t="s">
        <v>1395</v>
      </c>
      <c r="C1342" t="s">
        <v>1323</v>
      </c>
      <c r="D1342" t="s">
        <v>1260</v>
      </c>
      <c r="E1342" s="2">
        <v>52241</v>
      </c>
      <c r="F1342">
        <v>72</v>
      </c>
      <c r="H1342">
        <v>0.23123701520351186</v>
      </c>
      <c r="K1342">
        <v>0</v>
      </c>
    </row>
    <row r="1343" spans="1:11" x14ac:dyDescent="0.25">
      <c r="A1343" t="s">
        <v>14</v>
      </c>
      <c r="B1343" t="s">
        <v>1396</v>
      </c>
      <c r="C1343" t="s">
        <v>1266</v>
      </c>
      <c r="D1343" t="s">
        <v>1201</v>
      </c>
      <c r="E1343" s="3">
        <v>53473</v>
      </c>
      <c r="F1343">
        <v>37</v>
      </c>
      <c r="H1343">
        <v>0.2311425214507305</v>
      </c>
      <c r="K1343">
        <v>0</v>
      </c>
    </row>
    <row r="1344" spans="1:11" x14ac:dyDescent="0.25">
      <c r="A1344" t="s">
        <v>14</v>
      </c>
      <c r="B1344" t="s">
        <v>1397</v>
      </c>
      <c r="C1344" t="s">
        <v>991</v>
      </c>
      <c r="D1344" t="s">
        <v>991</v>
      </c>
      <c r="E1344" s="2">
        <v>35408</v>
      </c>
      <c r="F1344">
        <v>154</v>
      </c>
      <c r="H1344">
        <v>0.23145840056717112</v>
      </c>
      <c r="K1344">
        <v>0</v>
      </c>
    </row>
    <row r="1345" spans="1:11" x14ac:dyDescent="0.25">
      <c r="A1345" t="s">
        <v>14</v>
      </c>
      <c r="B1345" t="s">
        <v>1398</v>
      </c>
      <c r="C1345" t="s">
        <v>1295</v>
      </c>
      <c r="D1345" t="s">
        <v>916</v>
      </c>
      <c r="E1345" s="3">
        <v>26183</v>
      </c>
      <c r="F1345">
        <v>709</v>
      </c>
      <c r="H1345">
        <v>0.23295680150413303</v>
      </c>
      <c r="K1345">
        <v>0</v>
      </c>
    </row>
    <row r="1346" spans="1:11" x14ac:dyDescent="0.25">
      <c r="A1346" t="s">
        <v>14</v>
      </c>
      <c r="B1346" t="s">
        <v>1399</v>
      </c>
      <c r="C1346" t="s">
        <v>921</v>
      </c>
      <c r="D1346" t="s">
        <v>916</v>
      </c>
      <c r="E1346" s="2">
        <v>23223</v>
      </c>
      <c r="F1346">
        <v>225</v>
      </c>
      <c r="H1346">
        <v>0.23165008789424191</v>
      </c>
      <c r="K1346">
        <v>0</v>
      </c>
    </row>
    <row r="1347" spans="1:11" x14ac:dyDescent="0.25">
      <c r="A1347" t="s">
        <v>14</v>
      </c>
      <c r="B1347" t="s">
        <v>1400</v>
      </c>
      <c r="C1347" t="s">
        <v>915</v>
      </c>
      <c r="D1347" t="s">
        <v>916</v>
      </c>
      <c r="E1347" s="2">
        <v>22781</v>
      </c>
      <c r="F1347">
        <v>499</v>
      </c>
      <c r="H1347">
        <v>0.23238983898744475</v>
      </c>
      <c r="K1347">
        <v>0</v>
      </c>
    </row>
    <row r="1348" spans="1:11" x14ac:dyDescent="0.25">
      <c r="A1348" t="s">
        <v>14</v>
      </c>
      <c r="B1348" t="s">
        <v>1401</v>
      </c>
      <c r="C1348" t="s">
        <v>991</v>
      </c>
      <c r="D1348" t="s">
        <v>991</v>
      </c>
      <c r="E1348" s="3">
        <v>35430</v>
      </c>
      <c r="F1348">
        <v>152</v>
      </c>
      <c r="H1348">
        <v>0.23145300092415502</v>
      </c>
      <c r="K1348">
        <v>0</v>
      </c>
    </row>
    <row r="1349" spans="1:11" x14ac:dyDescent="0.25">
      <c r="A1349" t="s">
        <v>14</v>
      </c>
      <c r="B1349" t="s">
        <v>1402</v>
      </c>
      <c r="C1349" t="s">
        <v>1288</v>
      </c>
      <c r="D1349" t="s">
        <v>1270</v>
      </c>
      <c r="E1349" s="3">
        <v>61441</v>
      </c>
      <c r="F1349">
        <v>131</v>
      </c>
      <c r="H1349">
        <v>0.2313963046724862</v>
      </c>
      <c r="K1349">
        <v>0</v>
      </c>
    </row>
    <row r="1350" spans="1:11" x14ac:dyDescent="0.25">
      <c r="A1350" t="s">
        <v>14</v>
      </c>
      <c r="B1350" t="s">
        <v>1403</v>
      </c>
      <c r="C1350" t="s">
        <v>915</v>
      </c>
      <c r="D1350" t="s">
        <v>916</v>
      </c>
      <c r="E1350" s="2">
        <v>22751</v>
      </c>
      <c r="F1350">
        <v>1675</v>
      </c>
      <c r="H1350">
        <v>0.23556482908089918</v>
      </c>
      <c r="K1350">
        <v>0</v>
      </c>
    </row>
    <row r="1351" spans="1:11" x14ac:dyDescent="0.25">
      <c r="A1351" t="s">
        <v>14</v>
      </c>
      <c r="B1351" t="s">
        <v>1404</v>
      </c>
      <c r="C1351" t="s">
        <v>937</v>
      </c>
      <c r="D1351" t="s">
        <v>937</v>
      </c>
      <c r="E1351" s="3">
        <v>71216</v>
      </c>
      <c r="F1351">
        <v>771</v>
      </c>
      <c r="H1351">
        <v>0.2331241904376315</v>
      </c>
      <c r="K1351">
        <v>0</v>
      </c>
    </row>
    <row r="1352" spans="1:11" x14ac:dyDescent="0.25">
      <c r="A1352" t="s">
        <v>14</v>
      </c>
      <c r="B1352" t="s">
        <v>1405</v>
      </c>
      <c r="C1352" t="s">
        <v>921</v>
      </c>
      <c r="D1352" t="s">
        <v>916</v>
      </c>
      <c r="E1352" s="2">
        <v>23449</v>
      </c>
      <c r="F1352">
        <v>796</v>
      </c>
      <c r="H1352">
        <v>0.23319168597533246</v>
      </c>
      <c r="K1352">
        <v>0</v>
      </c>
    </row>
    <row r="1353" spans="1:11" x14ac:dyDescent="0.25">
      <c r="A1353" t="s">
        <v>14</v>
      </c>
      <c r="B1353" t="s">
        <v>1406</v>
      </c>
      <c r="C1353" t="s">
        <v>915</v>
      </c>
      <c r="D1353" t="s">
        <v>916</v>
      </c>
      <c r="E1353" s="2">
        <v>22724</v>
      </c>
      <c r="F1353">
        <v>182</v>
      </c>
      <c r="H1353">
        <v>0.23153399556939622</v>
      </c>
      <c r="K1353">
        <v>0</v>
      </c>
    </row>
    <row r="1354" spans="1:11" x14ac:dyDescent="0.25">
      <c r="A1354" t="s">
        <v>14</v>
      </c>
      <c r="B1354" t="s">
        <v>1407</v>
      </c>
      <c r="C1354" t="s">
        <v>931</v>
      </c>
      <c r="D1354" t="s">
        <v>919</v>
      </c>
      <c r="E1354" s="3">
        <v>34241</v>
      </c>
      <c r="F1354">
        <v>400</v>
      </c>
      <c r="H1354">
        <v>0.23212255665814882</v>
      </c>
      <c r="K1354">
        <v>0</v>
      </c>
    </row>
    <row r="1355" spans="1:11" x14ac:dyDescent="0.25">
      <c r="A1355" t="s">
        <v>14</v>
      </c>
      <c r="B1355" t="s">
        <v>1408</v>
      </c>
      <c r="C1355" t="s">
        <v>918</v>
      </c>
      <c r="D1355" t="s">
        <v>919</v>
      </c>
      <c r="E1355" s="3">
        <v>37387</v>
      </c>
      <c r="F1355">
        <v>245</v>
      </c>
      <c r="H1355">
        <v>0.2317040843244027</v>
      </c>
      <c r="K1355">
        <v>0</v>
      </c>
    </row>
    <row r="1356" spans="1:11" x14ac:dyDescent="0.25">
      <c r="A1356" t="s">
        <v>14</v>
      </c>
      <c r="B1356" t="s">
        <v>1409</v>
      </c>
      <c r="C1356" t="s">
        <v>991</v>
      </c>
      <c r="D1356" t="s">
        <v>991</v>
      </c>
      <c r="E1356" s="2">
        <v>35281</v>
      </c>
      <c r="F1356">
        <v>1134</v>
      </c>
      <c r="H1356">
        <v>0.23410422564504982</v>
      </c>
      <c r="K1356">
        <v>0</v>
      </c>
    </row>
    <row r="1357" spans="1:11" x14ac:dyDescent="0.25">
      <c r="A1357" t="s">
        <v>14</v>
      </c>
      <c r="B1357" t="s">
        <v>1410</v>
      </c>
      <c r="C1357" t="s">
        <v>1282</v>
      </c>
      <c r="D1357" t="s">
        <v>916</v>
      </c>
      <c r="E1357" s="3">
        <v>24341</v>
      </c>
      <c r="F1357">
        <v>304</v>
      </c>
      <c r="H1357">
        <v>0.23186337379337704</v>
      </c>
      <c r="K1357">
        <v>0</v>
      </c>
    </row>
    <row r="1358" spans="1:11" x14ac:dyDescent="0.25">
      <c r="A1358" t="s">
        <v>14</v>
      </c>
      <c r="B1358" t="s">
        <v>1411</v>
      </c>
      <c r="C1358" t="s">
        <v>915</v>
      </c>
      <c r="D1358" t="s">
        <v>916</v>
      </c>
      <c r="E1358" s="2">
        <v>22635</v>
      </c>
      <c r="F1358">
        <v>652</v>
      </c>
      <c r="H1358">
        <v>0.2328029116781748</v>
      </c>
      <c r="K1358">
        <v>0</v>
      </c>
    </row>
    <row r="1359" spans="1:11" x14ac:dyDescent="0.25">
      <c r="A1359" t="s">
        <v>14</v>
      </c>
      <c r="B1359" t="s">
        <v>1412</v>
      </c>
      <c r="C1359" t="s">
        <v>931</v>
      </c>
      <c r="D1359" t="s">
        <v>919</v>
      </c>
      <c r="E1359" s="2">
        <v>34376</v>
      </c>
      <c r="F1359">
        <v>225</v>
      </c>
      <c r="H1359">
        <v>0.23165008789424191</v>
      </c>
      <c r="K1359">
        <v>0</v>
      </c>
    </row>
    <row r="1360" spans="1:11" x14ac:dyDescent="0.25">
      <c r="A1360" t="s">
        <v>14</v>
      </c>
      <c r="B1360" t="s">
        <v>1413</v>
      </c>
      <c r="C1360" t="s">
        <v>1259</v>
      </c>
      <c r="D1360" t="s">
        <v>1260</v>
      </c>
      <c r="E1360" s="3">
        <v>51115</v>
      </c>
      <c r="F1360">
        <v>2553</v>
      </c>
      <c r="H1360">
        <v>0.23793527236495787</v>
      </c>
      <c r="K1360">
        <v>0</v>
      </c>
    </row>
    <row r="1361" spans="1:11" x14ac:dyDescent="0.25">
      <c r="A1361" t="s">
        <v>14</v>
      </c>
      <c r="B1361" t="s">
        <v>1414</v>
      </c>
      <c r="C1361" t="s">
        <v>1297</v>
      </c>
      <c r="D1361" t="s">
        <v>919</v>
      </c>
      <c r="E1361" s="2">
        <v>33231</v>
      </c>
      <c r="F1361">
        <v>61</v>
      </c>
      <c r="H1361">
        <v>0.23120731716692344</v>
      </c>
      <c r="K1361">
        <v>0</v>
      </c>
    </row>
    <row r="1362" spans="1:11" x14ac:dyDescent="0.25">
      <c r="A1362" t="s">
        <v>14</v>
      </c>
      <c r="B1362" t="s">
        <v>1415</v>
      </c>
      <c r="C1362" t="s">
        <v>934</v>
      </c>
      <c r="D1362" t="s">
        <v>919</v>
      </c>
      <c r="E1362" s="2">
        <v>32173</v>
      </c>
      <c r="F1362">
        <v>28</v>
      </c>
      <c r="H1362">
        <v>0.23111822305715812</v>
      </c>
      <c r="K1362">
        <v>0</v>
      </c>
    </row>
    <row r="1363" spans="1:11" x14ac:dyDescent="0.25">
      <c r="A1363" t="s">
        <v>14</v>
      </c>
      <c r="B1363" t="s">
        <v>1416</v>
      </c>
      <c r="C1363" t="s">
        <v>915</v>
      </c>
      <c r="D1363" t="s">
        <v>916</v>
      </c>
      <c r="E1363" s="3">
        <v>22515</v>
      </c>
      <c r="F1363">
        <v>1228</v>
      </c>
      <c r="H1363">
        <v>0.23435800886680552</v>
      </c>
      <c r="K1363">
        <v>0</v>
      </c>
    </row>
    <row r="1364" spans="1:11" x14ac:dyDescent="0.25">
      <c r="A1364" t="s">
        <v>14</v>
      </c>
      <c r="B1364" t="s">
        <v>1417</v>
      </c>
      <c r="C1364" t="s">
        <v>918</v>
      </c>
      <c r="D1364" t="s">
        <v>919</v>
      </c>
      <c r="E1364" s="2">
        <v>37281</v>
      </c>
      <c r="F1364">
        <v>220</v>
      </c>
      <c r="H1364">
        <v>0.23163658878670171</v>
      </c>
      <c r="K1364">
        <v>0</v>
      </c>
    </row>
    <row r="1365" spans="1:11" x14ac:dyDescent="0.25">
      <c r="A1365" t="s">
        <v>14</v>
      </c>
      <c r="B1365" t="s">
        <v>1418</v>
      </c>
      <c r="C1365" t="s">
        <v>1280</v>
      </c>
      <c r="D1365" t="s">
        <v>937</v>
      </c>
      <c r="E1365" s="3">
        <v>74131</v>
      </c>
      <c r="F1365">
        <v>554</v>
      </c>
      <c r="H1365">
        <v>0.23253832917038691</v>
      </c>
      <c r="K1365">
        <v>176</v>
      </c>
    </row>
    <row r="1366" spans="1:11" x14ac:dyDescent="0.25">
      <c r="A1366" t="s">
        <v>14</v>
      </c>
      <c r="B1366" t="s">
        <v>1419</v>
      </c>
      <c r="C1366" t="s">
        <v>1282</v>
      </c>
      <c r="D1366" t="s">
        <v>916</v>
      </c>
      <c r="E1366" s="3">
        <v>24443</v>
      </c>
      <c r="F1366">
        <v>30</v>
      </c>
      <c r="H1366">
        <v>0.23112362270017422</v>
      </c>
      <c r="K1366">
        <v>0</v>
      </c>
    </row>
    <row r="1367" spans="1:11" x14ac:dyDescent="0.25">
      <c r="A1367" t="s">
        <v>14</v>
      </c>
      <c r="B1367" t="s">
        <v>1420</v>
      </c>
      <c r="C1367" t="s">
        <v>1332</v>
      </c>
      <c r="D1367" t="s">
        <v>1270</v>
      </c>
      <c r="E1367" s="3">
        <v>63331</v>
      </c>
      <c r="F1367">
        <v>73</v>
      </c>
      <c r="H1367">
        <v>0.23123971502501992</v>
      </c>
      <c r="K1367">
        <v>0</v>
      </c>
    </row>
    <row r="1368" spans="1:11" x14ac:dyDescent="0.25">
      <c r="A1368" t="s">
        <v>14</v>
      </c>
      <c r="B1368" t="s">
        <v>1421</v>
      </c>
      <c r="C1368" t="s">
        <v>1288</v>
      </c>
      <c r="D1368" t="s">
        <v>1270</v>
      </c>
      <c r="E1368" s="2">
        <v>61418</v>
      </c>
      <c r="F1368">
        <v>796</v>
      </c>
      <c r="H1368">
        <v>0.23319168597533246</v>
      </c>
      <c r="K1368">
        <v>0</v>
      </c>
    </row>
    <row r="1369" spans="1:11" x14ac:dyDescent="0.25">
      <c r="A1369" t="s">
        <v>14</v>
      </c>
      <c r="B1369" t="s">
        <v>1422</v>
      </c>
      <c r="C1369" t="s">
        <v>915</v>
      </c>
      <c r="D1369" t="s">
        <v>916</v>
      </c>
      <c r="E1369" s="3">
        <v>22245</v>
      </c>
      <c r="F1369">
        <v>1456</v>
      </c>
      <c r="H1369">
        <v>0.23497356817063855</v>
      </c>
      <c r="K1369">
        <v>0</v>
      </c>
    </row>
    <row r="1370" spans="1:11" x14ac:dyDescent="0.25">
      <c r="A1370" t="s">
        <v>14</v>
      </c>
      <c r="B1370" t="s">
        <v>1423</v>
      </c>
      <c r="C1370" t="s">
        <v>1307</v>
      </c>
      <c r="D1370" t="s">
        <v>916</v>
      </c>
      <c r="E1370" s="2">
        <v>25482</v>
      </c>
      <c r="F1370">
        <v>19</v>
      </c>
      <c r="H1370">
        <v>0.23109392466358578</v>
      </c>
      <c r="K1370">
        <v>0</v>
      </c>
    </row>
    <row r="1371" spans="1:11" x14ac:dyDescent="0.25">
      <c r="A1371" t="s">
        <v>14</v>
      </c>
      <c r="B1371" t="s">
        <v>1424</v>
      </c>
      <c r="C1371" t="s">
        <v>918</v>
      </c>
      <c r="D1371" t="s">
        <v>919</v>
      </c>
      <c r="E1371" s="3">
        <v>37349</v>
      </c>
      <c r="F1371">
        <v>519</v>
      </c>
      <c r="H1371">
        <v>0.23244383541760552</v>
      </c>
      <c r="K1371">
        <v>0</v>
      </c>
    </row>
    <row r="1372" spans="1:11" x14ac:dyDescent="0.25">
      <c r="A1372" t="s">
        <v>14</v>
      </c>
      <c r="B1372" t="s">
        <v>1425</v>
      </c>
      <c r="C1372" t="s">
        <v>1266</v>
      </c>
      <c r="D1372" t="s">
        <v>1201</v>
      </c>
      <c r="E1372" s="2">
        <v>53244</v>
      </c>
      <c r="F1372">
        <v>83</v>
      </c>
      <c r="H1372">
        <v>0.23126671324010031</v>
      </c>
      <c r="K1372">
        <v>0</v>
      </c>
    </row>
    <row r="1373" spans="1:11" x14ac:dyDescent="0.25">
      <c r="A1373" t="s">
        <v>14</v>
      </c>
      <c r="B1373" t="s">
        <v>1426</v>
      </c>
      <c r="C1373" t="s">
        <v>921</v>
      </c>
      <c r="D1373" t="s">
        <v>916</v>
      </c>
      <c r="E1373" s="2">
        <v>23425</v>
      </c>
      <c r="F1373">
        <v>173</v>
      </c>
      <c r="H1373">
        <v>0.23150969717582387</v>
      </c>
      <c r="K1373">
        <v>0</v>
      </c>
    </row>
    <row r="1374" spans="1:11" x14ac:dyDescent="0.25">
      <c r="A1374" t="s">
        <v>14</v>
      </c>
      <c r="B1374" t="s">
        <v>1427</v>
      </c>
      <c r="C1374" t="s">
        <v>921</v>
      </c>
      <c r="D1374" t="s">
        <v>916</v>
      </c>
      <c r="E1374" s="3">
        <v>23351</v>
      </c>
      <c r="F1374">
        <v>16</v>
      </c>
      <c r="H1374">
        <v>0.23108582519906165</v>
      </c>
      <c r="K1374">
        <v>0</v>
      </c>
    </row>
    <row r="1375" spans="1:11" x14ac:dyDescent="0.25">
      <c r="A1375" t="s">
        <v>14</v>
      </c>
      <c r="B1375" t="s">
        <v>1428</v>
      </c>
      <c r="C1375" t="s">
        <v>1307</v>
      </c>
      <c r="D1375" t="s">
        <v>916</v>
      </c>
      <c r="E1375" s="2">
        <v>25361</v>
      </c>
      <c r="F1375">
        <v>690</v>
      </c>
      <c r="H1375">
        <v>0.23290550489548029</v>
      </c>
      <c r="K1375">
        <v>0</v>
      </c>
    </row>
    <row r="1376" spans="1:11" x14ac:dyDescent="0.25">
      <c r="A1376" t="s">
        <v>14</v>
      </c>
      <c r="B1376" t="s">
        <v>1429</v>
      </c>
      <c r="C1376" t="s">
        <v>991</v>
      </c>
      <c r="D1376" t="s">
        <v>991</v>
      </c>
      <c r="E1376" s="2">
        <v>35251</v>
      </c>
      <c r="F1376">
        <v>269</v>
      </c>
      <c r="H1376">
        <v>0.23176888004059565</v>
      </c>
      <c r="K1376">
        <v>0</v>
      </c>
    </row>
    <row r="1377" spans="1:11" x14ac:dyDescent="0.25">
      <c r="A1377" t="s">
        <v>14</v>
      </c>
      <c r="B1377" t="s">
        <v>1430</v>
      </c>
      <c r="C1377" t="s">
        <v>915</v>
      </c>
      <c r="D1377" t="s">
        <v>916</v>
      </c>
      <c r="E1377" s="2">
        <v>22479</v>
      </c>
      <c r="F1377">
        <v>1223</v>
      </c>
      <c r="H1377">
        <v>0.23434450975926532</v>
      </c>
      <c r="K1377">
        <v>0</v>
      </c>
    </row>
    <row r="1378" spans="1:11" x14ac:dyDescent="0.25">
      <c r="A1378" t="s">
        <v>14</v>
      </c>
      <c r="B1378" t="s">
        <v>1431</v>
      </c>
      <c r="C1378" t="s">
        <v>915</v>
      </c>
      <c r="D1378" t="s">
        <v>916</v>
      </c>
      <c r="E1378" s="3">
        <v>22383</v>
      </c>
      <c r="F1378">
        <v>3611</v>
      </c>
      <c r="H1378">
        <v>0.24079168352046365</v>
      </c>
      <c r="K1378">
        <v>0</v>
      </c>
    </row>
    <row r="1379" spans="1:11" x14ac:dyDescent="0.25">
      <c r="A1379" t="s">
        <v>14</v>
      </c>
      <c r="B1379" t="s">
        <v>1432</v>
      </c>
      <c r="C1379" t="s">
        <v>1269</v>
      </c>
      <c r="D1379" t="s">
        <v>1270</v>
      </c>
      <c r="E1379" s="2">
        <v>62249</v>
      </c>
      <c r="F1379">
        <v>134</v>
      </c>
      <c r="H1379">
        <v>0.23140440413701033</v>
      </c>
      <c r="K1379">
        <v>0</v>
      </c>
    </row>
    <row r="1380" spans="1:11" x14ac:dyDescent="0.25">
      <c r="A1380" t="s">
        <v>14</v>
      </c>
      <c r="B1380" t="s">
        <v>1433</v>
      </c>
      <c r="C1380" t="s">
        <v>1266</v>
      </c>
      <c r="D1380" t="s">
        <v>1201</v>
      </c>
      <c r="E1380" s="3">
        <v>53421</v>
      </c>
      <c r="F1380">
        <v>239</v>
      </c>
      <c r="H1380">
        <v>0.23168788539535448</v>
      </c>
      <c r="K1380">
        <v>0</v>
      </c>
    </row>
    <row r="1381" spans="1:11" x14ac:dyDescent="0.25">
      <c r="A1381" t="s">
        <v>14</v>
      </c>
      <c r="B1381" t="s">
        <v>1434</v>
      </c>
      <c r="C1381" t="s">
        <v>915</v>
      </c>
      <c r="D1381" t="s">
        <v>916</v>
      </c>
      <c r="E1381" s="2">
        <v>22367</v>
      </c>
      <c r="F1381">
        <v>2224</v>
      </c>
      <c r="H1381">
        <v>0.23704703108881287</v>
      </c>
      <c r="K1381">
        <v>0</v>
      </c>
    </row>
    <row r="1382" spans="1:11" x14ac:dyDescent="0.25">
      <c r="A1382" t="s">
        <v>14</v>
      </c>
      <c r="B1382" t="s">
        <v>1435</v>
      </c>
      <c r="C1382" t="s">
        <v>918</v>
      </c>
      <c r="D1382" t="s">
        <v>919</v>
      </c>
      <c r="E1382" s="3">
        <v>37375</v>
      </c>
      <c r="F1382">
        <v>69</v>
      </c>
      <c r="H1382">
        <v>0.23122891573898777</v>
      </c>
      <c r="K1382">
        <v>0</v>
      </c>
    </row>
    <row r="1383" spans="1:11" x14ac:dyDescent="0.25">
      <c r="A1383" t="s">
        <v>14</v>
      </c>
      <c r="B1383" t="s">
        <v>1436</v>
      </c>
      <c r="C1383" t="s">
        <v>1280</v>
      </c>
      <c r="D1383" t="s">
        <v>937</v>
      </c>
      <c r="E1383" s="2">
        <v>74181</v>
      </c>
      <c r="F1383">
        <v>15</v>
      </c>
      <c r="H1383">
        <v>0.23108312537755363</v>
      </c>
      <c r="K1383">
        <v>0</v>
      </c>
    </row>
    <row r="1384" spans="1:11" x14ac:dyDescent="0.25">
      <c r="A1384" t="s">
        <v>14</v>
      </c>
      <c r="B1384" t="s">
        <v>1437</v>
      </c>
      <c r="C1384" t="s">
        <v>1332</v>
      </c>
      <c r="D1384" t="s">
        <v>1270</v>
      </c>
      <c r="E1384" s="3">
        <v>63234</v>
      </c>
      <c r="F1384">
        <v>223</v>
      </c>
      <c r="H1384">
        <v>0.23164468825122583</v>
      </c>
      <c r="K1384">
        <v>0</v>
      </c>
    </row>
    <row r="1385" spans="1:11" x14ac:dyDescent="0.25">
      <c r="A1385" t="s">
        <v>14</v>
      </c>
      <c r="B1385" t="s">
        <v>1438</v>
      </c>
      <c r="C1385" t="s">
        <v>1269</v>
      </c>
      <c r="D1385" t="s">
        <v>1270</v>
      </c>
      <c r="E1385" s="2">
        <v>62318</v>
      </c>
      <c r="F1385">
        <v>11</v>
      </c>
      <c r="H1385">
        <v>0.23107232609152145</v>
      </c>
      <c r="K1385">
        <v>0</v>
      </c>
    </row>
    <row r="1386" spans="1:11" x14ac:dyDescent="0.25">
      <c r="A1386" t="s">
        <v>14</v>
      </c>
      <c r="B1386" t="s">
        <v>1439</v>
      </c>
      <c r="C1386" t="s">
        <v>1307</v>
      </c>
      <c r="D1386" t="s">
        <v>916</v>
      </c>
      <c r="E1386" s="2">
        <v>25176</v>
      </c>
      <c r="F1386">
        <v>3699</v>
      </c>
      <c r="H1386">
        <v>0.24102926781317113</v>
      </c>
      <c r="K1386">
        <v>0</v>
      </c>
    </row>
    <row r="1387" spans="1:11" x14ac:dyDescent="0.25">
      <c r="A1387" t="s">
        <v>14</v>
      </c>
      <c r="B1387" t="s">
        <v>1440</v>
      </c>
      <c r="C1387" t="s">
        <v>1307</v>
      </c>
      <c r="D1387" t="s">
        <v>916</v>
      </c>
      <c r="E1387" s="3">
        <v>25181</v>
      </c>
      <c r="F1387">
        <v>299</v>
      </c>
      <c r="H1387">
        <v>0.23184987468583684</v>
      </c>
      <c r="K1387">
        <v>0</v>
      </c>
    </row>
    <row r="1388" spans="1:11" x14ac:dyDescent="0.25">
      <c r="A1388" t="s">
        <v>14</v>
      </c>
      <c r="B1388" t="s">
        <v>1441</v>
      </c>
      <c r="C1388" t="s">
        <v>1291</v>
      </c>
      <c r="D1388" t="s">
        <v>1260</v>
      </c>
      <c r="E1388" s="2">
        <v>55147</v>
      </c>
      <c r="F1388">
        <v>615</v>
      </c>
      <c r="H1388">
        <v>0.23270301828237733</v>
      </c>
      <c r="K1388">
        <v>0</v>
      </c>
    </row>
    <row r="1389" spans="1:11" x14ac:dyDescent="0.25">
      <c r="A1389" t="s">
        <v>14</v>
      </c>
      <c r="B1389" t="s">
        <v>1442</v>
      </c>
      <c r="C1389" t="s">
        <v>1288</v>
      </c>
      <c r="D1389" t="s">
        <v>1270</v>
      </c>
      <c r="E1389" s="3">
        <v>61421</v>
      </c>
      <c r="F1389">
        <v>431</v>
      </c>
      <c r="H1389">
        <v>0.23220625112489807</v>
      </c>
      <c r="K1389">
        <v>0</v>
      </c>
    </row>
    <row r="1390" spans="1:11" x14ac:dyDescent="0.25">
      <c r="A1390" t="s">
        <v>14</v>
      </c>
      <c r="B1390" t="s">
        <v>1443</v>
      </c>
      <c r="C1390" t="s">
        <v>1269</v>
      </c>
      <c r="D1390" t="s">
        <v>1270</v>
      </c>
      <c r="E1390" s="2">
        <v>62299</v>
      </c>
      <c r="F1390">
        <v>21</v>
      </c>
      <c r="H1390">
        <v>0.23109932430660185</v>
      </c>
      <c r="K1390">
        <v>0</v>
      </c>
    </row>
    <row r="1391" spans="1:11" x14ac:dyDescent="0.25">
      <c r="A1391" t="s">
        <v>14</v>
      </c>
      <c r="B1391" t="s">
        <v>1444</v>
      </c>
      <c r="C1391" t="s">
        <v>1297</v>
      </c>
      <c r="D1391" t="s">
        <v>919</v>
      </c>
      <c r="E1391" s="3">
        <v>33263</v>
      </c>
      <c r="F1391">
        <v>10</v>
      </c>
      <c r="H1391">
        <v>0.23106962627001343</v>
      </c>
      <c r="K1391">
        <v>0</v>
      </c>
    </row>
    <row r="1392" spans="1:11" x14ac:dyDescent="0.25">
      <c r="A1392" t="s">
        <v>14</v>
      </c>
      <c r="B1392" t="s">
        <v>1445</v>
      </c>
      <c r="C1392" t="s">
        <v>1266</v>
      </c>
      <c r="D1392" t="s">
        <v>1201</v>
      </c>
      <c r="E1392" s="2">
        <v>53254</v>
      </c>
      <c r="F1392">
        <v>512</v>
      </c>
      <c r="H1392">
        <v>0.23242493666704925</v>
      </c>
      <c r="K1392">
        <v>0</v>
      </c>
    </row>
    <row r="1393" spans="1:11" x14ac:dyDescent="0.25">
      <c r="A1393" t="s">
        <v>14</v>
      </c>
      <c r="B1393" t="s">
        <v>1446</v>
      </c>
      <c r="C1393" t="s">
        <v>1295</v>
      </c>
      <c r="D1393" t="s">
        <v>916</v>
      </c>
      <c r="E1393" s="2">
        <v>26219</v>
      </c>
      <c r="F1393">
        <v>35</v>
      </c>
      <c r="H1393">
        <v>0.23113712180771442</v>
      </c>
      <c r="K1393">
        <v>0</v>
      </c>
    </row>
    <row r="1394" spans="1:11" x14ac:dyDescent="0.25">
      <c r="A1394" t="s">
        <v>14</v>
      </c>
      <c r="B1394" t="s">
        <v>1447</v>
      </c>
      <c r="C1394" t="s">
        <v>1307</v>
      </c>
      <c r="D1394" t="s">
        <v>916</v>
      </c>
      <c r="E1394" s="3">
        <v>25371</v>
      </c>
      <c r="F1394">
        <v>457</v>
      </c>
      <c r="H1394">
        <v>0.23227644648410709</v>
      </c>
      <c r="K1394">
        <v>0</v>
      </c>
    </row>
    <row r="1395" spans="1:11" x14ac:dyDescent="0.25">
      <c r="A1395" t="s">
        <v>14</v>
      </c>
      <c r="B1395" t="s">
        <v>1448</v>
      </c>
      <c r="C1395" t="s">
        <v>1259</v>
      </c>
      <c r="D1395" t="s">
        <v>1260</v>
      </c>
      <c r="E1395" s="3">
        <v>51341</v>
      </c>
      <c r="F1395">
        <v>35</v>
      </c>
      <c r="H1395">
        <v>0.23113712180771442</v>
      </c>
      <c r="K1395">
        <v>0</v>
      </c>
    </row>
    <row r="1396" spans="1:11" x14ac:dyDescent="0.25">
      <c r="A1396" t="s">
        <v>14</v>
      </c>
      <c r="B1396" t="s">
        <v>1449</v>
      </c>
      <c r="C1396" t="s">
        <v>991</v>
      </c>
      <c r="D1396" t="s">
        <v>991</v>
      </c>
      <c r="E1396" s="2">
        <v>35451</v>
      </c>
      <c r="F1396">
        <v>67</v>
      </c>
      <c r="H1396">
        <v>0.23122351609597167</v>
      </c>
      <c r="K1396">
        <v>0</v>
      </c>
    </row>
    <row r="1397" spans="1:11" x14ac:dyDescent="0.25">
      <c r="A1397" t="s">
        <v>14</v>
      </c>
      <c r="B1397" t="s">
        <v>1450</v>
      </c>
      <c r="C1397" t="s">
        <v>1295</v>
      </c>
      <c r="D1397" t="s">
        <v>916</v>
      </c>
      <c r="E1397" s="3">
        <v>26264</v>
      </c>
      <c r="F1397">
        <v>58</v>
      </c>
      <c r="H1397">
        <v>0.23119921770239932</v>
      </c>
      <c r="K1397">
        <v>0</v>
      </c>
    </row>
    <row r="1398" spans="1:11" x14ac:dyDescent="0.25">
      <c r="A1398" t="s">
        <v>14</v>
      </c>
      <c r="B1398" t="s">
        <v>1451</v>
      </c>
      <c r="C1398" t="s">
        <v>1332</v>
      </c>
      <c r="D1398" t="s">
        <v>1270</v>
      </c>
      <c r="E1398" s="2">
        <v>63359</v>
      </c>
      <c r="F1398">
        <v>8</v>
      </c>
      <c r="H1398">
        <v>0.23106422662699735</v>
      </c>
      <c r="K1398">
        <v>0</v>
      </c>
    </row>
    <row r="1399" spans="1:11" x14ac:dyDescent="0.25">
      <c r="A1399" t="s">
        <v>14</v>
      </c>
      <c r="B1399" t="s">
        <v>1452</v>
      </c>
      <c r="C1399" t="s">
        <v>1332</v>
      </c>
      <c r="D1399" t="s">
        <v>1270</v>
      </c>
      <c r="E1399" s="3">
        <v>63335</v>
      </c>
      <c r="F1399">
        <v>7</v>
      </c>
      <c r="H1399">
        <v>0.2310615268054893</v>
      </c>
      <c r="K1399">
        <v>0</v>
      </c>
    </row>
    <row r="1400" spans="1:11" x14ac:dyDescent="0.25">
      <c r="A1400" t="s">
        <v>14</v>
      </c>
      <c r="B1400" t="s">
        <v>1453</v>
      </c>
      <c r="C1400" t="s">
        <v>1288</v>
      </c>
      <c r="D1400" t="s">
        <v>1270</v>
      </c>
      <c r="E1400" s="2">
        <v>61411</v>
      </c>
      <c r="F1400">
        <v>81</v>
      </c>
      <c r="H1400">
        <v>0.23126131359708424</v>
      </c>
      <c r="K1400">
        <v>0</v>
      </c>
    </row>
    <row r="1401" spans="1:11" x14ac:dyDescent="0.25">
      <c r="A1401" t="s">
        <v>14</v>
      </c>
      <c r="B1401" t="s">
        <v>1454</v>
      </c>
      <c r="C1401" t="s">
        <v>1297</v>
      </c>
      <c r="D1401" t="s">
        <v>919</v>
      </c>
      <c r="E1401" s="3">
        <v>33131</v>
      </c>
      <c r="F1401">
        <v>53</v>
      </c>
      <c r="H1401">
        <v>0.23118571859485912</v>
      </c>
      <c r="K1401">
        <v>0</v>
      </c>
    </row>
    <row r="1402" spans="1:11" x14ac:dyDescent="0.25">
      <c r="A1402" t="s">
        <v>14</v>
      </c>
      <c r="B1402" t="s">
        <v>1455</v>
      </c>
      <c r="C1402" t="s">
        <v>1291</v>
      </c>
      <c r="D1402" t="s">
        <v>1260</v>
      </c>
      <c r="E1402" s="3">
        <v>55121</v>
      </c>
      <c r="F1402">
        <v>963</v>
      </c>
      <c r="H1402">
        <v>0.23364255616717505</v>
      </c>
      <c r="K1402">
        <v>0</v>
      </c>
    </row>
    <row r="1403" spans="1:11" x14ac:dyDescent="0.25">
      <c r="A1403" t="s">
        <v>14</v>
      </c>
      <c r="B1403" t="s">
        <v>1456</v>
      </c>
      <c r="C1403" t="s">
        <v>1288</v>
      </c>
      <c r="D1403" t="s">
        <v>1270</v>
      </c>
      <c r="E1403" s="2">
        <v>61456</v>
      </c>
      <c r="F1403">
        <v>6</v>
      </c>
      <c r="H1403">
        <v>0.23105882698398128</v>
      </c>
      <c r="K1403">
        <v>0</v>
      </c>
    </row>
    <row r="1404" spans="1:11" x14ac:dyDescent="0.25">
      <c r="A1404" t="s">
        <v>14</v>
      </c>
      <c r="B1404" t="s">
        <v>1457</v>
      </c>
      <c r="C1404" t="s">
        <v>1269</v>
      </c>
      <c r="D1404" t="s">
        <v>1270</v>
      </c>
      <c r="E1404" s="3">
        <v>62294</v>
      </c>
      <c r="F1404">
        <v>2264</v>
      </c>
      <c r="H1404">
        <v>0.23715502394913446</v>
      </c>
      <c r="K1404">
        <v>0</v>
      </c>
    </row>
    <row r="1405" spans="1:11" x14ac:dyDescent="0.25">
      <c r="A1405" t="s">
        <v>14</v>
      </c>
      <c r="B1405" t="s">
        <v>1458</v>
      </c>
      <c r="C1405" t="s">
        <v>1323</v>
      </c>
      <c r="D1405" t="s">
        <v>1260</v>
      </c>
      <c r="E1405" s="2">
        <v>52166</v>
      </c>
      <c r="F1405">
        <v>85</v>
      </c>
      <c r="H1405">
        <v>0.23127211288311639</v>
      </c>
      <c r="K1405">
        <v>0</v>
      </c>
    </row>
    <row r="1406" spans="1:11" x14ac:dyDescent="0.25">
      <c r="A1406" t="s">
        <v>14</v>
      </c>
      <c r="B1406" t="s">
        <v>1459</v>
      </c>
      <c r="C1406" t="s">
        <v>1323</v>
      </c>
      <c r="D1406" t="s">
        <v>1260</v>
      </c>
      <c r="E1406" s="3">
        <v>52271</v>
      </c>
      <c r="F1406">
        <v>116</v>
      </c>
      <c r="H1406">
        <v>0.23135580734986561</v>
      </c>
      <c r="K1406">
        <v>0</v>
      </c>
    </row>
    <row r="1407" spans="1:11" x14ac:dyDescent="0.25">
      <c r="A1407" t="s">
        <v>14</v>
      </c>
      <c r="B1407" t="s">
        <v>1460</v>
      </c>
      <c r="C1407" t="s">
        <v>982</v>
      </c>
      <c r="D1407" t="s">
        <v>919</v>
      </c>
      <c r="E1407" s="2">
        <v>36117</v>
      </c>
      <c r="F1407">
        <v>286</v>
      </c>
      <c r="H1407">
        <v>0.23181477700623232</v>
      </c>
      <c r="K1407">
        <v>0</v>
      </c>
    </row>
    <row r="1408" spans="1:11" x14ac:dyDescent="0.25">
      <c r="A1408" t="s">
        <v>14</v>
      </c>
      <c r="B1408" t="s">
        <v>1461</v>
      </c>
      <c r="C1408" t="s">
        <v>931</v>
      </c>
      <c r="D1408" t="s">
        <v>919</v>
      </c>
      <c r="E1408" s="2">
        <v>34346</v>
      </c>
      <c r="F1408">
        <v>18</v>
      </c>
      <c r="H1408">
        <v>0.23109122484207775</v>
      </c>
      <c r="K1408">
        <v>0</v>
      </c>
    </row>
    <row r="1409" spans="1:11" x14ac:dyDescent="0.25">
      <c r="A1409" t="s">
        <v>14</v>
      </c>
      <c r="B1409" t="s">
        <v>1462</v>
      </c>
      <c r="C1409" t="s">
        <v>915</v>
      </c>
      <c r="D1409" t="s">
        <v>916</v>
      </c>
      <c r="E1409" s="2">
        <v>22583</v>
      </c>
      <c r="F1409">
        <v>364</v>
      </c>
      <c r="H1409">
        <v>0.2320253630838594</v>
      </c>
      <c r="K1409">
        <v>0</v>
      </c>
    </row>
    <row r="1410" spans="1:11" x14ac:dyDescent="0.25">
      <c r="A1410" t="s">
        <v>14</v>
      </c>
      <c r="B1410" t="s">
        <v>1463</v>
      </c>
      <c r="C1410" t="s">
        <v>918</v>
      </c>
      <c r="D1410" t="s">
        <v>919</v>
      </c>
      <c r="E1410" s="2">
        <v>37379</v>
      </c>
      <c r="F1410">
        <v>12</v>
      </c>
      <c r="H1410">
        <v>0.2310750259130295</v>
      </c>
      <c r="K1410">
        <v>0</v>
      </c>
    </row>
    <row r="1411" spans="1:11" x14ac:dyDescent="0.25">
      <c r="A1411" t="s">
        <v>14</v>
      </c>
      <c r="B1411" t="s">
        <v>1464</v>
      </c>
      <c r="C1411" t="s">
        <v>918</v>
      </c>
      <c r="D1411" t="s">
        <v>919</v>
      </c>
      <c r="E1411" s="3">
        <v>37356</v>
      </c>
      <c r="F1411">
        <v>556</v>
      </c>
      <c r="H1411">
        <v>0.23254372881340299</v>
      </c>
      <c r="K1411">
        <v>0</v>
      </c>
    </row>
    <row r="1412" spans="1:11" x14ac:dyDescent="0.25">
      <c r="A1412" t="s">
        <v>14</v>
      </c>
      <c r="B1412" t="s">
        <v>1465</v>
      </c>
      <c r="C1412" t="s">
        <v>1280</v>
      </c>
      <c r="D1412" t="s">
        <v>937</v>
      </c>
      <c r="E1412" s="3">
        <v>74124</v>
      </c>
      <c r="F1412">
        <v>1793</v>
      </c>
      <c r="H1412">
        <v>0.23588340801884786</v>
      </c>
      <c r="K1412">
        <v>0</v>
      </c>
    </row>
    <row r="1413" spans="1:11" x14ac:dyDescent="0.25">
      <c r="A1413" t="s">
        <v>14</v>
      </c>
      <c r="B1413" t="s">
        <v>1466</v>
      </c>
      <c r="C1413" t="s">
        <v>1332</v>
      </c>
      <c r="D1413" t="s">
        <v>1270</v>
      </c>
      <c r="E1413" s="2">
        <v>63378</v>
      </c>
      <c r="F1413">
        <v>21</v>
      </c>
      <c r="H1413">
        <v>0.23109932430660185</v>
      </c>
      <c r="K1413">
        <v>0</v>
      </c>
    </row>
    <row r="1414" spans="1:11" x14ac:dyDescent="0.25">
      <c r="A1414" t="s">
        <v>14</v>
      </c>
      <c r="B1414" t="s">
        <v>1467</v>
      </c>
      <c r="C1414" t="s">
        <v>1278</v>
      </c>
      <c r="D1414" t="s">
        <v>937</v>
      </c>
      <c r="E1414" s="3">
        <v>73191</v>
      </c>
      <c r="F1414">
        <v>5</v>
      </c>
      <c r="H1414">
        <v>0.23105612716247323</v>
      </c>
      <c r="K1414">
        <v>0</v>
      </c>
    </row>
    <row r="1415" spans="1:11" x14ac:dyDescent="0.25">
      <c r="A1415" t="s">
        <v>14</v>
      </c>
      <c r="B1415" t="s">
        <v>1468</v>
      </c>
      <c r="C1415" t="s">
        <v>1259</v>
      </c>
      <c r="D1415" t="s">
        <v>1260</v>
      </c>
      <c r="E1415" s="2">
        <v>51185</v>
      </c>
      <c r="F1415">
        <v>10</v>
      </c>
      <c r="H1415">
        <v>0.23106962627001343</v>
      </c>
      <c r="K1415">
        <v>0</v>
      </c>
    </row>
    <row r="1416" spans="1:11" x14ac:dyDescent="0.25">
      <c r="A1416" t="s">
        <v>14</v>
      </c>
      <c r="B1416" t="s">
        <v>1469</v>
      </c>
      <c r="C1416" t="s">
        <v>921</v>
      </c>
      <c r="D1416" t="s">
        <v>916</v>
      </c>
      <c r="E1416" s="3">
        <v>23253</v>
      </c>
      <c r="F1416">
        <v>11</v>
      </c>
      <c r="H1416">
        <v>0.23107232609152145</v>
      </c>
      <c r="K1416">
        <v>0</v>
      </c>
    </row>
    <row r="1417" spans="1:11" x14ac:dyDescent="0.25">
      <c r="A1417" t="s">
        <v>14</v>
      </c>
      <c r="B1417" t="s">
        <v>1470</v>
      </c>
      <c r="C1417" t="s">
        <v>931</v>
      </c>
      <c r="D1417" t="s">
        <v>919</v>
      </c>
      <c r="E1417" s="3">
        <v>34223</v>
      </c>
      <c r="F1417">
        <v>16</v>
      </c>
      <c r="H1417">
        <v>0.23108582519906165</v>
      </c>
      <c r="K1417">
        <v>0</v>
      </c>
    </row>
    <row r="1418" spans="1:11" x14ac:dyDescent="0.25">
      <c r="A1418" t="s">
        <v>14</v>
      </c>
      <c r="B1418" t="s">
        <v>1471</v>
      </c>
      <c r="C1418" t="s">
        <v>1288</v>
      </c>
      <c r="D1418" t="s">
        <v>1270</v>
      </c>
      <c r="E1418" s="3">
        <v>61486</v>
      </c>
      <c r="F1418">
        <v>189</v>
      </c>
      <c r="H1418">
        <v>0.23155289431995249</v>
      </c>
      <c r="K1418">
        <v>0</v>
      </c>
    </row>
    <row r="1419" spans="1:11" x14ac:dyDescent="0.25">
      <c r="A1419" t="s">
        <v>14</v>
      </c>
      <c r="B1419" t="s">
        <v>1472</v>
      </c>
      <c r="C1419" t="s">
        <v>1323</v>
      </c>
      <c r="D1419" t="s">
        <v>1260</v>
      </c>
      <c r="E1419" s="2">
        <v>52247</v>
      </c>
      <c r="F1419">
        <v>5</v>
      </c>
      <c r="H1419">
        <v>0.23105612716247323</v>
      </c>
      <c r="K1419">
        <v>0</v>
      </c>
    </row>
    <row r="1420" spans="1:11" x14ac:dyDescent="0.25">
      <c r="A1420" t="s">
        <v>14</v>
      </c>
      <c r="B1420" t="s">
        <v>1473</v>
      </c>
      <c r="C1420" t="s">
        <v>1259</v>
      </c>
      <c r="D1420" t="s">
        <v>1260</v>
      </c>
      <c r="E1420" s="3">
        <v>51251</v>
      </c>
      <c r="F1420">
        <v>9</v>
      </c>
      <c r="H1420">
        <v>0.23106692644850538</v>
      </c>
      <c r="K1420">
        <v>0</v>
      </c>
    </row>
    <row r="1421" spans="1:11" x14ac:dyDescent="0.25">
      <c r="A1421" t="s">
        <v>14</v>
      </c>
      <c r="B1421" t="s">
        <v>1474</v>
      </c>
      <c r="C1421" t="s">
        <v>1259</v>
      </c>
      <c r="D1421" t="s">
        <v>1260</v>
      </c>
      <c r="E1421" s="2">
        <v>51264</v>
      </c>
      <c r="F1421">
        <v>13</v>
      </c>
      <c r="H1421">
        <v>0.23107772573453755</v>
      </c>
      <c r="K1421">
        <v>0</v>
      </c>
    </row>
    <row r="1422" spans="1:11" x14ac:dyDescent="0.25">
      <c r="A1422" t="s">
        <v>14</v>
      </c>
      <c r="B1422" t="s">
        <v>1475</v>
      </c>
      <c r="C1422" t="s">
        <v>1266</v>
      </c>
      <c r="D1422" t="s">
        <v>1201</v>
      </c>
      <c r="E1422" s="3">
        <v>53163</v>
      </c>
      <c r="F1422">
        <v>3</v>
      </c>
      <c r="H1422">
        <v>0.23105072751945716</v>
      </c>
      <c r="K1422">
        <v>0</v>
      </c>
    </row>
    <row r="1423" spans="1:11" x14ac:dyDescent="0.25">
      <c r="A1423" t="s">
        <v>14</v>
      </c>
      <c r="B1423" t="s">
        <v>1476</v>
      </c>
      <c r="C1423" t="s">
        <v>915</v>
      </c>
      <c r="D1423" t="s">
        <v>916</v>
      </c>
      <c r="E1423" s="3">
        <v>22487</v>
      </c>
      <c r="F1423">
        <v>3</v>
      </c>
      <c r="H1423">
        <v>0.23105072751945716</v>
      </c>
      <c r="K1423">
        <v>0</v>
      </c>
    </row>
    <row r="1424" spans="1:11" x14ac:dyDescent="0.25">
      <c r="A1424" t="s">
        <v>14</v>
      </c>
      <c r="B1424" t="s">
        <v>1477</v>
      </c>
      <c r="C1424" t="s">
        <v>937</v>
      </c>
      <c r="D1424" t="s">
        <v>937</v>
      </c>
      <c r="E1424" s="2">
        <v>71371</v>
      </c>
      <c r="F1424">
        <v>3</v>
      </c>
      <c r="H1424">
        <v>0.23105072751945716</v>
      </c>
      <c r="K1424">
        <v>0</v>
      </c>
    </row>
    <row r="1425" spans="1:11" x14ac:dyDescent="0.25">
      <c r="A1425" t="s">
        <v>14</v>
      </c>
      <c r="B1425" t="s">
        <v>1478</v>
      </c>
      <c r="C1425" t="s">
        <v>1259</v>
      </c>
      <c r="D1425" t="s">
        <v>1260</v>
      </c>
      <c r="E1425" s="3">
        <v>51271</v>
      </c>
      <c r="F1425">
        <v>346</v>
      </c>
      <c r="H1425">
        <v>0.23197676629671471</v>
      </c>
      <c r="K1425">
        <v>0</v>
      </c>
    </row>
    <row r="1426" spans="1:11" x14ac:dyDescent="0.25">
      <c r="A1426" t="s">
        <v>14</v>
      </c>
      <c r="B1426" t="s">
        <v>1479</v>
      </c>
      <c r="C1426" t="s">
        <v>1266</v>
      </c>
      <c r="D1426" t="s">
        <v>1201</v>
      </c>
      <c r="E1426" s="2">
        <v>53469</v>
      </c>
      <c r="F1426">
        <v>2</v>
      </c>
      <c r="H1426">
        <v>0.2310480276979491</v>
      </c>
      <c r="K1426">
        <v>0</v>
      </c>
    </row>
    <row r="1427" spans="1:11" x14ac:dyDescent="0.25">
      <c r="A1427" t="s">
        <v>14</v>
      </c>
      <c r="B1427" t="s">
        <v>1480</v>
      </c>
      <c r="C1427" t="s">
        <v>931</v>
      </c>
      <c r="D1427" t="s">
        <v>919</v>
      </c>
      <c r="E1427" s="3">
        <v>34253</v>
      </c>
      <c r="F1427">
        <v>33</v>
      </c>
      <c r="H1427">
        <v>0.23113172216469832</v>
      </c>
      <c r="K1427">
        <v>0</v>
      </c>
    </row>
    <row r="1428" spans="1:11" x14ac:dyDescent="0.25">
      <c r="A1428" t="s">
        <v>14</v>
      </c>
      <c r="B1428" t="s">
        <v>1481</v>
      </c>
      <c r="C1428" t="s">
        <v>1200</v>
      </c>
      <c r="D1428" t="s">
        <v>1201</v>
      </c>
      <c r="E1428" s="2">
        <v>54143</v>
      </c>
      <c r="F1428">
        <v>21</v>
      </c>
      <c r="H1428">
        <v>0.23109932430660185</v>
      </c>
      <c r="K1428">
        <v>0</v>
      </c>
    </row>
    <row r="1429" spans="1:11" x14ac:dyDescent="0.25">
      <c r="A1429" t="s">
        <v>14</v>
      </c>
      <c r="B1429" t="s">
        <v>1482</v>
      </c>
      <c r="C1429" t="s">
        <v>1307</v>
      </c>
      <c r="D1429" t="s">
        <v>916</v>
      </c>
      <c r="E1429" s="3">
        <v>25485</v>
      </c>
      <c r="F1429">
        <v>2</v>
      </c>
      <c r="H1429">
        <v>0.2310480276979491</v>
      </c>
      <c r="K1429">
        <v>0</v>
      </c>
    </row>
    <row r="1430" spans="1:11" x14ac:dyDescent="0.25">
      <c r="A1430" t="s">
        <v>14</v>
      </c>
      <c r="B1430" t="s">
        <v>1483</v>
      </c>
      <c r="C1430" t="s">
        <v>1280</v>
      </c>
      <c r="D1430" t="s">
        <v>937</v>
      </c>
      <c r="E1430" s="2">
        <v>74120</v>
      </c>
      <c r="F1430">
        <v>584</v>
      </c>
      <c r="H1430">
        <v>0.23261932381562811</v>
      </c>
      <c r="K1430">
        <v>0</v>
      </c>
    </row>
    <row r="1431" spans="1:11" x14ac:dyDescent="0.25">
      <c r="A1431" t="s">
        <v>14</v>
      </c>
      <c r="B1431" t="s">
        <v>1484</v>
      </c>
      <c r="C1431" t="s">
        <v>1307</v>
      </c>
      <c r="D1431" t="s">
        <v>916</v>
      </c>
      <c r="E1431" s="3">
        <v>25281</v>
      </c>
      <c r="F1431">
        <v>805</v>
      </c>
      <c r="H1431">
        <v>0.23321598436890484</v>
      </c>
      <c r="K1431">
        <v>0</v>
      </c>
    </row>
    <row r="1432" spans="1:11" x14ac:dyDescent="0.25">
      <c r="A1432" t="s">
        <v>14</v>
      </c>
      <c r="B1432" t="s">
        <v>1485</v>
      </c>
      <c r="C1432" t="s">
        <v>1297</v>
      </c>
      <c r="D1432" t="s">
        <v>919</v>
      </c>
      <c r="E1432" s="2">
        <v>33113</v>
      </c>
      <c r="F1432">
        <v>4042</v>
      </c>
      <c r="H1432">
        <v>0.24195530659042869</v>
      </c>
      <c r="K1432">
        <v>0</v>
      </c>
    </row>
    <row r="1433" spans="1:11" x14ac:dyDescent="0.25">
      <c r="A1433" t="s">
        <v>14</v>
      </c>
      <c r="B1433" t="s">
        <v>1486</v>
      </c>
      <c r="C1433" t="s">
        <v>1297</v>
      </c>
      <c r="D1433" t="s">
        <v>919</v>
      </c>
      <c r="E1433" s="3">
        <v>33215</v>
      </c>
      <c r="F1433">
        <v>1</v>
      </c>
      <c r="H1433">
        <v>0.23104532787644108</v>
      </c>
      <c r="K1433">
        <v>0</v>
      </c>
    </row>
    <row r="1434" spans="1:11" x14ac:dyDescent="0.25">
      <c r="A1434" t="s">
        <v>14</v>
      </c>
      <c r="B1434" t="s">
        <v>1487</v>
      </c>
      <c r="C1434" t="s">
        <v>991</v>
      </c>
      <c r="D1434" t="s">
        <v>991</v>
      </c>
      <c r="E1434" s="2">
        <v>35484</v>
      </c>
      <c r="F1434">
        <v>31</v>
      </c>
      <c r="H1434">
        <v>0.23112632252168225</v>
      </c>
      <c r="K1434">
        <v>0</v>
      </c>
    </row>
    <row r="1435" spans="1:11" x14ac:dyDescent="0.25">
      <c r="A1435" t="s">
        <v>14</v>
      </c>
      <c r="B1435" t="s">
        <v>1488</v>
      </c>
      <c r="C1435" t="s">
        <v>991</v>
      </c>
      <c r="D1435" t="s">
        <v>991</v>
      </c>
      <c r="E1435" s="3">
        <v>35241</v>
      </c>
      <c r="F1435">
        <v>242</v>
      </c>
      <c r="H1435">
        <v>0.23169598485987858</v>
      </c>
      <c r="K1435">
        <v>0</v>
      </c>
    </row>
    <row r="1436" spans="1:11" x14ac:dyDescent="0.25">
      <c r="A1436" t="s">
        <v>14</v>
      </c>
      <c r="B1436" t="s">
        <v>1489</v>
      </c>
      <c r="C1436" t="s">
        <v>991</v>
      </c>
      <c r="D1436" t="s">
        <v>991</v>
      </c>
      <c r="E1436" s="2">
        <v>35425</v>
      </c>
      <c r="F1436">
        <v>99</v>
      </c>
      <c r="H1436">
        <v>0.23130991038422893</v>
      </c>
      <c r="K1436">
        <v>0</v>
      </c>
    </row>
    <row r="1437" spans="1:11" x14ac:dyDescent="0.25">
      <c r="A1437" t="s">
        <v>14</v>
      </c>
      <c r="B1437" t="s">
        <v>1490</v>
      </c>
      <c r="C1437" t="s">
        <v>991</v>
      </c>
      <c r="D1437" t="s">
        <v>991</v>
      </c>
      <c r="E1437" s="3">
        <v>35001</v>
      </c>
      <c r="F1437">
        <v>0</v>
      </c>
      <c r="H1437">
        <v>0.23104262805493303</v>
      </c>
      <c r="K1437">
        <v>0</v>
      </c>
    </row>
    <row r="1438" spans="1:11" x14ac:dyDescent="0.25">
      <c r="A1438" t="s">
        <v>14</v>
      </c>
      <c r="B1438" t="s">
        <v>1490</v>
      </c>
      <c r="C1438" t="s">
        <v>991</v>
      </c>
      <c r="D1438" t="s">
        <v>991</v>
      </c>
      <c r="E1438" s="2">
        <v>35002</v>
      </c>
      <c r="F1438">
        <v>0</v>
      </c>
      <c r="H1438">
        <v>0.23104262805493303</v>
      </c>
      <c r="K1438">
        <v>0</v>
      </c>
    </row>
    <row r="1439" spans="1:11" x14ac:dyDescent="0.25">
      <c r="A1439" t="s">
        <v>14</v>
      </c>
      <c r="B1439" t="s">
        <v>1490</v>
      </c>
      <c r="C1439" t="s">
        <v>991</v>
      </c>
      <c r="D1439" t="s">
        <v>991</v>
      </c>
      <c r="E1439" s="3">
        <v>35003</v>
      </c>
      <c r="F1439">
        <v>0</v>
      </c>
      <c r="H1439">
        <v>0.23104262805493303</v>
      </c>
      <c r="K1439">
        <v>0</v>
      </c>
    </row>
    <row r="1440" spans="1:11" x14ac:dyDescent="0.25">
      <c r="A1440" t="s">
        <v>14</v>
      </c>
      <c r="B1440" t="s">
        <v>1491</v>
      </c>
      <c r="C1440" t="s">
        <v>991</v>
      </c>
      <c r="D1440" t="s">
        <v>991</v>
      </c>
      <c r="E1440" s="2">
        <v>35257</v>
      </c>
      <c r="F1440">
        <v>939</v>
      </c>
      <c r="H1440">
        <v>0.23357776045098211</v>
      </c>
      <c r="K1440">
        <v>0</v>
      </c>
    </row>
    <row r="1441" spans="1:11" x14ac:dyDescent="0.25">
      <c r="A1441" t="s">
        <v>14</v>
      </c>
      <c r="B1441" t="s">
        <v>1492</v>
      </c>
      <c r="C1441" t="s">
        <v>991</v>
      </c>
      <c r="D1441" t="s">
        <v>991</v>
      </c>
      <c r="E1441" s="3">
        <v>35410</v>
      </c>
      <c r="F1441">
        <v>0</v>
      </c>
      <c r="H1441">
        <v>0.23104262805493303</v>
      </c>
      <c r="K1441">
        <v>0</v>
      </c>
    </row>
    <row r="1442" spans="1:11" x14ac:dyDescent="0.25">
      <c r="A1442" t="s">
        <v>14</v>
      </c>
      <c r="B1442" t="s">
        <v>1493</v>
      </c>
      <c r="C1442" t="s">
        <v>991</v>
      </c>
      <c r="D1442" t="s">
        <v>991</v>
      </c>
      <c r="E1442" s="2">
        <v>35330</v>
      </c>
      <c r="F1442">
        <v>371</v>
      </c>
      <c r="H1442">
        <v>0.23204426183441568</v>
      </c>
      <c r="K1442">
        <v>0</v>
      </c>
    </row>
    <row r="1443" spans="1:11" x14ac:dyDescent="0.25">
      <c r="A1443" t="s">
        <v>14</v>
      </c>
      <c r="B1443" t="s">
        <v>1494</v>
      </c>
      <c r="C1443" t="s">
        <v>991</v>
      </c>
      <c r="D1443" t="s">
        <v>991</v>
      </c>
      <c r="E1443" s="3">
        <v>35461</v>
      </c>
      <c r="F1443">
        <v>8</v>
      </c>
      <c r="H1443">
        <v>0.23106422662699735</v>
      </c>
      <c r="K1443">
        <v>0</v>
      </c>
    </row>
    <row r="1444" spans="1:11" x14ac:dyDescent="0.25">
      <c r="A1444" t="s">
        <v>14</v>
      </c>
      <c r="B1444" t="s">
        <v>1495</v>
      </c>
      <c r="C1444" t="s">
        <v>991</v>
      </c>
      <c r="D1444" t="s">
        <v>991</v>
      </c>
      <c r="E1444" s="2">
        <v>35327</v>
      </c>
      <c r="F1444">
        <v>46</v>
      </c>
      <c r="H1444">
        <v>0.23116681984430285</v>
      </c>
      <c r="K1444">
        <v>0</v>
      </c>
    </row>
    <row r="1445" spans="1:11" x14ac:dyDescent="0.25">
      <c r="A1445" t="s">
        <v>14</v>
      </c>
      <c r="B1445" t="s">
        <v>1496</v>
      </c>
      <c r="C1445" t="s">
        <v>991</v>
      </c>
      <c r="D1445" t="s">
        <v>991</v>
      </c>
      <c r="E1445" s="3">
        <v>35173</v>
      </c>
      <c r="F1445">
        <v>595</v>
      </c>
      <c r="H1445">
        <v>0.23264902185221653</v>
      </c>
      <c r="K1445">
        <v>0</v>
      </c>
    </row>
    <row r="1446" spans="1:11" x14ac:dyDescent="0.25">
      <c r="A1446" t="s">
        <v>14</v>
      </c>
      <c r="B1446" t="s">
        <v>1490</v>
      </c>
      <c r="C1446" t="s">
        <v>1282</v>
      </c>
      <c r="D1446" t="s">
        <v>916</v>
      </c>
      <c r="E1446" s="2">
        <v>24001</v>
      </c>
      <c r="F1446">
        <v>0</v>
      </c>
      <c r="H1446">
        <v>0.23104262805493303</v>
      </c>
      <c r="K1446">
        <v>0</v>
      </c>
    </row>
    <row r="1447" spans="1:11" x14ac:dyDescent="0.25">
      <c r="A1447" t="s">
        <v>14</v>
      </c>
      <c r="B1447" t="s">
        <v>1490</v>
      </c>
      <c r="C1447" t="s">
        <v>1282</v>
      </c>
      <c r="D1447" t="s">
        <v>916</v>
      </c>
      <c r="E1447" s="3">
        <v>24002</v>
      </c>
      <c r="F1447">
        <v>0</v>
      </c>
      <c r="H1447">
        <v>0.23104262805493303</v>
      </c>
      <c r="K1447">
        <v>0</v>
      </c>
    </row>
    <row r="1448" spans="1:11" x14ac:dyDescent="0.25">
      <c r="A1448" t="s">
        <v>14</v>
      </c>
      <c r="B1448" t="s">
        <v>1490</v>
      </c>
      <c r="C1448" t="s">
        <v>1282</v>
      </c>
      <c r="D1448" t="s">
        <v>916</v>
      </c>
      <c r="E1448" s="2">
        <v>24003</v>
      </c>
      <c r="F1448">
        <v>0</v>
      </c>
      <c r="H1448">
        <v>0.23104262805493303</v>
      </c>
      <c r="K1448">
        <v>0</v>
      </c>
    </row>
    <row r="1449" spans="1:11" x14ac:dyDescent="0.25">
      <c r="A1449" t="s">
        <v>14</v>
      </c>
      <c r="B1449" t="s">
        <v>1490</v>
      </c>
      <c r="C1449" t="s">
        <v>1282</v>
      </c>
      <c r="D1449" t="s">
        <v>916</v>
      </c>
      <c r="E1449" s="3">
        <v>24004</v>
      </c>
      <c r="F1449">
        <v>0</v>
      </c>
      <c r="H1449">
        <v>0.23104262805493303</v>
      </c>
      <c r="K1449">
        <v>0</v>
      </c>
    </row>
    <row r="1450" spans="1:11" x14ac:dyDescent="0.25">
      <c r="A1450" t="s">
        <v>14</v>
      </c>
      <c r="B1450" t="s">
        <v>1490</v>
      </c>
      <c r="C1450" t="s">
        <v>1282</v>
      </c>
      <c r="D1450" t="s">
        <v>916</v>
      </c>
      <c r="E1450" s="2">
        <v>24005</v>
      </c>
      <c r="F1450">
        <v>0</v>
      </c>
      <c r="H1450">
        <v>0.23104262805493303</v>
      </c>
      <c r="K1450">
        <v>0</v>
      </c>
    </row>
    <row r="1451" spans="1:11" x14ac:dyDescent="0.25">
      <c r="A1451" t="s">
        <v>14</v>
      </c>
      <c r="B1451" t="s">
        <v>1490</v>
      </c>
      <c r="C1451" t="s">
        <v>1282</v>
      </c>
      <c r="D1451" t="s">
        <v>916</v>
      </c>
      <c r="E1451" s="3">
        <v>24006</v>
      </c>
      <c r="F1451">
        <v>0</v>
      </c>
      <c r="H1451">
        <v>0.23104262805493303</v>
      </c>
      <c r="K1451">
        <v>0</v>
      </c>
    </row>
    <row r="1452" spans="1:11" x14ac:dyDescent="0.25">
      <c r="A1452" t="s">
        <v>14</v>
      </c>
      <c r="B1452" t="s">
        <v>1490</v>
      </c>
      <c r="C1452" t="s">
        <v>1282</v>
      </c>
      <c r="D1452" t="s">
        <v>916</v>
      </c>
      <c r="E1452" s="2">
        <v>24007</v>
      </c>
      <c r="F1452">
        <v>0</v>
      </c>
      <c r="H1452">
        <v>0.23104262805493303</v>
      </c>
      <c r="K1452">
        <v>0</v>
      </c>
    </row>
    <row r="1453" spans="1:11" x14ac:dyDescent="0.25">
      <c r="A1453" t="s">
        <v>14</v>
      </c>
      <c r="B1453" t="s">
        <v>1490</v>
      </c>
      <c r="C1453" t="s">
        <v>1282</v>
      </c>
      <c r="D1453" t="s">
        <v>916</v>
      </c>
      <c r="E1453" s="3">
        <v>24008</v>
      </c>
      <c r="F1453">
        <v>0</v>
      </c>
      <c r="H1453">
        <v>0.23104262805493303</v>
      </c>
      <c r="K1453">
        <v>0</v>
      </c>
    </row>
    <row r="1454" spans="1:11" x14ac:dyDescent="0.25">
      <c r="A1454" t="s">
        <v>14</v>
      </c>
      <c r="B1454" t="s">
        <v>1490</v>
      </c>
      <c r="C1454" t="s">
        <v>1282</v>
      </c>
      <c r="D1454" t="s">
        <v>916</v>
      </c>
      <c r="E1454" s="2">
        <v>24009</v>
      </c>
      <c r="F1454">
        <v>0</v>
      </c>
      <c r="H1454">
        <v>0.23104262805493303</v>
      </c>
      <c r="K1454">
        <v>0</v>
      </c>
    </row>
    <row r="1455" spans="1:11" x14ac:dyDescent="0.25">
      <c r="A1455" t="s">
        <v>14</v>
      </c>
      <c r="B1455" t="s">
        <v>1497</v>
      </c>
      <c r="C1455" t="s">
        <v>1282</v>
      </c>
      <c r="D1455" t="s">
        <v>916</v>
      </c>
      <c r="E1455" s="3">
        <v>24437</v>
      </c>
      <c r="F1455">
        <v>0</v>
      </c>
      <c r="H1455">
        <v>0.23104262805493303</v>
      </c>
      <c r="K1455">
        <v>0</v>
      </c>
    </row>
    <row r="1456" spans="1:11" x14ac:dyDescent="0.25">
      <c r="A1456" t="s">
        <v>14</v>
      </c>
      <c r="B1456" t="s">
        <v>1498</v>
      </c>
      <c r="C1456" t="s">
        <v>1275</v>
      </c>
      <c r="D1456" t="s">
        <v>916</v>
      </c>
      <c r="E1456" s="2">
        <v>21347</v>
      </c>
      <c r="F1456">
        <v>1</v>
      </c>
      <c r="H1456">
        <v>0.23104532787644108</v>
      </c>
      <c r="K1456">
        <v>0</v>
      </c>
    </row>
    <row r="1457" spans="1:11" x14ac:dyDescent="0.25">
      <c r="A1457" t="s">
        <v>14</v>
      </c>
      <c r="B1457" t="s">
        <v>1499</v>
      </c>
      <c r="C1457" t="s">
        <v>1275</v>
      </c>
      <c r="D1457" t="s">
        <v>916</v>
      </c>
      <c r="E1457" s="3">
        <v>21321</v>
      </c>
      <c r="F1457">
        <v>12</v>
      </c>
      <c r="H1457">
        <v>0.2310750259130295</v>
      </c>
      <c r="K1457">
        <v>0</v>
      </c>
    </row>
    <row r="1458" spans="1:11" x14ac:dyDescent="0.25">
      <c r="A1458" t="s">
        <v>14</v>
      </c>
      <c r="B1458" t="s">
        <v>1490</v>
      </c>
      <c r="C1458" t="s">
        <v>1266</v>
      </c>
      <c r="D1458" t="s">
        <v>1201</v>
      </c>
      <c r="E1458" s="2">
        <v>53001</v>
      </c>
      <c r="F1458">
        <v>0</v>
      </c>
      <c r="H1458">
        <v>0.23104262805493303</v>
      </c>
      <c r="K1458">
        <v>0</v>
      </c>
    </row>
    <row r="1459" spans="1:11" x14ac:dyDescent="0.25">
      <c r="A1459" t="s">
        <v>14</v>
      </c>
      <c r="B1459" t="s">
        <v>1490</v>
      </c>
      <c r="C1459" t="s">
        <v>1266</v>
      </c>
      <c r="D1459" t="s">
        <v>1201</v>
      </c>
      <c r="E1459" s="3">
        <v>53002</v>
      </c>
      <c r="F1459">
        <v>0</v>
      </c>
      <c r="H1459">
        <v>0.23104262805493303</v>
      </c>
      <c r="K1459">
        <v>0</v>
      </c>
    </row>
    <row r="1460" spans="1:11" x14ac:dyDescent="0.25">
      <c r="A1460" t="s">
        <v>14</v>
      </c>
      <c r="B1460" t="s">
        <v>1490</v>
      </c>
      <c r="C1460" t="s">
        <v>1266</v>
      </c>
      <c r="D1460" t="s">
        <v>1201</v>
      </c>
      <c r="E1460" s="2">
        <v>53003</v>
      </c>
      <c r="F1460">
        <v>0</v>
      </c>
      <c r="H1460">
        <v>0.23104262805493303</v>
      </c>
      <c r="K1460">
        <v>0</v>
      </c>
    </row>
    <row r="1461" spans="1:11" x14ac:dyDescent="0.25">
      <c r="A1461" t="s">
        <v>14</v>
      </c>
      <c r="B1461" t="s">
        <v>1490</v>
      </c>
      <c r="C1461" t="s">
        <v>1266</v>
      </c>
      <c r="D1461" t="s">
        <v>1201</v>
      </c>
      <c r="E1461" s="3">
        <v>54003</v>
      </c>
      <c r="F1461">
        <v>0</v>
      </c>
      <c r="H1461">
        <v>0.23104262805493303</v>
      </c>
      <c r="K1461">
        <v>0</v>
      </c>
    </row>
    <row r="1462" spans="1:11" x14ac:dyDescent="0.25">
      <c r="A1462" t="s">
        <v>14</v>
      </c>
      <c r="B1462" t="s">
        <v>1490</v>
      </c>
      <c r="C1462" t="s">
        <v>1266</v>
      </c>
      <c r="D1462" t="s">
        <v>1201</v>
      </c>
      <c r="E1462" s="2" t="s">
        <v>1500</v>
      </c>
      <c r="F1462">
        <v>0</v>
      </c>
      <c r="H1462">
        <v>0.23104262805493303</v>
      </c>
      <c r="K1462">
        <v>0</v>
      </c>
    </row>
    <row r="1463" spans="1:11" x14ac:dyDescent="0.25">
      <c r="A1463" t="s">
        <v>14</v>
      </c>
      <c r="B1463" t="s">
        <v>1490</v>
      </c>
      <c r="C1463" t="s">
        <v>1266</v>
      </c>
      <c r="D1463" t="s">
        <v>1201</v>
      </c>
      <c r="E1463" s="3" t="s">
        <v>1501</v>
      </c>
      <c r="F1463">
        <v>0</v>
      </c>
      <c r="H1463">
        <v>0.23104262805493303</v>
      </c>
      <c r="K1463">
        <v>0</v>
      </c>
    </row>
    <row r="1464" spans="1:11" x14ac:dyDescent="0.25">
      <c r="A1464" t="s">
        <v>14</v>
      </c>
      <c r="B1464" t="s">
        <v>1490</v>
      </c>
      <c r="C1464" t="s">
        <v>1266</v>
      </c>
      <c r="D1464" t="s">
        <v>1201</v>
      </c>
      <c r="E1464" s="2" t="s">
        <v>1502</v>
      </c>
      <c r="F1464">
        <v>0</v>
      </c>
      <c r="H1464">
        <v>0.23104262805493303</v>
      </c>
      <c r="K1464">
        <v>0</v>
      </c>
    </row>
    <row r="1465" spans="1:11" x14ac:dyDescent="0.25">
      <c r="A1465" t="s">
        <v>14</v>
      </c>
      <c r="B1465" t="s">
        <v>1490</v>
      </c>
      <c r="C1465" t="s">
        <v>1266</v>
      </c>
      <c r="D1465" t="s">
        <v>1201</v>
      </c>
      <c r="E1465" s="3" t="s">
        <v>1503</v>
      </c>
      <c r="F1465">
        <v>0</v>
      </c>
      <c r="H1465">
        <v>0.23104262805493303</v>
      </c>
      <c r="K1465">
        <v>0</v>
      </c>
    </row>
    <row r="1466" spans="1:11" x14ac:dyDescent="0.25">
      <c r="A1466" t="s">
        <v>14</v>
      </c>
      <c r="B1466" t="s">
        <v>1490</v>
      </c>
      <c r="C1466" t="s">
        <v>1266</v>
      </c>
      <c r="D1466" t="s">
        <v>1201</v>
      </c>
      <c r="E1466" s="2" t="s">
        <v>1504</v>
      </c>
      <c r="F1466">
        <v>0</v>
      </c>
      <c r="H1466">
        <v>0.23104262805493303</v>
      </c>
      <c r="K1466">
        <v>0</v>
      </c>
    </row>
    <row r="1467" spans="1:11" x14ac:dyDescent="0.25">
      <c r="A1467" t="s">
        <v>14</v>
      </c>
      <c r="B1467" t="s">
        <v>1490</v>
      </c>
      <c r="C1467" t="s">
        <v>1266</v>
      </c>
      <c r="D1467" t="s">
        <v>1201</v>
      </c>
      <c r="E1467" s="3" t="s">
        <v>1505</v>
      </c>
      <c r="F1467">
        <v>0</v>
      </c>
      <c r="H1467">
        <v>0.23104262805493303</v>
      </c>
      <c r="K1467">
        <v>0</v>
      </c>
    </row>
    <row r="1468" spans="1:11" x14ac:dyDescent="0.25">
      <c r="A1468" t="s">
        <v>14</v>
      </c>
      <c r="B1468" t="s">
        <v>1490</v>
      </c>
      <c r="C1468" t="s">
        <v>1266</v>
      </c>
      <c r="D1468" t="s">
        <v>1201</v>
      </c>
      <c r="E1468" s="2" t="s">
        <v>1506</v>
      </c>
      <c r="F1468">
        <v>0</v>
      </c>
      <c r="H1468">
        <v>0.23104262805493303</v>
      </c>
      <c r="K1468">
        <v>0</v>
      </c>
    </row>
    <row r="1469" spans="1:11" x14ac:dyDescent="0.25">
      <c r="A1469" t="s">
        <v>14</v>
      </c>
      <c r="B1469" t="s">
        <v>1490</v>
      </c>
      <c r="C1469" t="s">
        <v>1266</v>
      </c>
      <c r="D1469" t="s">
        <v>1201</v>
      </c>
      <c r="E1469" s="3" t="s">
        <v>1507</v>
      </c>
      <c r="F1469">
        <v>0</v>
      </c>
      <c r="H1469">
        <v>0.23104262805493303</v>
      </c>
      <c r="K1469">
        <v>0</v>
      </c>
    </row>
    <row r="1470" spans="1:11" x14ac:dyDescent="0.25">
      <c r="A1470" t="s">
        <v>14</v>
      </c>
      <c r="B1470" t="s">
        <v>1490</v>
      </c>
      <c r="C1470" t="s">
        <v>1266</v>
      </c>
      <c r="D1470" t="s">
        <v>1201</v>
      </c>
      <c r="E1470" s="2" t="s">
        <v>1508</v>
      </c>
      <c r="F1470">
        <v>0</v>
      </c>
      <c r="H1470">
        <v>0.23104262805493303</v>
      </c>
      <c r="K1470">
        <v>0</v>
      </c>
    </row>
    <row r="1471" spans="1:11" x14ac:dyDescent="0.25">
      <c r="A1471" t="s">
        <v>14</v>
      </c>
      <c r="B1471" t="s">
        <v>1490</v>
      </c>
      <c r="C1471" t="s">
        <v>1266</v>
      </c>
      <c r="D1471" t="s">
        <v>1201</v>
      </c>
      <c r="E1471" s="3" t="s">
        <v>1509</v>
      </c>
      <c r="F1471">
        <v>0</v>
      </c>
      <c r="H1471">
        <v>0.23104262805493303</v>
      </c>
      <c r="K1471">
        <v>0</v>
      </c>
    </row>
    <row r="1472" spans="1:11" x14ac:dyDescent="0.25">
      <c r="A1472" t="s">
        <v>14</v>
      </c>
      <c r="B1472" t="s">
        <v>1510</v>
      </c>
      <c r="C1472" t="s">
        <v>1266</v>
      </c>
      <c r="D1472" t="s">
        <v>1201</v>
      </c>
      <c r="E1472" s="2">
        <v>54183</v>
      </c>
      <c r="F1472">
        <v>0</v>
      </c>
      <c r="H1472">
        <v>0.23104262805493303</v>
      </c>
      <c r="K1472">
        <v>0</v>
      </c>
    </row>
    <row r="1473" spans="1:11" x14ac:dyDescent="0.25">
      <c r="A1473" t="s">
        <v>14</v>
      </c>
      <c r="B1473" t="s">
        <v>1511</v>
      </c>
      <c r="C1473" t="s">
        <v>1266</v>
      </c>
      <c r="D1473" t="s">
        <v>1201</v>
      </c>
      <c r="E1473" s="3">
        <v>53423</v>
      </c>
      <c r="F1473">
        <v>17</v>
      </c>
      <c r="H1473">
        <v>0.2310885250205697</v>
      </c>
      <c r="K1473">
        <v>0</v>
      </c>
    </row>
    <row r="1474" spans="1:11" x14ac:dyDescent="0.25">
      <c r="A1474" t="s">
        <v>14</v>
      </c>
      <c r="B1474" t="s">
        <v>1512</v>
      </c>
      <c r="C1474" t="s">
        <v>982</v>
      </c>
      <c r="D1474" t="s">
        <v>919</v>
      </c>
      <c r="E1474" s="3">
        <v>36110</v>
      </c>
      <c r="F1474">
        <v>0</v>
      </c>
      <c r="H1474">
        <v>0.23104262805493303</v>
      </c>
      <c r="K1474">
        <v>0</v>
      </c>
    </row>
    <row r="1475" spans="1:11" x14ac:dyDescent="0.25">
      <c r="A1475" t="s">
        <v>14</v>
      </c>
      <c r="B1475" t="s">
        <v>1513</v>
      </c>
      <c r="C1475" t="s">
        <v>1514</v>
      </c>
      <c r="D1475" t="s">
        <v>937</v>
      </c>
      <c r="E1475" s="2">
        <v>72175</v>
      </c>
      <c r="F1475">
        <v>0</v>
      </c>
      <c r="H1475">
        <v>0.23104262805493303</v>
      </c>
      <c r="K1475">
        <v>0</v>
      </c>
    </row>
    <row r="1476" spans="1:11" x14ac:dyDescent="0.25">
      <c r="A1476" t="s">
        <v>14</v>
      </c>
      <c r="B1476" t="s">
        <v>1515</v>
      </c>
      <c r="C1476" t="s">
        <v>1514</v>
      </c>
      <c r="D1476" t="s">
        <v>937</v>
      </c>
      <c r="E1476" s="3">
        <v>72135</v>
      </c>
      <c r="F1476">
        <v>0</v>
      </c>
      <c r="H1476">
        <v>0.23104262805493303</v>
      </c>
      <c r="K1476">
        <v>0</v>
      </c>
    </row>
    <row r="1477" spans="1:11" x14ac:dyDescent="0.25">
      <c r="A1477" t="s">
        <v>14</v>
      </c>
      <c r="B1477" t="s">
        <v>1516</v>
      </c>
      <c r="C1477" t="s">
        <v>921</v>
      </c>
      <c r="D1477" t="s">
        <v>916</v>
      </c>
      <c r="E1477" s="2">
        <v>23275</v>
      </c>
      <c r="F1477">
        <v>0</v>
      </c>
      <c r="H1477">
        <v>0.23104262805493303</v>
      </c>
      <c r="K1477">
        <v>0</v>
      </c>
    </row>
    <row r="1478" spans="1:11" x14ac:dyDescent="0.25">
      <c r="A1478" t="s">
        <v>14</v>
      </c>
      <c r="B1478" t="s">
        <v>1490</v>
      </c>
      <c r="C1478" t="s">
        <v>921</v>
      </c>
      <c r="D1478" t="s">
        <v>916</v>
      </c>
      <c r="E1478" s="3">
        <v>23001</v>
      </c>
      <c r="F1478">
        <v>0</v>
      </c>
      <c r="H1478">
        <v>0.23104262805493303</v>
      </c>
      <c r="K1478">
        <v>0</v>
      </c>
    </row>
    <row r="1479" spans="1:11" x14ac:dyDescent="0.25">
      <c r="A1479" t="s">
        <v>14</v>
      </c>
      <c r="B1479" t="s">
        <v>1490</v>
      </c>
      <c r="C1479" t="s">
        <v>921</v>
      </c>
      <c r="D1479" t="s">
        <v>916</v>
      </c>
      <c r="E1479" s="2">
        <v>23002</v>
      </c>
      <c r="F1479">
        <v>0</v>
      </c>
      <c r="H1479">
        <v>0.23104262805493303</v>
      </c>
      <c r="K1479">
        <v>0</v>
      </c>
    </row>
    <row r="1480" spans="1:11" x14ac:dyDescent="0.25">
      <c r="A1480" t="s">
        <v>14</v>
      </c>
      <c r="B1480" t="s">
        <v>1490</v>
      </c>
      <c r="C1480" t="s">
        <v>921</v>
      </c>
      <c r="D1480" t="s">
        <v>916</v>
      </c>
      <c r="E1480" s="3">
        <v>23003</v>
      </c>
      <c r="F1480">
        <v>0</v>
      </c>
      <c r="H1480">
        <v>0.23104262805493303</v>
      </c>
      <c r="K1480">
        <v>0</v>
      </c>
    </row>
    <row r="1481" spans="1:11" x14ac:dyDescent="0.25">
      <c r="A1481" t="s">
        <v>14</v>
      </c>
      <c r="B1481" t="s">
        <v>1490</v>
      </c>
      <c r="C1481" t="s">
        <v>921</v>
      </c>
      <c r="D1481" t="s">
        <v>916</v>
      </c>
      <c r="E1481" s="2">
        <v>23004</v>
      </c>
      <c r="F1481">
        <v>0</v>
      </c>
      <c r="H1481">
        <v>0.23104262805493303</v>
      </c>
      <c r="K1481">
        <v>0</v>
      </c>
    </row>
    <row r="1482" spans="1:11" x14ac:dyDescent="0.25">
      <c r="A1482" t="s">
        <v>14</v>
      </c>
      <c r="B1482" t="s">
        <v>1490</v>
      </c>
      <c r="C1482" t="s">
        <v>921</v>
      </c>
      <c r="D1482" t="s">
        <v>916</v>
      </c>
      <c r="E1482" s="3">
        <v>23005</v>
      </c>
      <c r="F1482">
        <v>0</v>
      </c>
      <c r="H1482">
        <v>0.23104262805493303</v>
      </c>
      <c r="K1482">
        <v>0</v>
      </c>
    </row>
    <row r="1483" spans="1:11" x14ac:dyDescent="0.25">
      <c r="A1483" t="s">
        <v>14</v>
      </c>
      <c r="B1483" t="s">
        <v>1490</v>
      </c>
      <c r="C1483" t="s">
        <v>921</v>
      </c>
      <c r="D1483" t="s">
        <v>916</v>
      </c>
      <c r="E1483" s="2">
        <v>23006</v>
      </c>
      <c r="F1483">
        <v>0</v>
      </c>
      <c r="H1483">
        <v>0.23104262805493303</v>
      </c>
      <c r="K1483">
        <v>0</v>
      </c>
    </row>
    <row r="1484" spans="1:11" x14ac:dyDescent="0.25">
      <c r="A1484" t="s">
        <v>14</v>
      </c>
      <c r="B1484" t="s">
        <v>1490</v>
      </c>
      <c r="C1484" t="s">
        <v>921</v>
      </c>
      <c r="D1484" t="s">
        <v>916</v>
      </c>
      <c r="E1484" s="3">
        <v>23007</v>
      </c>
      <c r="F1484">
        <v>0</v>
      </c>
      <c r="H1484">
        <v>0.23104262805493303</v>
      </c>
      <c r="K1484">
        <v>0</v>
      </c>
    </row>
    <row r="1485" spans="1:11" x14ac:dyDescent="0.25">
      <c r="A1485" t="s">
        <v>14</v>
      </c>
      <c r="B1485" t="s">
        <v>1517</v>
      </c>
      <c r="C1485" t="s">
        <v>921</v>
      </c>
      <c r="D1485" t="s">
        <v>916</v>
      </c>
      <c r="E1485" s="2">
        <v>23438</v>
      </c>
      <c r="F1485">
        <v>79</v>
      </c>
      <c r="H1485">
        <v>0.23125591395406814</v>
      </c>
      <c r="K1485">
        <v>0</v>
      </c>
    </row>
    <row r="1486" spans="1:11" x14ac:dyDescent="0.25">
      <c r="A1486" t="s">
        <v>14</v>
      </c>
      <c r="B1486" t="s">
        <v>1518</v>
      </c>
      <c r="C1486" t="s">
        <v>921</v>
      </c>
      <c r="D1486" t="s">
        <v>916</v>
      </c>
      <c r="E1486" s="3">
        <v>23415</v>
      </c>
      <c r="F1486">
        <v>0</v>
      </c>
      <c r="H1486">
        <v>0.23104262805493303</v>
      </c>
      <c r="K1486">
        <v>0</v>
      </c>
    </row>
    <row r="1487" spans="1:11" x14ac:dyDescent="0.25">
      <c r="A1487" t="s">
        <v>14</v>
      </c>
      <c r="B1487" t="s">
        <v>1519</v>
      </c>
      <c r="C1487" t="s">
        <v>921</v>
      </c>
      <c r="D1487" t="s">
        <v>916</v>
      </c>
      <c r="E1487" s="2">
        <v>23454</v>
      </c>
      <c r="F1487">
        <v>217</v>
      </c>
      <c r="H1487">
        <v>0.23162848932217761</v>
      </c>
      <c r="K1487">
        <v>0</v>
      </c>
    </row>
    <row r="1488" spans="1:11" x14ac:dyDescent="0.25">
      <c r="A1488" t="s">
        <v>14</v>
      </c>
      <c r="B1488" t="s">
        <v>1520</v>
      </c>
      <c r="C1488" t="s">
        <v>921</v>
      </c>
      <c r="D1488" t="s">
        <v>916</v>
      </c>
      <c r="E1488" s="3">
        <v>23431</v>
      </c>
      <c r="F1488">
        <v>0</v>
      </c>
      <c r="H1488">
        <v>0.23104262805493303</v>
      </c>
      <c r="K1488">
        <v>0</v>
      </c>
    </row>
    <row r="1489" spans="1:11" x14ac:dyDescent="0.25">
      <c r="A1489" t="s">
        <v>14</v>
      </c>
      <c r="B1489" t="s">
        <v>1521</v>
      </c>
      <c r="C1489" t="s">
        <v>921</v>
      </c>
      <c r="D1489" t="s">
        <v>916</v>
      </c>
      <c r="E1489" s="2">
        <v>23237</v>
      </c>
      <c r="F1489">
        <v>1</v>
      </c>
      <c r="H1489">
        <v>0.23104532787644108</v>
      </c>
      <c r="K1489">
        <v>0</v>
      </c>
    </row>
    <row r="1490" spans="1:11" x14ac:dyDescent="0.25">
      <c r="A1490" t="s">
        <v>14</v>
      </c>
      <c r="B1490" t="s">
        <v>1522</v>
      </c>
      <c r="C1490" t="s">
        <v>931</v>
      </c>
      <c r="D1490" t="s">
        <v>919</v>
      </c>
      <c r="E1490" s="2">
        <v>34371</v>
      </c>
      <c r="F1490">
        <v>52</v>
      </c>
      <c r="H1490">
        <v>0.2311830187733511</v>
      </c>
      <c r="K1490">
        <v>0</v>
      </c>
    </row>
    <row r="1491" spans="1:11" x14ac:dyDescent="0.25">
      <c r="A1491" t="s">
        <v>14</v>
      </c>
      <c r="B1491" t="s">
        <v>1490</v>
      </c>
      <c r="C1491" t="s">
        <v>931</v>
      </c>
      <c r="D1491" t="s">
        <v>919</v>
      </c>
      <c r="E1491" s="3">
        <v>34001</v>
      </c>
      <c r="F1491">
        <v>0</v>
      </c>
      <c r="H1491">
        <v>0.23104262805493303</v>
      </c>
      <c r="K1491">
        <v>0</v>
      </c>
    </row>
    <row r="1492" spans="1:11" x14ac:dyDescent="0.25">
      <c r="A1492" t="s">
        <v>14</v>
      </c>
      <c r="B1492" t="s">
        <v>1490</v>
      </c>
      <c r="C1492" t="s">
        <v>931</v>
      </c>
      <c r="D1492" t="s">
        <v>919</v>
      </c>
      <c r="E1492" s="2">
        <v>34002</v>
      </c>
      <c r="F1492">
        <v>0</v>
      </c>
      <c r="H1492">
        <v>0.23104262805493303</v>
      </c>
      <c r="K1492">
        <v>0</v>
      </c>
    </row>
    <row r="1493" spans="1:11" x14ac:dyDescent="0.25">
      <c r="A1493" t="s">
        <v>14</v>
      </c>
      <c r="B1493" t="s">
        <v>1523</v>
      </c>
      <c r="C1493" t="s">
        <v>931</v>
      </c>
      <c r="D1493" t="s">
        <v>919</v>
      </c>
      <c r="E1493" s="3">
        <v>34326</v>
      </c>
      <c r="F1493">
        <v>0</v>
      </c>
      <c r="H1493">
        <v>0.23104262805493303</v>
      </c>
      <c r="K1493">
        <v>0</v>
      </c>
    </row>
    <row r="1494" spans="1:11" x14ac:dyDescent="0.25">
      <c r="A1494" t="s">
        <v>14</v>
      </c>
      <c r="B1494" t="s">
        <v>1524</v>
      </c>
      <c r="C1494" t="s">
        <v>931</v>
      </c>
      <c r="D1494" t="s">
        <v>919</v>
      </c>
      <c r="E1494" s="2">
        <v>34227</v>
      </c>
      <c r="F1494">
        <v>0</v>
      </c>
      <c r="H1494">
        <v>0.23104262805493303</v>
      </c>
      <c r="K1494">
        <v>0</v>
      </c>
    </row>
    <row r="1495" spans="1:11" x14ac:dyDescent="0.25">
      <c r="A1495" t="s">
        <v>14</v>
      </c>
      <c r="B1495" t="s">
        <v>1525</v>
      </c>
      <c r="C1495" t="s">
        <v>931</v>
      </c>
      <c r="D1495" t="s">
        <v>919</v>
      </c>
      <c r="E1495" s="2">
        <v>34281</v>
      </c>
      <c r="F1495">
        <v>67</v>
      </c>
      <c r="H1495">
        <v>0.23122351609597167</v>
      </c>
      <c r="K1495">
        <v>0</v>
      </c>
    </row>
    <row r="1496" spans="1:11" x14ac:dyDescent="0.25">
      <c r="A1496" t="s">
        <v>14</v>
      </c>
      <c r="B1496" t="s">
        <v>1490</v>
      </c>
      <c r="C1496" t="s">
        <v>1200</v>
      </c>
      <c r="D1496" t="s">
        <v>1201</v>
      </c>
      <c r="E1496" s="2">
        <v>54001</v>
      </c>
      <c r="F1496">
        <v>0</v>
      </c>
      <c r="H1496">
        <v>0.23104262805493303</v>
      </c>
      <c r="K1496">
        <v>0</v>
      </c>
    </row>
    <row r="1497" spans="1:11" x14ac:dyDescent="0.25">
      <c r="A1497" t="s">
        <v>14</v>
      </c>
      <c r="B1497" t="s">
        <v>1490</v>
      </c>
      <c r="C1497" t="s">
        <v>1200</v>
      </c>
      <c r="D1497" t="s">
        <v>1201</v>
      </c>
      <c r="E1497" s="3">
        <v>54002</v>
      </c>
      <c r="F1497">
        <v>0</v>
      </c>
      <c r="H1497">
        <v>0.23104262805493303</v>
      </c>
      <c r="K1497">
        <v>0</v>
      </c>
    </row>
    <row r="1498" spans="1:11" x14ac:dyDescent="0.25">
      <c r="A1498" t="s">
        <v>14</v>
      </c>
      <c r="B1498" t="s">
        <v>1490</v>
      </c>
      <c r="C1498" t="s">
        <v>1200</v>
      </c>
      <c r="D1498" t="s">
        <v>1201</v>
      </c>
      <c r="E1498" s="2" t="s">
        <v>1526</v>
      </c>
      <c r="F1498">
        <v>0</v>
      </c>
      <c r="H1498">
        <v>0.23104262805493303</v>
      </c>
      <c r="K1498">
        <v>0</v>
      </c>
    </row>
    <row r="1499" spans="1:11" x14ac:dyDescent="0.25">
      <c r="A1499" t="s">
        <v>14</v>
      </c>
      <c r="B1499" t="s">
        <v>1527</v>
      </c>
      <c r="C1499" t="s">
        <v>915</v>
      </c>
      <c r="D1499" t="s">
        <v>916</v>
      </c>
      <c r="E1499" s="2">
        <v>22523</v>
      </c>
      <c r="F1499">
        <v>109</v>
      </c>
      <c r="H1499">
        <v>0.23133690859930933</v>
      </c>
      <c r="K1499">
        <v>0</v>
      </c>
    </row>
    <row r="1500" spans="1:11" x14ac:dyDescent="0.25">
      <c r="A1500" t="s">
        <v>14</v>
      </c>
      <c r="B1500" t="s">
        <v>1528</v>
      </c>
      <c r="C1500" t="s">
        <v>915</v>
      </c>
      <c r="D1500" t="s">
        <v>916</v>
      </c>
      <c r="E1500" s="2">
        <v>22691</v>
      </c>
      <c r="F1500">
        <v>177</v>
      </c>
      <c r="H1500">
        <v>0.23152049646185602</v>
      </c>
      <c r="K1500">
        <v>0</v>
      </c>
    </row>
    <row r="1501" spans="1:11" x14ac:dyDescent="0.25">
      <c r="A1501" t="s">
        <v>14</v>
      </c>
      <c r="B1501" t="s">
        <v>1490</v>
      </c>
      <c r="C1501" t="s">
        <v>915</v>
      </c>
      <c r="D1501" t="s">
        <v>916</v>
      </c>
      <c r="E1501" s="3">
        <v>22001</v>
      </c>
      <c r="F1501">
        <v>0</v>
      </c>
      <c r="H1501">
        <v>0.23104262805493303</v>
      </c>
      <c r="K1501">
        <v>0</v>
      </c>
    </row>
    <row r="1502" spans="1:11" x14ac:dyDescent="0.25">
      <c r="A1502" t="s">
        <v>14</v>
      </c>
      <c r="B1502" t="s">
        <v>1490</v>
      </c>
      <c r="C1502" t="s">
        <v>915</v>
      </c>
      <c r="D1502" t="s">
        <v>916</v>
      </c>
      <c r="E1502" s="2">
        <v>22002</v>
      </c>
      <c r="F1502">
        <v>0</v>
      </c>
      <c r="H1502">
        <v>0.23104262805493303</v>
      </c>
      <c r="K1502">
        <v>0</v>
      </c>
    </row>
    <row r="1503" spans="1:11" x14ac:dyDescent="0.25">
      <c r="A1503" t="s">
        <v>14</v>
      </c>
      <c r="B1503" t="s">
        <v>1529</v>
      </c>
      <c r="C1503" t="s">
        <v>915</v>
      </c>
      <c r="D1503" t="s">
        <v>916</v>
      </c>
      <c r="E1503" s="2">
        <v>22435</v>
      </c>
      <c r="F1503">
        <v>1439</v>
      </c>
      <c r="H1503">
        <v>0.23492767120500188</v>
      </c>
      <c r="K1503">
        <v>0</v>
      </c>
    </row>
    <row r="1504" spans="1:11" x14ac:dyDescent="0.25">
      <c r="A1504" t="s">
        <v>14</v>
      </c>
      <c r="B1504" t="s">
        <v>1530</v>
      </c>
      <c r="C1504" t="s">
        <v>915</v>
      </c>
      <c r="D1504" t="s">
        <v>916</v>
      </c>
      <c r="E1504" s="3">
        <v>22651</v>
      </c>
      <c r="F1504">
        <v>1568</v>
      </c>
      <c r="H1504">
        <v>0.23527594817953895</v>
      </c>
      <c r="K1504">
        <v>0</v>
      </c>
    </row>
    <row r="1505" spans="1:11" x14ac:dyDescent="0.25">
      <c r="A1505" t="s">
        <v>14</v>
      </c>
      <c r="B1505" t="s">
        <v>1531</v>
      </c>
      <c r="C1505" t="s">
        <v>918</v>
      </c>
      <c r="D1505" t="s">
        <v>919</v>
      </c>
      <c r="E1505" s="2">
        <v>37362</v>
      </c>
      <c r="F1505">
        <v>32</v>
      </c>
      <c r="H1505">
        <v>0.2311290223431903</v>
      </c>
      <c r="K1505">
        <v>0</v>
      </c>
    </row>
    <row r="1506" spans="1:11" x14ac:dyDescent="0.25">
      <c r="A1506" t="s">
        <v>14</v>
      </c>
      <c r="B1506" t="s">
        <v>1490</v>
      </c>
      <c r="C1506" t="s">
        <v>918</v>
      </c>
      <c r="D1506" t="s">
        <v>919</v>
      </c>
      <c r="E1506" s="2">
        <v>37001</v>
      </c>
      <c r="F1506">
        <v>0</v>
      </c>
      <c r="H1506">
        <v>0.23104262805493303</v>
      </c>
      <c r="K1506">
        <v>0</v>
      </c>
    </row>
    <row r="1507" spans="1:11" x14ac:dyDescent="0.25">
      <c r="A1507" t="s">
        <v>14</v>
      </c>
      <c r="B1507" t="s">
        <v>1490</v>
      </c>
      <c r="C1507" t="s">
        <v>918</v>
      </c>
      <c r="D1507" t="s">
        <v>919</v>
      </c>
      <c r="E1507" s="3">
        <v>37002</v>
      </c>
      <c r="F1507">
        <v>0</v>
      </c>
      <c r="H1507">
        <v>0.23104262805493303</v>
      </c>
      <c r="K1507">
        <v>0</v>
      </c>
    </row>
    <row r="1508" spans="1:11" x14ac:dyDescent="0.25">
      <c r="A1508" t="s">
        <v>14</v>
      </c>
      <c r="B1508" t="s">
        <v>1490</v>
      </c>
      <c r="C1508" t="s">
        <v>918</v>
      </c>
      <c r="D1508" t="s">
        <v>919</v>
      </c>
      <c r="E1508" s="2">
        <v>37003</v>
      </c>
      <c r="F1508">
        <v>0</v>
      </c>
      <c r="H1508">
        <v>0.23104262805493303</v>
      </c>
      <c r="K1508">
        <v>0</v>
      </c>
    </row>
    <row r="1509" spans="1:11" x14ac:dyDescent="0.25">
      <c r="A1509" t="s">
        <v>14</v>
      </c>
      <c r="B1509" t="s">
        <v>1490</v>
      </c>
      <c r="C1509" t="s">
        <v>918</v>
      </c>
      <c r="D1509" t="s">
        <v>919</v>
      </c>
      <c r="E1509" s="3">
        <v>37004</v>
      </c>
      <c r="F1509">
        <v>0</v>
      </c>
      <c r="H1509">
        <v>0.23104262805493303</v>
      </c>
      <c r="K1509">
        <v>0</v>
      </c>
    </row>
    <row r="1510" spans="1:11" x14ac:dyDescent="0.25">
      <c r="A1510" t="s">
        <v>14</v>
      </c>
      <c r="B1510" t="s">
        <v>1490</v>
      </c>
      <c r="C1510" t="s">
        <v>918</v>
      </c>
      <c r="D1510" t="s">
        <v>919</v>
      </c>
      <c r="E1510" s="2">
        <v>37005</v>
      </c>
      <c r="F1510">
        <v>0</v>
      </c>
      <c r="H1510">
        <v>0.23104262805493303</v>
      </c>
      <c r="K1510">
        <v>0</v>
      </c>
    </row>
    <row r="1511" spans="1:11" x14ac:dyDescent="0.25">
      <c r="A1511" t="s">
        <v>14</v>
      </c>
      <c r="B1511" t="s">
        <v>1490</v>
      </c>
      <c r="C1511" t="s">
        <v>918</v>
      </c>
      <c r="D1511" t="s">
        <v>919</v>
      </c>
      <c r="E1511" s="3">
        <v>37006</v>
      </c>
      <c r="F1511">
        <v>0</v>
      </c>
      <c r="H1511">
        <v>0.23104262805493303</v>
      </c>
      <c r="K1511">
        <v>0</v>
      </c>
    </row>
    <row r="1512" spans="1:11" x14ac:dyDescent="0.25">
      <c r="A1512" t="s">
        <v>14</v>
      </c>
      <c r="B1512" t="s">
        <v>1532</v>
      </c>
      <c r="C1512" t="s">
        <v>918</v>
      </c>
      <c r="D1512" t="s">
        <v>919</v>
      </c>
      <c r="E1512" s="3">
        <v>37389</v>
      </c>
      <c r="F1512">
        <v>0</v>
      </c>
      <c r="H1512">
        <v>0.23104262805493303</v>
      </c>
      <c r="K1512">
        <v>0</v>
      </c>
    </row>
    <row r="1513" spans="1:11" x14ac:dyDescent="0.25">
      <c r="A1513" t="s">
        <v>14</v>
      </c>
      <c r="B1513" t="s">
        <v>1533</v>
      </c>
      <c r="C1513" t="s">
        <v>918</v>
      </c>
      <c r="D1513" t="s">
        <v>919</v>
      </c>
      <c r="E1513" s="2">
        <v>37314</v>
      </c>
      <c r="F1513">
        <v>127</v>
      </c>
      <c r="H1513">
        <v>0.23138550538645405</v>
      </c>
      <c r="K1513">
        <v>0</v>
      </c>
    </row>
    <row r="1514" spans="1:11" x14ac:dyDescent="0.25">
      <c r="A1514" t="s">
        <v>14</v>
      </c>
      <c r="B1514" t="s">
        <v>1534</v>
      </c>
      <c r="C1514" t="s">
        <v>918</v>
      </c>
      <c r="D1514" t="s">
        <v>919</v>
      </c>
      <c r="E1514" s="3">
        <v>37385</v>
      </c>
      <c r="F1514">
        <v>0</v>
      </c>
      <c r="H1514">
        <v>0.23104262805493303</v>
      </c>
      <c r="K1514">
        <v>0</v>
      </c>
    </row>
    <row r="1515" spans="1:11" x14ac:dyDescent="0.25">
      <c r="A1515" t="s">
        <v>14</v>
      </c>
      <c r="B1515" t="s">
        <v>1535</v>
      </c>
      <c r="C1515" t="s">
        <v>918</v>
      </c>
      <c r="D1515" t="s">
        <v>919</v>
      </c>
      <c r="E1515" s="2">
        <v>37360</v>
      </c>
      <c r="F1515">
        <v>495</v>
      </c>
      <c r="H1515">
        <v>0.23237903970141258</v>
      </c>
      <c r="K1515">
        <v>0</v>
      </c>
    </row>
    <row r="1516" spans="1:11" x14ac:dyDescent="0.25">
      <c r="A1516" t="s">
        <v>14</v>
      </c>
      <c r="B1516" t="s">
        <v>1536</v>
      </c>
      <c r="C1516" t="s">
        <v>918</v>
      </c>
      <c r="D1516" t="s">
        <v>919</v>
      </c>
      <c r="E1516" s="3">
        <v>37383</v>
      </c>
      <c r="F1516">
        <v>127</v>
      </c>
      <c r="H1516">
        <v>0.23138550538645405</v>
      </c>
      <c r="K1516">
        <v>0</v>
      </c>
    </row>
    <row r="1517" spans="1:11" x14ac:dyDescent="0.25">
      <c r="A1517" t="s">
        <v>14</v>
      </c>
      <c r="B1517" t="s">
        <v>1537</v>
      </c>
      <c r="C1517" t="s">
        <v>918</v>
      </c>
      <c r="D1517" t="s">
        <v>919</v>
      </c>
      <c r="E1517" s="2">
        <v>37353</v>
      </c>
      <c r="F1517">
        <v>95</v>
      </c>
      <c r="H1517">
        <v>0.23129911109819679</v>
      </c>
      <c r="K1517">
        <v>0</v>
      </c>
    </row>
    <row r="1518" spans="1:11" x14ac:dyDescent="0.25">
      <c r="A1518" t="s">
        <v>14</v>
      </c>
      <c r="B1518" t="s">
        <v>1538</v>
      </c>
      <c r="C1518" t="s">
        <v>937</v>
      </c>
      <c r="D1518" t="s">
        <v>937</v>
      </c>
      <c r="E1518" s="3">
        <v>71115</v>
      </c>
      <c r="F1518">
        <v>0</v>
      </c>
      <c r="H1518">
        <v>0.23104262805493303</v>
      </c>
      <c r="K1518">
        <v>0</v>
      </c>
    </row>
    <row r="1519" spans="1:11" x14ac:dyDescent="0.25">
      <c r="A1519" t="s">
        <v>14</v>
      </c>
      <c r="B1519" t="s">
        <v>1539</v>
      </c>
      <c r="C1519" t="s">
        <v>937</v>
      </c>
      <c r="D1519" t="s">
        <v>937</v>
      </c>
      <c r="E1519" s="2">
        <v>71251</v>
      </c>
      <c r="F1519">
        <v>18</v>
      </c>
      <c r="H1519">
        <v>0.23109122484207775</v>
      </c>
      <c r="K1519">
        <v>0</v>
      </c>
    </row>
    <row r="1520" spans="1:11" x14ac:dyDescent="0.25">
      <c r="A1520" t="s">
        <v>14</v>
      </c>
      <c r="B1520" t="s">
        <v>1540</v>
      </c>
      <c r="C1520" t="s">
        <v>937</v>
      </c>
      <c r="D1520" t="s">
        <v>937</v>
      </c>
      <c r="E1520" s="3">
        <v>71354</v>
      </c>
      <c r="F1520">
        <v>48</v>
      </c>
      <c r="H1520">
        <v>0.23117221948731892</v>
      </c>
      <c r="K1520">
        <v>0</v>
      </c>
    </row>
    <row r="1521" spans="1:11" x14ac:dyDescent="0.25">
      <c r="A1521" t="s">
        <v>14</v>
      </c>
      <c r="B1521" t="s">
        <v>1541</v>
      </c>
      <c r="C1521" t="s">
        <v>937</v>
      </c>
      <c r="D1521" t="s">
        <v>937</v>
      </c>
      <c r="E1521" s="2">
        <v>71386</v>
      </c>
      <c r="F1521">
        <v>27</v>
      </c>
      <c r="H1521">
        <v>0.2311155232356501</v>
      </c>
      <c r="K1521">
        <v>0</v>
      </c>
    </row>
    <row r="1522" spans="1:11" x14ac:dyDescent="0.25">
      <c r="A1522" t="s">
        <v>14</v>
      </c>
      <c r="B1522" t="s">
        <v>1542</v>
      </c>
      <c r="C1522" t="s">
        <v>937</v>
      </c>
      <c r="D1522" t="s">
        <v>937</v>
      </c>
      <c r="E1522" s="3">
        <v>71341</v>
      </c>
      <c r="F1522">
        <v>35</v>
      </c>
      <c r="H1522">
        <v>0.23113712180771442</v>
      </c>
      <c r="K1522">
        <v>0</v>
      </c>
    </row>
    <row r="1523" spans="1:11" x14ac:dyDescent="0.25">
      <c r="A1523" t="s">
        <v>14</v>
      </c>
      <c r="B1523" t="s">
        <v>1543</v>
      </c>
      <c r="C1523" t="s">
        <v>937</v>
      </c>
      <c r="D1523" t="s">
        <v>937</v>
      </c>
      <c r="E1523" s="2">
        <v>71357</v>
      </c>
      <c r="F1523">
        <v>46</v>
      </c>
      <c r="H1523">
        <v>0.23116681984430285</v>
      </c>
      <c r="K1523">
        <v>0</v>
      </c>
    </row>
    <row r="1524" spans="1:11" x14ac:dyDescent="0.25">
      <c r="A1524" t="s">
        <v>14</v>
      </c>
      <c r="B1524" t="s">
        <v>1544</v>
      </c>
      <c r="C1524" t="s">
        <v>937</v>
      </c>
      <c r="D1524" t="s">
        <v>937</v>
      </c>
      <c r="E1524" s="3">
        <v>71314</v>
      </c>
      <c r="F1524">
        <v>160</v>
      </c>
      <c r="H1524">
        <v>0.23147459949621935</v>
      </c>
      <c r="K1524">
        <v>0</v>
      </c>
    </row>
    <row r="1525" spans="1:11" x14ac:dyDescent="0.25">
      <c r="A1525" t="s">
        <v>14</v>
      </c>
      <c r="B1525" t="s">
        <v>1545</v>
      </c>
      <c r="C1525" t="s">
        <v>937</v>
      </c>
      <c r="D1525" t="s">
        <v>937</v>
      </c>
      <c r="E1525" s="2">
        <v>71384</v>
      </c>
      <c r="F1525">
        <v>0</v>
      </c>
      <c r="H1525">
        <v>0.23104262805493303</v>
      </c>
      <c r="K1525">
        <v>0</v>
      </c>
    </row>
    <row r="1526" spans="1:11" x14ac:dyDescent="0.25">
      <c r="A1526" t="s">
        <v>14</v>
      </c>
      <c r="B1526" t="s">
        <v>1546</v>
      </c>
      <c r="C1526" t="s">
        <v>937</v>
      </c>
      <c r="D1526" t="s">
        <v>937</v>
      </c>
      <c r="E1526" s="3">
        <v>71241</v>
      </c>
      <c r="F1526">
        <v>26</v>
      </c>
      <c r="H1526">
        <v>0.23111282341414205</v>
      </c>
      <c r="K1526">
        <v>0</v>
      </c>
    </row>
    <row r="1527" spans="1:11" x14ac:dyDescent="0.25">
      <c r="A1527" t="s">
        <v>14</v>
      </c>
      <c r="B1527" t="s">
        <v>1547</v>
      </c>
      <c r="C1527" t="s">
        <v>1280</v>
      </c>
      <c r="D1527" t="s">
        <v>937</v>
      </c>
      <c r="E1527" s="2" t="s">
        <v>1548</v>
      </c>
      <c r="F1527">
        <v>0</v>
      </c>
      <c r="H1527">
        <v>0.23104262805493303</v>
      </c>
      <c r="K1527">
        <v>0</v>
      </c>
    </row>
    <row r="1528" spans="1:11" x14ac:dyDescent="0.25">
      <c r="A1528" t="s">
        <v>14</v>
      </c>
      <c r="B1528" t="s">
        <v>1549</v>
      </c>
      <c r="C1528" t="s">
        <v>1295</v>
      </c>
      <c r="D1528" t="s">
        <v>916</v>
      </c>
      <c r="E1528" s="3">
        <v>26214</v>
      </c>
      <c r="F1528">
        <v>79</v>
      </c>
      <c r="H1528">
        <v>0.23125591395406814</v>
      </c>
      <c r="K1528">
        <v>0</v>
      </c>
    </row>
    <row r="1529" spans="1:11" x14ac:dyDescent="0.25">
      <c r="A1529" t="s">
        <v>14</v>
      </c>
      <c r="B1529" t="s">
        <v>1550</v>
      </c>
      <c r="C1529" t="s">
        <v>1295</v>
      </c>
      <c r="D1529" t="s">
        <v>916</v>
      </c>
      <c r="E1529" s="2">
        <v>26374</v>
      </c>
      <c r="F1529">
        <v>60</v>
      </c>
      <c r="H1529">
        <v>0.23120461734541539</v>
      </c>
      <c r="K1529">
        <v>0</v>
      </c>
    </row>
    <row r="1530" spans="1:11" x14ac:dyDescent="0.25">
      <c r="A1530" t="s">
        <v>14</v>
      </c>
      <c r="B1530" t="s">
        <v>1551</v>
      </c>
      <c r="C1530" t="s">
        <v>1295</v>
      </c>
      <c r="D1530" t="s">
        <v>916</v>
      </c>
      <c r="E1530" s="3">
        <v>26392</v>
      </c>
      <c r="F1530">
        <v>84</v>
      </c>
      <c r="H1530">
        <v>0.23126941306160834</v>
      </c>
      <c r="K1530">
        <v>0</v>
      </c>
    </row>
    <row r="1531" spans="1:11" x14ac:dyDescent="0.25">
      <c r="A1531" t="s">
        <v>14</v>
      </c>
      <c r="B1531" t="s">
        <v>1552</v>
      </c>
      <c r="C1531" t="s">
        <v>1295</v>
      </c>
      <c r="D1531" t="s">
        <v>916</v>
      </c>
      <c r="E1531" s="2">
        <v>26237</v>
      </c>
      <c r="F1531">
        <v>117</v>
      </c>
      <c r="H1531">
        <v>0.23135850717137366</v>
      </c>
      <c r="K1531">
        <v>0</v>
      </c>
    </row>
    <row r="1532" spans="1:11" x14ac:dyDescent="0.25">
      <c r="A1532" t="s">
        <v>14</v>
      </c>
      <c r="B1532" t="s">
        <v>1553</v>
      </c>
      <c r="C1532" t="s">
        <v>1295</v>
      </c>
      <c r="D1532" t="s">
        <v>916</v>
      </c>
      <c r="E1532" s="3">
        <v>26283</v>
      </c>
      <c r="F1532">
        <v>54</v>
      </c>
      <c r="H1532">
        <v>0.23118841841636717</v>
      </c>
      <c r="K1532">
        <v>0</v>
      </c>
    </row>
    <row r="1533" spans="1:11" x14ac:dyDescent="0.25">
      <c r="A1533" t="s">
        <v>14</v>
      </c>
      <c r="B1533" t="s">
        <v>1554</v>
      </c>
      <c r="C1533" t="s">
        <v>1295</v>
      </c>
      <c r="D1533" t="s">
        <v>916</v>
      </c>
      <c r="E1533" s="2">
        <v>26354</v>
      </c>
      <c r="F1533">
        <v>2</v>
      </c>
      <c r="H1533">
        <v>0.2310480276979491</v>
      </c>
      <c r="K1533">
        <v>0</v>
      </c>
    </row>
    <row r="1534" spans="1:11" x14ac:dyDescent="0.25">
      <c r="A1534" t="s">
        <v>14</v>
      </c>
      <c r="B1534" t="s">
        <v>1490</v>
      </c>
      <c r="C1534" t="s">
        <v>1295</v>
      </c>
      <c r="D1534" t="s">
        <v>916</v>
      </c>
      <c r="E1534" s="3">
        <v>26001</v>
      </c>
      <c r="F1534">
        <v>0</v>
      </c>
      <c r="H1534">
        <v>0.23104262805493303</v>
      </c>
      <c r="K1534">
        <v>0</v>
      </c>
    </row>
    <row r="1535" spans="1:11" x14ac:dyDescent="0.25">
      <c r="A1535" t="s">
        <v>14</v>
      </c>
      <c r="B1535" t="s">
        <v>1490</v>
      </c>
      <c r="C1535" t="s">
        <v>1295</v>
      </c>
      <c r="D1535" t="s">
        <v>916</v>
      </c>
      <c r="E1535" s="2">
        <v>26002</v>
      </c>
      <c r="F1535">
        <v>0</v>
      </c>
      <c r="H1535">
        <v>0.23104262805493303</v>
      </c>
      <c r="K1535">
        <v>0</v>
      </c>
    </row>
    <row r="1536" spans="1:11" x14ac:dyDescent="0.25">
      <c r="A1536" t="s">
        <v>14</v>
      </c>
      <c r="B1536" t="s">
        <v>1490</v>
      </c>
      <c r="C1536" t="s">
        <v>1295</v>
      </c>
      <c r="D1536" t="s">
        <v>916</v>
      </c>
      <c r="E1536" s="3">
        <v>26003</v>
      </c>
      <c r="F1536">
        <v>0</v>
      </c>
      <c r="H1536">
        <v>0.23104262805493303</v>
      </c>
      <c r="K1536">
        <v>0</v>
      </c>
    </row>
    <row r="1537" spans="1:11" x14ac:dyDescent="0.25">
      <c r="A1537" t="s">
        <v>14</v>
      </c>
      <c r="B1537" t="s">
        <v>1490</v>
      </c>
      <c r="C1537" t="s">
        <v>1295</v>
      </c>
      <c r="D1537" t="s">
        <v>916</v>
      </c>
      <c r="E1537" s="2">
        <v>26004</v>
      </c>
      <c r="F1537">
        <v>0</v>
      </c>
      <c r="H1537">
        <v>0.23104262805493303</v>
      </c>
      <c r="K1537">
        <v>0</v>
      </c>
    </row>
    <row r="1538" spans="1:11" x14ac:dyDescent="0.25">
      <c r="A1538" t="s">
        <v>14</v>
      </c>
      <c r="B1538" t="s">
        <v>1490</v>
      </c>
      <c r="C1538" t="s">
        <v>1295</v>
      </c>
      <c r="D1538" t="s">
        <v>916</v>
      </c>
      <c r="E1538" s="3">
        <v>26005</v>
      </c>
      <c r="F1538">
        <v>0</v>
      </c>
      <c r="H1538">
        <v>0.23104262805493303</v>
      </c>
      <c r="K1538">
        <v>0</v>
      </c>
    </row>
    <row r="1539" spans="1:11" x14ac:dyDescent="0.25">
      <c r="A1539" t="s">
        <v>14</v>
      </c>
      <c r="B1539" t="s">
        <v>1490</v>
      </c>
      <c r="C1539" t="s">
        <v>1295</v>
      </c>
      <c r="D1539" t="s">
        <v>916</v>
      </c>
      <c r="E1539" s="2">
        <v>26006</v>
      </c>
      <c r="F1539">
        <v>0</v>
      </c>
      <c r="H1539">
        <v>0.23104262805493303</v>
      </c>
      <c r="K1539">
        <v>0</v>
      </c>
    </row>
    <row r="1540" spans="1:11" x14ac:dyDescent="0.25">
      <c r="A1540" t="s">
        <v>14</v>
      </c>
      <c r="B1540" t="s">
        <v>1490</v>
      </c>
      <c r="C1540" t="s">
        <v>1295</v>
      </c>
      <c r="D1540" t="s">
        <v>916</v>
      </c>
      <c r="E1540" s="3">
        <v>26007</v>
      </c>
      <c r="F1540">
        <v>0</v>
      </c>
      <c r="H1540">
        <v>0.23104262805493303</v>
      </c>
      <c r="K1540">
        <v>0</v>
      </c>
    </row>
    <row r="1541" spans="1:11" x14ac:dyDescent="0.25">
      <c r="A1541" t="s">
        <v>14</v>
      </c>
      <c r="B1541" t="s">
        <v>1490</v>
      </c>
      <c r="C1541" t="s">
        <v>1295</v>
      </c>
      <c r="D1541" t="s">
        <v>916</v>
      </c>
      <c r="E1541" s="2">
        <v>26009</v>
      </c>
      <c r="F1541">
        <v>0</v>
      </c>
      <c r="H1541">
        <v>0.23104262805493303</v>
      </c>
      <c r="K1541">
        <v>0</v>
      </c>
    </row>
    <row r="1542" spans="1:11" x14ac:dyDescent="0.25">
      <c r="A1542" t="s">
        <v>14</v>
      </c>
      <c r="B1542" t="s">
        <v>1555</v>
      </c>
      <c r="C1542" t="s">
        <v>1295</v>
      </c>
      <c r="D1542" t="s">
        <v>916</v>
      </c>
      <c r="E1542" s="3">
        <v>26324</v>
      </c>
      <c r="F1542">
        <v>125</v>
      </c>
      <c r="H1542">
        <v>0.23138010574343798</v>
      </c>
      <c r="K1542">
        <v>0</v>
      </c>
    </row>
    <row r="1543" spans="1:11" x14ac:dyDescent="0.25">
      <c r="A1543" t="s">
        <v>14</v>
      </c>
      <c r="B1543" t="s">
        <v>1556</v>
      </c>
      <c r="C1543" t="s">
        <v>1295</v>
      </c>
      <c r="D1543" t="s">
        <v>916</v>
      </c>
      <c r="E1543" s="2">
        <v>26390</v>
      </c>
      <c r="F1543">
        <v>0</v>
      </c>
      <c r="H1543">
        <v>0.23104262805493303</v>
      </c>
      <c r="K1543">
        <v>0</v>
      </c>
    </row>
    <row r="1544" spans="1:11" x14ac:dyDescent="0.25">
      <c r="A1544" t="s">
        <v>14</v>
      </c>
      <c r="B1544" t="s">
        <v>1557</v>
      </c>
      <c r="C1544" t="s">
        <v>1295</v>
      </c>
      <c r="D1544" t="s">
        <v>916</v>
      </c>
      <c r="E1544" s="3">
        <v>26236</v>
      </c>
      <c r="F1544">
        <v>99</v>
      </c>
      <c r="H1544">
        <v>0.23130991038422893</v>
      </c>
      <c r="K1544">
        <v>0</v>
      </c>
    </row>
    <row r="1545" spans="1:11" x14ac:dyDescent="0.25">
      <c r="A1545" t="s">
        <v>14</v>
      </c>
      <c r="B1545" t="s">
        <v>1558</v>
      </c>
      <c r="C1545" t="s">
        <v>1295</v>
      </c>
      <c r="D1545" t="s">
        <v>916</v>
      </c>
      <c r="E1545" s="2">
        <v>26314</v>
      </c>
      <c r="F1545">
        <v>111</v>
      </c>
      <c r="H1545">
        <v>0.23134230824232541</v>
      </c>
      <c r="K1545">
        <v>0</v>
      </c>
    </row>
    <row r="1546" spans="1:11" x14ac:dyDescent="0.25">
      <c r="A1546" t="s">
        <v>14</v>
      </c>
      <c r="B1546" t="s">
        <v>1559</v>
      </c>
      <c r="C1546" t="s">
        <v>1295</v>
      </c>
      <c r="D1546" t="s">
        <v>916</v>
      </c>
      <c r="E1546" s="3">
        <v>26213</v>
      </c>
      <c r="F1546">
        <v>70</v>
      </c>
      <c r="H1546">
        <v>0.23123161556049579</v>
      </c>
      <c r="K1546">
        <v>0</v>
      </c>
    </row>
    <row r="1547" spans="1:11" x14ac:dyDescent="0.25">
      <c r="A1547" t="s">
        <v>14</v>
      </c>
      <c r="B1547" t="s">
        <v>1560</v>
      </c>
      <c r="C1547" t="s">
        <v>1295</v>
      </c>
      <c r="D1547" t="s">
        <v>916</v>
      </c>
      <c r="E1547" s="2">
        <v>26254</v>
      </c>
      <c r="F1547">
        <v>0</v>
      </c>
      <c r="H1547">
        <v>0.23104262805493303</v>
      </c>
      <c r="K1547">
        <v>0</v>
      </c>
    </row>
    <row r="1548" spans="1:11" x14ac:dyDescent="0.25">
      <c r="A1548" t="s">
        <v>14</v>
      </c>
      <c r="B1548" t="s">
        <v>1561</v>
      </c>
      <c r="C1548" t="s">
        <v>1295</v>
      </c>
      <c r="D1548" t="s">
        <v>916</v>
      </c>
      <c r="E1548" s="3">
        <v>26344</v>
      </c>
      <c r="F1548">
        <v>10</v>
      </c>
      <c r="H1548">
        <v>0.23106962627001343</v>
      </c>
      <c r="K1548">
        <v>0</v>
      </c>
    </row>
    <row r="1549" spans="1:11" x14ac:dyDescent="0.25">
      <c r="A1549" t="s">
        <v>14</v>
      </c>
      <c r="B1549" t="s">
        <v>1562</v>
      </c>
      <c r="C1549" t="s">
        <v>1332</v>
      </c>
      <c r="D1549" t="s">
        <v>1270</v>
      </c>
      <c r="E1549" s="2">
        <v>63174</v>
      </c>
      <c r="F1549">
        <v>21</v>
      </c>
      <c r="H1549">
        <v>0.23109932430660185</v>
      </c>
      <c r="K1549">
        <v>0</v>
      </c>
    </row>
    <row r="1550" spans="1:11" x14ac:dyDescent="0.25">
      <c r="A1550" t="s">
        <v>14</v>
      </c>
      <c r="B1550" t="s">
        <v>1563</v>
      </c>
      <c r="C1550" t="s">
        <v>1332</v>
      </c>
      <c r="D1550" t="s">
        <v>1270</v>
      </c>
      <c r="E1550" s="3">
        <v>63347</v>
      </c>
      <c r="F1550">
        <v>0</v>
      </c>
      <c r="H1550">
        <v>0.23104262805493303</v>
      </c>
      <c r="K1550">
        <v>0</v>
      </c>
    </row>
    <row r="1551" spans="1:11" x14ac:dyDescent="0.25">
      <c r="A1551" t="s">
        <v>14</v>
      </c>
      <c r="B1551" t="s">
        <v>1490</v>
      </c>
      <c r="C1551" t="s">
        <v>1332</v>
      </c>
      <c r="D1551" t="s">
        <v>1270</v>
      </c>
      <c r="E1551" s="2">
        <v>63001</v>
      </c>
      <c r="F1551">
        <v>0</v>
      </c>
      <c r="H1551">
        <v>0.23104262805493303</v>
      </c>
      <c r="K1551">
        <v>0</v>
      </c>
    </row>
    <row r="1552" spans="1:11" x14ac:dyDescent="0.25">
      <c r="A1552" t="s">
        <v>14</v>
      </c>
      <c r="B1552" t="s">
        <v>1490</v>
      </c>
      <c r="C1552" t="s">
        <v>1332</v>
      </c>
      <c r="D1552" t="s">
        <v>1270</v>
      </c>
      <c r="E1552" s="3">
        <v>63002</v>
      </c>
      <c r="F1552">
        <v>0</v>
      </c>
      <c r="H1552">
        <v>0.23104262805493303</v>
      </c>
      <c r="K1552">
        <v>0</v>
      </c>
    </row>
    <row r="1553" spans="1:11" x14ac:dyDescent="0.25">
      <c r="A1553" t="s">
        <v>14</v>
      </c>
      <c r="B1553" t="s">
        <v>1490</v>
      </c>
      <c r="C1553" t="s">
        <v>1332</v>
      </c>
      <c r="D1553" t="s">
        <v>1270</v>
      </c>
      <c r="E1553" s="2">
        <v>63003</v>
      </c>
      <c r="F1553">
        <v>0</v>
      </c>
      <c r="H1553">
        <v>0.23104262805493303</v>
      </c>
      <c r="K1553">
        <v>0</v>
      </c>
    </row>
    <row r="1554" spans="1:11" x14ac:dyDescent="0.25">
      <c r="A1554" t="s">
        <v>14</v>
      </c>
      <c r="B1554" t="s">
        <v>1564</v>
      </c>
      <c r="C1554" t="s">
        <v>1332</v>
      </c>
      <c r="D1554" t="s">
        <v>1270</v>
      </c>
      <c r="E1554" s="3">
        <v>63257</v>
      </c>
      <c r="F1554">
        <v>16</v>
      </c>
      <c r="H1554">
        <v>0.23108582519906165</v>
      </c>
      <c r="K1554">
        <v>0</v>
      </c>
    </row>
    <row r="1555" spans="1:11" x14ac:dyDescent="0.25">
      <c r="A1555" t="s">
        <v>14</v>
      </c>
      <c r="B1555" t="s">
        <v>1565</v>
      </c>
      <c r="C1555" t="s">
        <v>1332</v>
      </c>
      <c r="D1555" t="s">
        <v>1270</v>
      </c>
      <c r="E1555" s="2">
        <v>63379</v>
      </c>
      <c r="F1555">
        <v>27</v>
      </c>
      <c r="H1555">
        <v>0.2311155232356501</v>
      </c>
      <c r="K1555">
        <v>0</v>
      </c>
    </row>
    <row r="1556" spans="1:11" x14ac:dyDescent="0.25">
      <c r="A1556" t="s">
        <v>14</v>
      </c>
      <c r="B1556" t="s">
        <v>1566</v>
      </c>
      <c r="C1556" t="s">
        <v>1332</v>
      </c>
      <c r="D1556" t="s">
        <v>1270</v>
      </c>
      <c r="E1556" s="3">
        <v>63281</v>
      </c>
      <c r="F1556">
        <v>232</v>
      </c>
      <c r="H1556">
        <v>0.23166898664479818</v>
      </c>
      <c r="K1556">
        <v>0</v>
      </c>
    </row>
    <row r="1557" spans="1:11" x14ac:dyDescent="0.25">
      <c r="A1557" t="s">
        <v>14</v>
      </c>
      <c r="B1557" t="s">
        <v>1567</v>
      </c>
      <c r="C1557" t="s">
        <v>1332</v>
      </c>
      <c r="D1557" t="s">
        <v>1270</v>
      </c>
      <c r="E1557" s="2">
        <v>63164</v>
      </c>
      <c r="F1557">
        <v>4</v>
      </c>
      <c r="H1557">
        <v>0.23105342734096518</v>
      </c>
      <c r="K1557">
        <v>0</v>
      </c>
    </row>
    <row r="1558" spans="1:11" x14ac:dyDescent="0.25">
      <c r="A1558" t="s">
        <v>14</v>
      </c>
      <c r="B1558" t="s">
        <v>1568</v>
      </c>
      <c r="C1558" t="s">
        <v>1332</v>
      </c>
      <c r="D1558" t="s">
        <v>1270</v>
      </c>
      <c r="E1558" s="3">
        <v>63371</v>
      </c>
      <c r="F1558">
        <v>16</v>
      </c>
      <c r="H1558">
        <v>0.23108582519906165</v>
      </c>
      <c r="K1558">
        <v>0</v>
      </c>
    </row>
    <row r="1559" spans="1:11" x14ac:dyDescent="0.25">
      <c r="A1559" t="s">
        <v>14</v>
      </c>
      <c r="B1559" t="s">
        <v>1569</v>
      </c>
      <c r="C1559" t="s">
        <v>1332</v>
      </c>
      <c r="D1559" t="s">
        <v>1270</v>
      </c>
      <c r="E1559" s="2">
        <v>63323</v>
      </c>
      <c r="F1559">
        <v>1</v>
      </c>
      <c r="H1559">
        <v>0.23104532787644108</v>
      </c>
      <c r="K1559">
        <v>0</v>
      </c>
    </row>
    <row r="1560" spans="1:11" x14ac:dyDescent="0.25">
      <c r="A1560" t="s">
        <v>14</v>
      </c>
      <c r="B1560" t="s">
        <v>1570</v>
      </c>
      <c r="C1560" t="s">
        <v>1332</v>
      </c>
      <c r="D1560" t="s">
        <v>1270</v>
      </c>
      <c r="E1560" s="3">
        <v>63367</v>
      </c>
      <c r="F1560">
        <v>0</v>
      </c>
      <c r="H1560">
        <v>0.23104262805493303</v>
      </c>
      <c r="K1560">
        <v>0</v>
      </c>
    </row>
    <row r="1561" spans="1:11" x14ac:dyDescent="0.25">
      <c r="A1561" t="s">
        <v>14</v>
      </c>
      <c r="B1561" t="s">
        <v>1571</v>
      </c>
      <c r="C1561" t="s">
        <v>1332</v>
      </c>
      <c r="D1561" t="s">
        <v>1270</v>
      </c>
      <c r="E1561" s="2">
        <v>63194</v>
      </c>
      <c r="F1561">
        <v>10</v>
      </c>
      <c r="H1561">
        <v>0.23106962627001343</v>
      </c>
      <c r="K1561">
        <v>0</v>
      </c>
    </row>
    <row r="1562" spans="1:11" x14ac:dyDescent="0.25">
      <c r="A1562" t="s">
        <v>14</v>
      </c>
      <c r="B1562" t="s">
        <v>1572</v>
      </c>
      <c r="C1562" t="s">
        <v>1332</v>
      </c>
      <c r="D1562" t="s">
        <v>1270</v>
      </c>
      <c r="E1562" s="3">
        <v>63348</v>
      </c>
      <c r="F1562">
        <v>0</v>
      </c>
      <c r="H1562">
        <v>0.23104262805493303</v>
      </c>
      <c r="K1562">
        <v>0</v>
      </c>
    </row>
    <row r="1563" spans="1:11" x14ac:dyDescent="0.25">
      <c r="A1563" t="s">
        <v>14</v>
      </c>
      <c r="B1563" t="s">
        <v>1573</v>
      </c>
      <c r="C1563" t="s">
        <v>1332</v>
      </c>
      <c r="D1563" t="s">
        <v>1270</v>
      </c>
      <c r="E1563" s="2">
        <v>63339</v>
      </c>
      <c r="F1563">
        <v>0</v>
      </c>
      <c r="H1563">
        <v>0.23104262805493303</v>
      </c>
      <c r="K1563">
        <v>0</v>
      </c>
    </row>
    <row r="1564" spans="1:11" x14ac:dyDescent="0.25">
      <c r="A1564" t="s">
        <v>14</v>
      </c>
      <c r="B1564" t="s">
        <v>1574</v>
      </c>
      <c r="C1564" t="s">
        <v>1332</v>
      </c>
      <c r="D1564" t="s">
        <v>1270</v>
      </c>
      <c r="E1564" s="3">
        <v>63383</v>
      </c>
      <c r="F1564">
        <v>0</v>
      </c>
      <c r="H1564">
        <v>0.23104262805493303</v>
      </c>
      <c r="K1564">
        <v>0</v>
      </c>
    </row>
    <row r="1565" spans="1:11" x14ac:dyDescent="0.25">
      <c r="A1565" t="s">
        <v>14</v>
      </c>
      <c r="B1565" t="s">
        <v>1575</v>
      </c>
      <c r="C1565" t="s">
        <v>1332</v>
      </c>
      <c r="D1565" t="s">
        <v>1270</v>
      </c>
      <c r="E1565" s="2">
        <v>63343</v>
      </c>
      <c r="F1565">
        <v>0</v>
      </c>
      <c r="H1565">
        <v>0.23104262805493303</v>
      </c>
      <c r="K1565">
        <v>0</v>
      </c>
    </row>
    <row r="1566" spans="1:11" x14ac:dyDescent="0.25">
      <c r="A1566" t="s">
        <v>14</v>
      </c>
      <c r="B1566" t="s">
        <v>1576</v>
      </c>
      <c r="C1566" t="s">
        <v>1332</v>
      </c>
      <c r="D1566" t="s">
        <v>1270</v>
      </c>
      <c r="E1566" s="3">
        <v>63363</v>
      </c>
      <c r="F1566">
        <v>1</v>
      </c>
      <c r="H1566">
        <v>0.23104532787644108</v>
      </c>
      <c r="K1566">
        <v>0</v>
      </c>
    </row>
    <row r="1567" spans="1:11" x14ac:dyDescent="0.25">
      <c r="A1567" t="s">
        <v>14</v>
      </c>
      <c r="B1567" t="s">
        <v>1577</v>
      </c>
      <c r="C1567" t="s">
        <v>1332</v>
      </c>
      <c r="D1567" t="s">
        <v>1270</v>
      </c>
      <c r="E1567" s="2">
        <v>63117</v>
      </c>
      <c r="F1567">
        <v>4</v>
      </c>
      <c r="H1567">
        <v>0.23105342734096518</v>
      </c>
      <c r="K1567">
        <v>0</v>
      </c>
    </row>
    <row r="1568" spans="1:11" x14ac:dyDescent="0.25">
      <c r="A1568" t="s">
        <v>14</v>
      </c>
      <c r="B1568" t="s">
        <v>1578</v>
      </c>
      <c r="C1568" t="s">
        <v>1332</v>
      </c>
      <c r="D1568" t="s">
        <v>1270</v>
      </c>
      <c r="E1568" s="3">
        <v>63154</v>
      </c>
      <c r="F1568">
        <v>4</v>
      </c>
      <c r="H1568">
        <v>0.23105342734096518</v>
      </c>
      <c r="K1568">
        <v>0</v>
      </c>
    </row>
    <row r="1569" spans="1:11" x14ac:dyDescent="0.25">
      <c r="A1569" t="s">
        <v>14</v>
      </c>
      <c r="B1569" t="s">
        <v>1490</v>
      </c>
      <c r="C1569" t="s">
        <v>1307</v>
      </c>
      <c r="D1569" t="s">
        <v>916</v>
      </c>
      <c r="E1569" s="2">
        <v>25001</v>
      </c>
      <c r="F1569">
        <v>0</v>
      </c>
      <c r="H1569">
        <v>0.23104262805493303</v>
      </c>
      <c r="K1569">
        <v>0</v>
      </c>
    </row>
    <row r="1570" spans="1:11" x14ac:dyDescent="0.25">
      <c r="A1570" t="s">
        <v>14</v>
      </c>
      <c r="B1570" t="s">
        <v>1490</v>
      </c>
      <c r="C1570" t="s">
        <v>1307</v>
      </c>
      <c r="D1570" t="s">
        <v>916</v>
      </c>
      <c r="E1570" s="3">
        <v>25002</v>
      </c>
      <c r="F1570">
        <v>0</v>
      </c>
      <c r="H1570">
        <v>0.23104262805493303</v>
      </c>
      <c r="K1570">
        <v>0</v>
      </c>
    </row>
    <row r="1571" spans="1:11" x14ac:dyDescent="0.25">
      <c r="A1571" t="s">
        <v>14</v>
      </c>
      <c r="B1571" t="s">
        <v>1490</v>
      </c>
      <c r="C1571" t="s">
        <v>1307</v>
      </c>
      <c r="D1571" t="s">
        <v>916</v>
      </c>
      <c r="E1571" s="2">
        <v>25003</v>
      </c>
      <c r="F1571">
        <v>0</v>
      </c>
      <c r="H1571">
        <v>0.23104262805493303</v>
      </c>
      <c r="K1571">
        <v>0</v>
      </c>
    </row>
    <row r="1572" spans="1:11" x14ac:dyDescent="0.25">
      <c r="A1572" t="s">
        <v>14</v>
      </c>
      <c r="B1572" t="s">
        <v>1490</v>
      </c>
      <c r="C1572" t="s">
        <v>1307</v>
      </c>
      <c r="D1572" t="s">
        <v>916</v>
      </c>
      <c r="E1572" s="3">
        <v>26008</v>
      </c>
      <c r="F1572">
        <v>0</v>
      </c>
      <c r="H1572">
        <v>0.23104262805493303</v>
      </c>
      <c r="K1572">
        <v>0</v>
      </c>
    </row>
    <row r="1573" spans="1:11" x14ac:dyDescent="0.25">
      <c r="A1573" t="s">
        <v>14</v>
      </c>
      <c r="B1573" t="s">
        <v>1579</v>
      </c>
      <c r="C1573" t="s">
        <v>1307</v>
      </c>
      <c r="D1573" t="s">
        <v>916</v>
      </c>
      <c r="E1573" s="2">
        <v>25335</v>
      </c>
      <c r="F1573">
        <v>0</v>
      </c>
      <c r="H1573">
        <v>0.23104262805493303</v>
      </c>
      <c r="K1573">
        <v>0</v>
      </c>
    </row>
    <row r="1574" spans="1:11" x14ac:dyDescent="0.25">
      <c r="A1574" t="s">
        <v>14</v>
      </c>
      <c r="B1574" t="s">
        <v>1580</v>
      </c>
      <c r="C1574" t="s">
        <v>1307</v>
      </c>
      <c r="D1574" t="s">
        <v>916</v>
      </c>
      <c r="E1574" s="3">
        <v>25359</v>
      </c>
      <c r="F1574">
        <v>50</v>
      </c>
      <c r="H1574">
        <v>0.23117761913033499</v>
      </c>
      <c r="K1574">
        <v>0</v>
      </c>
    </row>
    <row r="1575" spans="1:11" x14ac:dyDescent="0.25">
      <c r="A1575" t="s">
        <v>14</v>
      </c>
      <c r="B1575" t="s">
        <v>1581</v>
      </c>
      <c r="C1575" t="s">
        <v>1307</v>
      </c>
      <c r="D1575" t="s">
        <v>916</v>
      </c>
      <c r="E1575" s="2">
        <v>25447</v>
      </c>
      <c r="F1575">
        <v>25</v>
      </c>
      <c r="H1575">
        <v>0.23111012359263403</v>
      </c>
      <c r="K1575">
        <v>0</v>
      </c>
    </row>
    <row r="1576" spans="1:11" x14ac:dyDescent="0.25">
      <c r="A1576" t="s">
        <v>14</v>
      </c>
      <c r="B1576" t="s">
        <v>1582</v>
      </c>
      <c r="C1576" t="s">
        <v>1307</v>
      </c>
      <c r="D1576" t="s">
        <v>916</v>
      </c>
      <c r="E1576" s="3">
        <v>25419</v>
      </c>
      <c r="F1576">
        <v>198</v>
      </c>
      <c r="H1576">
        <v>0.23157719271352484</v>
      </c>
      <c r="K1576">
        <v>0</v>
      </c>
    </row>
    <row r="1577" spans="1:11" x14ac:dyDescent="0.25">
      <c r="A1577" t="s">
        <v>14</v>
      </c>
      <c r="B1577" t="s">
        <v>1583</v>
      </c>
      <c r="C1577" t="s">
        <v>1307</v>
      </c>
      <c r="D1577" t="s">
        <v>916</v>
      </c>
      <c r="E1577" s="2">
        <v>25488</v>
      </c>
      <c r="F1577">
        <v>0</v>
      </c>
      <c r="H1577">
        <v>0.23104262805493303</v>
      </c>
      <c r="K1577">
        <v>0</v>
      </c>
    </row>
    <row r="1578" spans="1:11" x14ac:dyDescent="0.25">
      <c r="A1578" t="s">
        <v>14</v>
      </c>
      <c r="B1578" t="s">
        <v>1584</v>
      </c>
      <c r="C1578" t="s">
        <v>1307</v>
      </c>
      <c r="D1578" t="s">
        <v>916</v>
      </c>
      <c r="E1578" s="3">
        <v>25467</v>
      </c>
      <c r="F1578">
        <v>2</v>
      </c>
      <c r="H1578">
        <v>0.2310480276979491</v>
      </c>
      <c r="K1578">
        <v>0</v>
      </c>
    </row>
    <row r="1579" spans="1:11" x14ac:dyDescent="0.25">
      <c r="A1579" t="s">
        <v>14</v>
      </c>
      <c r="B1579" t="s">
        <v>1585</v>
      </c>
      <c r="C1579" t="s">
        <v>1307</v>
      </c>
      <c r="D1579" t="s">
        <v>916</v>
      </c>
      <c r="E1579" s="2">
        <v>25141</v>
      </c>
      <c r="F1579">
        <v>2174</v>
      </c>
      <c r="H1579">
        <v>0.2369120400134109</v>
      </c>
      <c r="K1579">
        <v>0</v>
      </c>
    </row>
    <row r="1580" spans="1:11" x14ac:dyDescent="0.25">
      <c r="A1580" t="s">
        <v>14</v>
      </c>
      <c r="B1580" t="s">
        <v>1490</v>
      </c>
      <c r="C1580" t="s">
        <v>1278</v>
      </c>
      <c r="D1580" t="s">
        <v>937</v>
      </c>
      <c r="E1580" s="3" t="s">
        <v>1586</v>
      </c>
      <c r="F1580">
        <v>0</v>
      </c>
      <c r="H1580">
        <v>0.23104262805493303</v>
      </c>
      <c r="K1580">
        <v>0</v>
      </c>
    </row>
    <row r="1581" spans="1:11" x14ac:dyDescent="0.25">
      <c r="A1581" t="s">
        <v>14</v>
      </c>
      <c r="B1581" t="s">
        <v>1587</v>
      </c>
      <c r="C1581" t="s">
        <v>1278</v>
      </c>
      <c r="D1581" t="s">
        <v>937</v>
      </c>
      <c r="E1581" s="2">
        <v>73183</v>
      </c>
      <c r="F1581">
        <v>33</v>
      </c>
      <c r="H1581">
        <v>0.23113172216469832</v>
      </c>
      <c r="K1581">
        <v>0</v>
      </c>
    </row>
    <row r="1582" spans="1:11" x14ac:dyDescent="0.25">
      <c r="A1582" t="s">
        <v>14</v>
      </c>
      <c r="B1582" t="s">
        <v>1588</v>
      </c>
      <c r="C1582" t="s">
        <v>1278</v>
      </c>
      <c r="D1582" t="s">
        <v>937</v>
      </c>
      <c r="E1582" s="3">
        <v>73143</v>
      </c>
      <c r="F1582">
        <v>0</v>
      </c>
      <c r="H1582">
        <v>0.23104262805493303</v>
      </c>
      <c r="K1582">
        <v>0</v>
      </c>
    </row>
    <row r="1583" spans="1:11" x14ac:dyDescent="0.25">
      <c r="A1583" t="s">
        <v>14</v>
      </c>
      <c r="B1583" t="s">
        <v>1490</v>
      </c>
      <c r="C1583" t="s">
        <v>1291</v>
      </c>
      <c r="D1583" t="s">
        <v>1260</v>
      </c>
      <c r="E1583" s="2">
        <v>55001</v>
      </c>
      <c r="F1583">
        <v>0</v>
      </c>
      <c r="H1583">
        <v>0.23104262805493303</v>
      </c>
      <c r="K1583">
        <v>0</v>
      </c>
    </row>
    <row r="1584" spans="1:11" x14ac:dyDescent="0.25">
      <c r="A1584" t="s">
        <v>14</v>
      </c>
      <c r="B1584" t="s">
        <v>1490</v>
      </c>
      <c r="C1584" t="s">
        <v>1291</v>
      </c>
      <c r="D1584" t="s">
        <v>1260</v>
      </c>
      <c r="E1584" s="3">
        <v>55002</v>
      </c>
      <c r="F1584">
        <v>0</v>
      </c>
      <c r="H1584">
        <v>0.23104262805493303</v>
      </c>
      <c r="K1584">
        <v>0</v>
      </c>
    </row>
    <row r="1585" spans="1:11" x14ac:dyDescent="0.25">
      <c r="A1585" t="s">
        <v>14</v>
      </c>
      <c r="B1585" t="s">
        <v>1490</v>
      </c>
      <c r="C1585" t="s">
        <v>1291</v>
      </c>
      <c r="D1585" t="s">
        <v>1260</v>
      </c>
      <c r="E1585" s="2">
        <v>55003</v>
      </c>
      <c r="F1585">
        <v>0</v>
      </c>
      <c r="H1585">
        <v>0.23104262805493303</v>
      </c>
      <c r="K1585">
        <v>0</v>
      </c>
    </row>
    <row r="1586" spans="1:11" x14ac:dyDescent="0.25">
      <c r="A1586" t="s">
        <v>14</v>
      </c>
      <c r="B1586" t="s">
        <v>1490</v>
      </c>
      <c r="C1586" t="s">
        <v>1291</v>
      </c>
      <c r="D1586" t="s">
        <v>1260</v>
      </c>
      <c r="E1586" s="3">
        <v>55004</v>
      </c>
      <c r="F1586">
        <v>0</v>
      </c>
      <c r="H1586">
        <v>0.23104262805493303</v>
      </c>
      <c r="K1586">
        <v>0</v>
      </c>
    </row>
    <row r="1587" spans="1:11" x14ac:dyDescent="0.25">
      <c r="A1587" t="s">
        <v>14</v>
      </c>
      <c r="B1587" t="s">
        <v>1490</v>
      </c>
      <c r="C1587" t="s">
        <v>1291</v>
      </c>
      <c r="D1587" t="s">
        <v>1260</v>
      </c>
      <c r="E1587" s="2">
        <v>55005</v>
      </c>
      <c r="F1587">
        <v>0</v>
      </c>
      <c r="H1587">
        <v>0.23104262805493303</v>
      </c>
      <c r="K1587">
        <v>0</v>
      </c>
    </row>
    <row r="1588" spans="1:11" x14ac:dyDescent="0.25">
      <c r="A1588" t="s">
        <v>14</v>
      </c>
      <c r="B1588" t="s">
        <v>1490</v>
      </c>
      <c r="C1588" t="s">
        <v>1291</v>
      </c>
      <c r="D1588" t="s">
        <v>1260</v>
      </c>
      <c r="E1588" s="3">
        <v>55006</v>
      </c>
      <c r="F1588">
        <v>0</v>
      </c>
      <c r="H1588">
        <v>0.23104262805493303</v>
      </c>
      <c r="K1588">
        <v>0</v>
      </c>
    </row>
    <row r="1589" spans="1:11" x14ac:dyDescent="0.25">
      <c r="A1589" t="s">
        <v>14</v>
      </c>
      <c r="B1589" t="s">
        <v>1490</v>
      </c>
      <c r="C1589" t="s">
        <v>1291</v>
      </c>
      <c r="D1589" t="s">
        <v>1260</v>
      </c>
      <c r="E1589" s="2">
        <v>55007</v>
      </c>
      <c r="F1589">
        <v>0</v>
      </c>
      <c r="H1589">
        <v>0.23104262805493303</v>
      </c>
      <c r="K1589">
        <v>0</v>
      </c>
    </row>
    <row r="1590" spans="1:11" x14ac:dyDescent="0.25">
      <c r="A1590" t="s">
        <v>14</v>
      </c>
      <c r="B1590" t="s">
        <v>1490</v>
      </c>
      <c r="C1590" t="s">
        <v>1291</v>
      </c>
      <c r="D1590" t="s">
        <v>1260</v>
      </c>
      <c r="E1590" s="3">
        <v>55008</v>
      </c>
      <c r="F1590">
        <v>0</v>
      </c>
      <c r="H1590">
        <v>0.23104262805493303</v>
      </c>
      <c r="K1590">
        <v>0</v>
      </c>
    </row>
    <row r="1591" spans="1:11" x14ac:dyDescent="0.25">
      <c r="A1591" t="s">
        <v>14</v>
      </c>
      <c r="B1591" t="s">
        <v>1490</v>
      </c>
      <c r="C1591" t="s">
        <v>1291</v>
      </c>
      <c r="D1591" t="s">
        <v>1260</v>
      </c>
      <c r="E1591" s="2">
        <v>55009</v>
      </c>
      <c r="F1591">
        <v>0</v>
      </c>
      <c r="H1591">
        <v>0.23104262805493303</v>
      </c>
      <c r="K1591">
        <v>0</v>
      </c>
    </row>
    <row r="1592" spans="1:11" x14ac:dyDescent="0.25">
      <c r="A1592" t="s">
        <v>14</v>
      </c>
      <c r="B1592" t="s">
        <v>1490</v>
      </c>
      <c r="C1592" t="s">
        <v>1291</v>
      </c>
      <c r="D1592" t="s">
        <v>1260</v>
      </c>
      <c r="E1592" s="3">
        <v>55010</v>
      </c>
      <c r="F1592">
        <v>0</v>
      </c>
      <c r="H1592">
        <v>0.23104262805493303</v>
      </c>
      <c r="K1592">
        <v>0</v>
      </c>
    </row>
    <row r="1593" spans="1:11" x14ac:dyDescent="0.25">
      <c r="A1593" t="s">
        <v>14</v>
      </c>
      <c r="B1593" t="s">
        <v>1490</v>
      </c>
      <c r="C1593" t="s">
        <v>1291</v>
      </c>
      <c r="D1593" t="s">
        <v>1260</v>
      </c>
      <c r="E1593" s="2" t="s">
        <v>1589</v>
      </c>
      <c r="F1593">
        <v>0</v>
      </c>
      <c r="H1593">
        <v>0.23104262805493303</v>
      </c>
      <c r="K1593">
        <v>0</v>
      </c>
    </row>
    <row r="1594" spans="1:11" x14ac:dyDescent="0.25">
      <c r="A1594" t="s">
        <v>14</v>
      </c>
      <c r="B1594" t="s">
        <v>1490</v>
      </c>
      <c r="C1594" t="s">
        <v>1291</v>
      </c>
      <c r="D1594" t="s">
        <v>1260</v>
      </c>
      <c r="E1594" s="3" t="s">
        <v>1590</v>
      </c>
      <c r="F1594">
        <v>0</v>
      </c>
      <c r="H1594">
        <v>0.23104262805493303</v>
      </c>
      <c r="K1594">
        <v>0</v>
      </c>
    </row>
    <row r="1595" spans="1:11" x14ac:dyDescent="0.25">
      <c r="A1595" t="s">
        <v>14</v>
      </c>
      <c r="B1595" t="s">
        <v>1490</v>
      </c>
      <c r="C1595" t="s">
        <v>1291</v>
      </c>
      <c r="D1595" t="s">
        <v>1260</v>
      </c>
      <c r="E1595" s="2" t="s">
        <v>1591</v>
      </c>
      <c r="F1595">
        <v>0</v>
      </c>
      <c r="H1595">
        <v>0.23104262805493303</v>
      </c>
      <c r="K1595">
        <v>0</v>
      </c>
    </row>
    <row r="1596" spans="1:11" x14ac:dyDescent="0.25">
      <c r="A1596" t="s">
        <v>14</v>
      </c>
      <c r="B1596" t="s">
        <v>1592</v>
      </c>
      <c r="C1596" t="s">
        <v>1291</v>
      </c>
      <c r="D1596" t="s">
        <v>1260</v>
      </c>
      <c r="E1596" s="3">
        <v>55199</v>
      </c>
      <c r="F1596">
        <v>34</v>
      </c>
      <c r="H1596">
        <v>0.23113442198620637</v>
      </c>
      <c r="K1596">
        <v>0</v>
      </c>
    </row>
    <row r="1597" spans="1:11" x14ac:dyDescent="0.25">
      <c r="A1597" t="s">
        <v>14</v>
      </c>
      <c r="B1597" t="s">
        <v>1490</v>
      </c>
      <c r="C1597" t="s">
        <v>1288</v>
      </c>
      <c r="D1597" t="s">
        <v>1270</v>
      </c>
      <c r="E1597" s="2">
        <v>61001</v>
      </c>
      <c r="F1597">
        <v>0</v>
      </c>
      <c r="H1597">
        <v>0.23104262805493303</v>
      </c>
      <c r="K1597">
        <v>0</v>
      </c>
    </row>
    <row r="1598" spans="1:11" x14ac:dyDescent="0.25">
      <c r="A1598" t="s">
        <v>14</v>
      </c>
      <c r="B1598" t="s">
        <v>1593</v>
      </c>
      <c r="C1598" t="s">
        <v>1288</v>
      </c>
      <c r="D1598" t="s">
        <v>1270</v>
      </c>
      <c r="E1598" s="3">
        <v>61423</v>
      </c>
      <c r="F1598">
        <v>16</v>
      </c>
      <c r="H1598">
        <v>0.23108582519906165</v>
      </c>
      <c r="K1598">
        <v>0</v>
      </c>
    </row>
    <row r="1599" spans="1:11" x14ac:dyDescent="0.25">
      <c r="A1599" t="s">
        <v>14</v>
      </c>
      <c r="B1599" t="s">
        <v>1594</v>
      </c>
      <c r="C1599" t="s">
        <v>1288</v>
      </c>
      <c r="D1599" t="s">
        <v>1270</v>
      </c>
      <c r="E1599" s="2">
        <v>61467</v>
      </c>
      <c r="F1599">
        <v>658</v>
      </c>
      <c r="H1599">
        <v>0.23281911060722302</v>
      </c>
      <c r="K1599">
        <v>0</v>
      </c>
    </row>
    <row r="1600" spans="1:11" x14ac:dyDescent="0.25">
      <c r="A1600" t="s">
        <v>14</v>
      </c>
      <c r="B1600" t="s">
        <v>1595</v>
      </c>
      <c r="C1600" t="s">
        <v>1288</v>
      </c>
      <c r="D1600" t="s">
        <v>1270</v>
      </c>
      <c r="E1600" s="3">
        <v>61473</v>
      </c>
      <c r="F1600">
        <v>11</v>
      </c>
      <c r="H1600">
        <v>0.23107232609152145</v>
      </c>
      <c r="K1600">
        <v>238</v>
      </c>
    </row>
    <row r="1601" spans="1:11" x14ac:dyDescent="0.25">
      <c r="A1601" t="s">
        <v>14</v>
      </c>
      <c r="B1601" t="s">
        <v>1596</v>
      </c>
      <c r="C1601" t="s">
        <v>1288</v>
      </c>
      <c r="D1601" t="s">
        <v>1270</v>
      </c>
      <c r="E1601" s="2">
        <v>61424</v>
      </c>
      <c r="F1601">
        <v>1</v>
      </c>
      <c r="H1601">
        <v>0.23104532787644108</v>
      </c>
      <c r="K1601">
        <v>0</v>
      </c>
    </row>
    <row r="1602" spans="1:11" x14ac:dyDescent="0.25">
      <c r="A1602" t="s">
        <v>14</v>
      </c>
      <c r="B1602" t="s">
        <v>1597</v>
      </c>
      <c r="C1602" t="s">
        <v>1288</v>
      </c>
      <c r="D1602" t="s">
        <v>1270</v>
      </c>
      <c r="E1602" s="3">
        <v>61433</v>
      </c>
      <c r="F1602">
        <v>15</v>
      </c>
      <c r="H1602">
        <v>0.23108312537755363</v>
      </c>
      <c r="K1602">
        <v>0</v>
      </c>
    </row>
    <row r="1603" spans="1:11" x14ac:dyDescent="0.25">
      <c r="A1603" t="s">
        <v>14</v>
      </c>
      <c r="B1603" t="s">
        <v>1598</v>
      </c>
      <c r="C1603" t="s">
        <v>1288</v>
      </c>
      <c r="D1603" t="s">
        <v>1270</v>
      </c>
      <c r="E1603" s="2">
        <v>61429</v>
      </c>
      <c r="F1603">
        <v>27</v>
      </c>
      <c r="H1603">
        <v>0.2311155232356501</v>
      </c>
      <c r="K1603">
        <v>0</v>
      </c>
    </row>
    <row r="1604" spans="1:11" x14ac:dyDescent="0.25">
      <c r="A1604" t="s">
        <v>14</v>
      </c>
      <c r="B1604" t="s">
        <v>1599</v>
      </c>
      <c r="C1604" t="s">
        <v>1288</v>
      </c>
      <c r="D1604" t="s">
        <v>1270</v>
      </c>
      <c r="E1604" s="3">
        <v>61457</v>
      </c>
      <c r="F1604">
        <v>11</v>
      </c>
      <c r="H1604">
        <v>0.23107232609152145</v>
      </c>
      <c r="K1604">
        <v>0</v>
      </c>
    </row>
    <row r="1605" spans="1:11" x14ac:dyDescent="0.25">
      <c r="A1605" t="s">
        <v>14</v>
      </c>
      <c r="B1605" t="s">
        <v>1600</v>
      </c>
      <c r="C1605" t="s">
        <v>1288</v>
      </c>
      <c r="D1605" t="s">
        <v>1270</v>
      </c>
      <c r="E1605" s="2">
        <v>61484</v>
      </c>
      <c r="F1605">
        <v>1456</v>
      </c>
      <c r="H1605">
        <v>0.23497356817063855</v>
      </c>
      <c r="K1605">
        <v>0</v>
      </c>
    </row>
    <row r="1606" spans="1:11" x14ac:dyDescent="0.25">
      <c r="A1606" t="s">
        <v>14</v>
      </c>
      <c r="B1606" t="s">
        <v>1601</v>
      </c>
      <c r="C1606" t="s">
        <v>1288</v>
      </c>
      <c r="D1606" t="s">
        <v>1270</v>
      </c>
      <c r="E1606" s="3">
        <v>61497</v>
      </c>
      <c r="F1606">
        <v>0</v>
      </c>
      <c r="H1606">
        <v>0.23104262805493303</v>
      </c>
      <c r="K1606">
        <v>0</v>
      </c>
    </row>
    <row r="1607" spans="1:11" x14ac:dyDescent="0.25">
      <c r="A1607" t="s">
        <v>14</v>
      </c>
      <c r="B1607" t="s">
        <v>1602</v>
      </c>
      <c r="C1607" t="s">
        <v>1269</v>
      </c>
      <c r="D1607" t="s">
        <v>1270</v>
      </c>
      <c r="E1607" s="2">
        <v>62242</v>
      </c>
      <c r="F1607">
        <v>537</v>
      </c>
      <c r="H1607">
        <v>0.23249243220475024</v>
      </c>
      <c r="K1607">
        <v>0</v>
      </c>
    </row>
    <row r="1608" spans="1:11" x14ac:dyDescent="0.25">
      <c r="A1608" t="s">
        <v>14</v>
      </c>
      <c r="B1608" t="s">
        <v>1603</v>
      </c>
      <c r="C1608" t="s">
        <v>1269</v>
      </c>
      <c r="D1608" t="s">
        <v>1270</v>
      </c>
      <c r="E1608" s="3">
        <v>62319</v>
      </c>
      <c r="F1608">
        <v>84</v>
      </c>
      <c r="H1608">
        <v>0.23126941306160834</v>
      </c>
      <c r="K1608">
        <v>0</v>
      </c>
    </row>
    <row r="1609" spans="1:11" x14ac:dyDescent="0.25">
      <c r="A1609" t="s">
        <v>14</v>
      </c>
      <c r="B1609" t="s">
        <v>1604</v>
      </c>
      <c r="C1609" t="s">
        <v>1269</v>
      </c>
      <c r="D1609" t="s">
        <v>1270</v>
      </c>
      <c r="E1609" s="2">
        <v>62331</v>
      </c>
      <c r="F1609">
        <v>187</v>
      </c>
      <c r="H1609">
        <v>0.23154749467693642</v>
      </c>
      <c r="K1609">
        <v>0</v>
      </c>
    </row>
    <row r="1610" spans="1:11" x14ac:dyDescent="0.25">
      <c r="A1610" t="s">
        <v>14</v>
      </c>
      <c r="B1610" t="s">
        <v>1605</v>
      </c>
      <c r="C1610" t="s">
        <v>1269</v>
      </c>
      <c r="D1610" t="s">
        <v>1270</v>
      </c>
      <c r="E1610" s="3">
        <v>62314</v>
      </c>
      <c r="F1610">
        <v>11</v>
      </c>
      <c r="H1610">
        <v>0.23107232609152145</v>
      </c>
      <c r="K1610">
        <v>0</v>
      </c>
    </row>
    <row r="1611" spans="1:11" x14ac:dyDescent="0.25">
      <c r="A1611" t="s">
        <v>14</v>
      </c>
      <c r="B1611" t="s">
        <v>1606</v>
      </c>
      <c r="C1611" t="s">
        <v>1269</v>
      </c>
      <c r="D1611" t="s">
        <v>1270</v>
      </c>
      <c r="E1611" s="2">
        <v>62284</v>
      </c>
      <c r="F1611">
        <v>5</v>
      </c>
      <c r="H1611">
        <v>0.23105612716247323</v>
      </c>
      <c r="K1611">
        <v>0</v>
      </c>
    </row>
    <row r="1612" spans="1:11" x14ac:dyDescent="0.25">
      <c r="A1612" t="s">
        <v>14</v>
      </c>
      <c r="B1612" t="s">
        <v>1607</v>
      </c>
      <c r="C1612" t="s">
        <v>1269</v>
      </c>
      <c r="D1612" t="s">
        <v>1270</v>
      </c>
      <c r="E1612" s="3">
        <v>62281</v>
      </c>
      <c r="F1612">
        <v>0</v>
      </c>
      <c r="H1612">
        <v>0.23104262805493303</v>
      </c>
      <c r="K1612">
        <v>0</v>
      </c>
    </row>
    <row r="1613" spans="1:11" x14ac:dyDescent="0.25">
      <c r="A1613" t="s">
        <v>14</v>
      </c>
      <c r="B1613" t="s">
        <v>1608</v>
      </c>
      <c r="C1613" t="s">
        <v>1269</v>
      </c>
      <c r="D1613" t="s">
        <v>1270</v>
      </c>
      <c r="E1613" s="2">
        <v>62257</v>
      </c>
      <c r="F1613">
        <v>300</v>
      </c>
      <c r="H1613">
        <v>0.23185257450734487</v>
      </c>
      <c r="K1613">
        <v>0</v>
      </c>
    </row>
    <row r="1614" spans="1:11" x14ac:dyDescent="0.25">
      <c r="A1614" t="s">
        <v>14</v>
      </c>
      <c r="B1614" t="s">
        <v>1609</v>
      </c>
      <c r="C1614" t="s">
        <v>1269</v>
      </c>
      <c r="D1614" t="s">
        <v>1270</v>
      </c>
      <c r="E1614" s="3">
        <v>62273</v>
      </c>
      <c r="F1614">
        <v>42</v>
      </c>
      <c r="H1614">
        <v>0.2311560205582707</v>
      </c>
      <c r="K1614">
        <v>0</v>
      </c>
    </row>
    <row r="1615" spans="1:11" x14ac:dyDescent="0.25">
      <c r="A1615" t="s">
        <v>14</v>
      </c>
      <c r="B1615" t="s">
        <v>1490</v>
      </c>
      <c r="C1615" t="s">
        <v>1323</v>
      </c>
      <c r="D1615" t="s">
        <v>1260</v>
      </c>
      <c r="E1615" s="2">
        <v>52001</v>
      </c>
      <c r="F1615">
        <v>0</v>
      </c>
      <c r="H1615">
        <v>0.23104262805493303</v>
      </c>
      <c r="K1615">
        <v>0</v>
      </c>
    </row>
    <row r="1616" spans="1:11" x14ac:dyDescent="0.25">
      <c r="A1616" t="s">
        <v>14</v>
      </c>
      <c r="B1616" t="s">
        <v>1490</v>
      </c>
      <c r="C1616" t="s">
        <v>1323</v>
      </c>
      <c r="D1616" t="s">
        <v>1260</v>
      </c>
      <c r="E1616" s="3">
        <v>52002</v>
      </c>
      <c r="F1616">
        <v>0</v>
      </c>
      <c r="H1616">
        <v>0.23104262805493303</v>
      </c>
      <c r="K1616">
        <v>0</v>
      </c>
    </row>
    <row r="1617" spans="1:11" x14ac:dyDescent="0.25">
      <c r="A1617" t="s">
        <v>14</v>
      </c>
      <c r="B1617" t="s">
        <v>1490</v>
      </c>
      <c r="C1617" t="s">
        <v>1323</v>
      </c>
      <c r="D1617" t="s">
        <v>1260</v>
      </c>
      <c r="E1617" s="2">
        <v>52003</v>
      </c>
      <c r="F1617">
        <v>0</v>
      </c>
      <c r="H1617">
        <v>0.23104262805493303</v>
      </c>
      <c r="K1617">
        <v>0</v>
      </c>
    </row>
    <row r="1618" spans="1:11" x14ac:dyDescent="0.25">
      <c r="A1618" t="s">
        <v>14</v>
      </c>
      <c r="B1618" t="s">
        <v>1610</v>
      </c>
      <c r="C1618" t="s">
        <v>1323</v>
      </c>
      <c r="D1618" t="s">
        <v>1260</v>
      </c>
      <c r="E1618" s="3">
        <v>52131</v>
      </c>
      <c r="F1618">
        <v>62</v>
      </c>
      <c r="H1618">
        <v>0.23121001698843147</v>
      </c>
      <c r="K1618">
        <v>0</v>
      </c>
    </row>
    <row r="1619" spans="1:11" x14ac:dyDescent="0.25">
      <c r="A1619" t="s">
        <v>14</v>
      </c>
      <c r="B1619" t="s">
        <v>1611</v>
      </c>
      <c r="C1619" t="s">
        <v>1323</v>
      </c>
      <c r="D1619" t="s">
        <v>1260</v>
      </c>
      <c r="E1619" s="2">
        <v>52257</v>
      </c>
      <c r="F1619">
        <v>154</v>
      </c>
      <c r="H1619">
        <v>0.23145840056717112</v>
      </c>
      <c r="K1619">
        <v>0</v>
      </c>
    </row>
    <row r="1620" spans="1:11" x14ac:dyDescent="0.25">
      <c r="A1620" t="s">
        <v>14</v>
      </c>
      <c r="B1620" t="s">
        <v>1612</v>
      </c>
      <c r="C1620" t="s">
        <v>1259</v>
      </c>
      <c r="D1620" t="s">
        <v>1260</v>
      </c>
      <c r="E1620" s="3">
        <v>51247</v>
      </c>
      <c r="F1620">
        <v>31</v>
      </c>
      <c r="H1620">
        <v>0.23112632252168225</v>
      </c>
      <c r="K1620">
        <v>0</v>
      </c>
    </row>
    <row r="1621" spans="1:11" x14ac:dyDescent="0.25">
      <c r="A1621" t="s">
        <v>14</v>
      </c>
      <c r="B1621" t="s">
        <v>1490</v>
      </c>
      <c r="C1621" t="s">
        <v>1259</v>
      </c>
      <c r="D1621" t="s">
        <v>1260</v>
      </c>
      <c r="E1621" s="2">
        <v>51001</v>
      </c>
      <c r="F1621">
        <v>0</v>
      </c>
      <c r="H1621">
        <v>0.23104262805493303</v>
      </c>
      <c r="K1621">
        <v>0</v>
      </c>
    </row>
    <row r="1622" spans="1:11" x14ac:dyDescent="0.25">
      <c r="A1622" t="s">
        <v>14</v>
      </c>
      <c r="B1622" t="s">
        <v>1490</v>
      </c>
      <c r="C1622" t="s">
        <v>1259</v>
      </c>
      <c r="D1622" t="s">
        <v>1260</v>
      </c>
      <c r="E1622" s="3" t="s">
        <v>1613</v>
      </c>
      <c r="F1622">
        <v>0</v>
      </c>
      <c r="H1622">
        <v>0.23104262805493303</v>
      </c>
      <c r="K1622">
        <v>0</v>
      </c>
    </row>
    <row r="1623" spans="1:11" x14ac:dyDescent="0.25">
      <c r="A1623" t="s">
        <v>14</v>
      </c>
      <c r="B1623" t="s">
        <v>1614</v>
      </c>
      <c r="C1623" t="s">
        <v>1259</v>
      </c>
      <c r="D1623" t="s">
        <v>1260</v>
      </c>
      <c r="E1623" s="2">
        <v>51274</v>
      </c>
      <c r="F1623">
        <v>233</v>
      </c>
      <c r="H1623">
        <v>0.23167168646630623</v>
      </c>
      <c r="K1623">
        <v>0</v>
      </c>
    </row>
    <row r="1624" spans="1:11" x14ac:dyDescent="0.25">
      <c r="A1624" t="s">
        <v>14</v>
      </c>
      <c r="B1624" t="s">
        <v>1615</v>
      </c>
      <c r="C1624" t="s">
        <v>1259</v>
      </c>
      <c r="D1624" t="s">
        <v>1260</v>
      </c>
      <c r="E1624" s="3">
        <v>51261</v>
      </c>
      <c r="F1624">
        <v>0</v>
      </c>
      <c r="H1624">
        <v>0.23104262805493303</v>
      </c>
      <c r="K1624">
        <v>0</v>
      </c>
    </row>
    <row r="1625" spans="1:11" x14ac:dyDescent="0.25">
      <c r="A1625" t="s">
        <v>14</v>
      </c>
      <c r="B1625" t="s">
        <v>1616</v>
      </c>
      <c r="C1625" t="s">
        <v>1259</v>
      </c>
      <c r="D1625" t="s">
        <v>1260</v>
      </c>
      <c r="E1625" s="2">
        <v>51214</v>
      </c>
      <c r="F1625">
        <v>374</v>
      </c>
      <c r="H1625">
        <v>0.2320523612989398</v>
      </c>
      <c r="K1625">
        <v>0</v>
      </c>
    </row>
    <row r="1626" spans="1:11" x14ac:dyDescent="0.25">
      <c r="A1626" t="s">
        <v>14</v>
      </c>
      <c r="B1626" t="s">
        <v>1617</v>
      </c>
      <c r="C1626" t="s">
        <v>1297</v>
      </c>
      <c r="D1626" t="s">
        <v>919</v>
      </c>
      <c r="E1626" s="3">
        <v>33239</v>
      </c>
      <c r="F1626">
        <v>200</v>
      </c>
      <c r="H1626">
        <v>0.23158259235654094</v>
      </c>
      <c r="K1626">
        <v>0</v>
      </c>
    </row>
    <row r="1627" spans="1:11" x14ac:dyDescent="0.25">
      <c r="A1627" t="s">
        <v>14</v>
      </c>
      <c r="B1627" t="s">
        <v>1618</v>
      </c>
      <c r="C1627" t="s">
        <v>1297</v>
      </c>
      <c r="D1627" t="s">
        <v>919</v>
      </c>
      <c r="E1627" s="2">
        <v>33127</v>
      </c>
      <c r="F1627">
        <v>0</v>
      </c>
      <c r="H1627">
        <v>0.23104262805493303</v>
      </c>
      <c r="K1627">
        <v>0</v>
      </c>
    </row>
    <row r="1628" spans="1:11" x14ac:dyDescent="0.25">
      <c r="A1628" t="s">
        <v>14</v>
      </c>
      <c r="B1628" t="s">
        <v>1619</v>
      </c>
      <c r="C1628" t="s">
        <v>1297</v>
      </c>
      <c r="D1628" t="s">
        <v>919</v>
      </c>
      <c r="E1628" s="3">
        <v>33135</v>
      </c>
      <c r="F1628">
        <v>0</v>
      </c>
      <c r="H1628">
        <v>0.23104262805493303</v>
      </c>
      <c r="K1628">
        <v>0</v>
      </c>
    </row>
  </sheetData>
  <autoFilter ref="A1:K1628" xr:uid="{00000000-0001-0000-0000-000000000000}">
    <sortState xmlns:xlrd2="http://schemas.microsoft.com/office/spreadsheetml/2017/richdata2" ref="A2:K1628">
      <sortCondition ref="A1:A1628"/>
    </sortState>
  </autoFilter>
  <conditionalFormatting sqref="E2:E888">
    <cfRule type="duplicateValues" dxfId="2" priority="2"/>
  </conditionalFormatting>
  <conditionalFormatting sqref="E889:E1628">
    <cfRule type="duplicateValues" dxfId="1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C6E8-CAF5-4CB3-B422-851A50D9D660}">
  <dimension ref="A1:B426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t="s">
        <v>4</v>
      </c>
    </row>
    <row r="2" spans="1:2" x14ac:dyDescent="0.25">
      <c r="A2">
        <v>34381</v>
      </c>
      <c r="B2">
        <v>0.16799130864197531</v>
      </c>
    </row>
    <row r="3" spans="1:2" x14ac:dyDescent="0.25">
      <c r="A3">
        <v>34286</v>
      </c>
      <c r="B3">
        <v>0.28470166839475919</v>
      </c>
    </row>
    <row r="4" spans="1:2" x14ac:dyDescent="0.25">
      <c r="A4">
        <v>34386</v>
      </c>
      <c r="B4">
        <v>0.15222820603272891</v>
      </c>
    </row>
    <row r="5" spans="1:2" x14ac:dyDescent="0.25">
      <c r="A5">
        <v>34287</v>
      </c>
      <c r="B5">
        <v>0.23945978046674943</v>
      </c>
    </row>
    <row r="6" spans="1:2" x14ac:dyDescent="0.25">
      <c r="A6">
        <v>34133</v>
      </c>
      <c r="B6">
        <v>0.12175861803631893</v>
      </c>
    </row>
    <row r="7" spans="1:2" x14ac:dyDescent="0.25">
      <c r="A7">
        <v>34188</v>
      </c>
      <c r="B7">
        <v>0.58636827664329882</v>
      </c>
    </row>
    <row r="8" spans="1:2" x14ac:dyDescent="0.25">
      <c r="A8">
        <v>34341</v>
      </c>
      <c r="B8">
        <v>0.5295318615073854</v>
      </c>
    </row>
    <row r="9" spans="1:2" x14ac:dyDescent="0.25">
      <c r="A9">
        <v>34263</v>
      </c>
      <c r="B9">
        <v>0.21493060172681777</v>
      </c>
    </row>
    <row r="10" spans="1:2" x14ac:dyDescent="0.25">
      <c r="A10">
        <v>34356</v>
      </c>
      <c r="B10">
        <v>0.17196527391363325</v>
      </c>
    </row>
    <row r="11" spans="1:2" x14ac:dyDescent="0.25">
      <c r="A11">
        <v>34229</v>
      </c>
      <c r="B11">
        <v>0.15942099858183778</v>
      </c>
    </row>
    <row r="12" spans="1:2" x14ac:dyDescent="0.25">
      <c r="A12">
        <v>34361</v>
      </c>
      <c r="B12">
        <v>0.1476113769508568</v>
      </c>
    </row>
    <row r="13" spans="1:2" x14ac:dyDescent="0.25">
      <c r="A13">
        <v>34111</v>
      </c>
      <c r="B13">
        <v>0.57111121447458579</v>
      </c>
    </row>
    <row r="14" spans="1:2" x14ac:dyDescent="0.25">
      <c r="A14">
        <v>34311</v>
      </c>
      <c r="B14">
        <v>0.63553213754818283</v>
      </c>
    </row>
    <row r="15" spans="1:2" x14ac:dyDescent="0.25">
      <c r="A15">
        <v>34276</v>
      </c>
      <c r="B15">
        <v>0.16231632463264911</v>
      </c>
    </row>
    <row r="16" spans="1:2" x14ac:dyDescent="0.25">
      <c r="A16">
        <v>34217</v>
      </c>
      <c r="B16">
        <v>0.15859043639575099</v>
      </c>
    </row>
    <row r="17" spans="1:2" x14ac:dyDescent="0.25">
      <c r="A17">
        <v>34269</v>
      </c>
      <c r="B17">
        <v>0.14933584154409429</v>
      </c>
    </row>
    <row r="18" spans="1:2" x14ac:dyDescent="0.25">
      <c r="A18">
        <v>34215</v>
      </c>
      <c r="B18">
        <v>0.11766314112078002</v>
      </c>
    </row>
    <row r="19" spans="1:2" x14ac:dyDescent="0.25">
      <c r="A19">
        <v>34284</v>
      </c>
      <c r="B19">
        <v>7.0167900300998065E-2</v>
      </c>
    </row>
    <row r="20" spans="1:2" x14ac:dyDescent="0.25">
      <c r="A20">
        <v>34271</v>
      </c>
      <c r="B20">
        <v>0.41168791585436704</v>
      </c>
    </row>
    <row r="21" spans="1:2" x14ac:dyDescent="0.25">
      <c r="A21">
        <v>34155</v>
      </c>
      <c r="B21">
        <v>0.41922272343795741</v>
      </c>
    </row>
    <row r="22" spans="1:2" x14ac:dyDescent="0.25">
      <c r="A22">
        <v>34261</v>
      </c>
      <c r="B22">
        <v>0.14179126143126719</v>
      </c>
    </row>
    <row r="23" spans="1:2" x14ac:dyDescent="0.25">
      <c r="A23">
        <v>34221</v>
      </c>
      <c r="B23">
        <v>0.13889979215865444</v>
      </c>
    </row>
    <row r="24" spans="1:2" x14ac:dyDescent="0.25">
      <c r="A24">
        <v>34264</v>
      </c>
      <c r="B24">
        <v>0.13697374949157248</v>
      </c>
    </row>
    <row r="25" spans="1:2" x14ac:dyDescent="0.25">
      <c r="A25">
        <v>34351</v>
      </c>
      <c r="B25">
        <v>0.12021249999999994</v>
      </c>
    </row>
    <row r="26" spans="1:2" x14ac:dyDescent="0.25">
      <c r="A26">
        <v>34316</v>
      </c>
      <c r="B26">
        <v>0.13978400000000002</v>
      </c>
    </row>
    <row r="27" spans="1:2" x14ac:dyDescent="0.25">
      <c r="A27">
        <v>34246</v>
      </c>
      <c r="B27">
        <v>0.12945057502245449</v>
      </c>
    </row>
    <row r="28" spans="1:2" x14ac:dyDescent="0.25">
      <c r="A28">
        <v>34214</v>
      </c>
      <c r="B28">
        <v>0.20841942148760328</v>
      </c>
    </row>
    <row r="29" spans="1:2" x14ac:dyDescent="0.25">
      <c r="A29">
        <v>34166</v>
      </c>
      <c r="B29">
        <v>0.33676097110483616</v>
      </c>
    </row>
    <row r="30" spans="1:2" x14ac:dyDescent="0.25">
      <c r="A30">
        <v>34177</v>
      </c>
      <c r="B30">
        <v>0.25674436205597606</v>
      </c>
    </row>
    <row r="31" spans="1:2" x14ac:dyDescent="0.25">
      <c r="A31">
        <v>34266</v>
      </c>
      <c r="B31">
        <v>0.16382620510396995</v>
      </c>
    </row>
    <row r="32" spans="1:2" x14ac:dyDescent="0.25">
      <c r="A32">
        <v>34366</v>
      </c>
      <c r="B32">
        <v>0.1709241285968971</v>
      </c>
    </row>
    <row r="33" spans="1:2" x14ac:dyDescent="0.25">
      <c r="A33">
        <v>34374</v>
      </c>
      <c r="B33">
        <v>0.41530955989590779</v>
      </c>
    </row>
    <row r="34" spans="1:2" x14ac:dyDescent="0.25">
      <c r="A34">
        <v>26273</v>
      </c>
      <c r="B34">
        <v>0.35117718598394221</v>
      </c>
    </row>
    <row r="35" spans="1:2" x14ac:dyDescent="0.25">
      <c r="A35">
        <v>34212</v>
      </c>
      <c r="B35">
        <v>0.16284414885813492</v>
      </c>
    </row>
    <row r="36" spans="1:2" x14ac:dyDescent="0.25">
      <c r="A36">
        <v>34277</v>
      </c>
      <c r="B36">
        <v>0.19682797376155647</v>
      </c>
    </row>
    <row r="37" spans="1:2" x14ac:dyDescent="0.25">
      <c r="A37">
        <v>53281</v>
      </c>
      <c r="B37">
        <v>0.14053889132548958</v>
      </c>
    </row>
    <row r="38" spans="1:2" x14ac:dyDescent="0.25">
      <c r="A38">
        <v>34144</v>
      </c>
      <c r="B38">
        <v>0.15102144928342354</v>
      </c>
    </row>
    <row r="39" spans="1:2" x14ac:dyDescent="0.25">
      <c r="A39">
        <v>26135</v>
      </c>
      <c r="B39">
        <v>0.11501518461292559</v>
      </c>
    </row>
    <row r="40" spans="1:2" x14ac:dyDescent="0.25">
      <c r="A40">
        <v>23625</v>
      </c>
      <c r="B40">
        <v>0.49589968133183038</v>
      </c>
    </row>
    <row r="41" spans="1:2" x14ac:dyDescent="0.25">
      <c r="A41">
        <v>34237</v>
      </c>
      <c r="B41">
        <v>0.18047176737208337</v>
      </c>
    </row>
    <row r="42" spans="1:2" x14ac:dyDescent="0.25">
      <c r="A42">
        <v>34239</v>
      </c>
      <c r="B42">
        <v>0.16688855822695592</v>
      </c>
    </row>
    <row r="43" spans="1:2" x14ac:dyDescent="0.25">
      <c r="A43">
        <v>34224</v>
      </c>
      <c r="B43">
        <v>9.4819300269127327E-2</v>
      </c>
    </row>
    <row r="44" spans="1:2" x14ac:dyDescent="0.25">
      <c r="A44">
        <v>34254</v>
      </c>
      <c r="B44">
        <v>0.13486922726795292</v>
      </c>
    </row>
    <row r="45" spans="1:2" x14ac:dyDescent="0.25">
      <c r="A45">
        <v>26273</v>
      </c>
      <c r="B45">
        <v>0.17246720116618064</v>
      </c>
    </row>
    <row r="46" spans="1:2" x14ac:dyDescent="0.25">
      <c r="A46">
        <v>34331</v>
      </c>
      <c r="B46">
        <v>0.36523606151835508</v>
      </c>
    </row>
    <row r="47" spans="1:2" x14ac:dyDescent="0.25">
      <c r="A47">
        <v>34236</v>
      </c>
      <c r="B47">
        <v>0.32139095166921039</v>
      </c>
    </row>
    <row r="48" spans="1:2" x14ac:dyDescent="0.25">
      <c r="A48">
        <v>34276</v>
      </c>
      <c r="B48">
        <v>0.22988318548736641</v>
      </c>
    </row>
    <row r="49" spans="1:2" x14ac:dyDescent="0.25">
      <c r="A49">
        <v>34234</v>
      </c>
      <c r="B49">
        <v>0.14712247324613559</v>
      </c>
    </row>
    <row r="50" spans="1:2" x14ac:dyDescent="0.25">
      <c r="A50">
        <v>34244</v>
      </c>
      <c r="B50">
        <v>8.7990210360701537E-2</v>
      </c>
    </row>
    <row r="51" spans="1:2" x14ac:dyDescent="0.25">
      <c r="A51">
        <v>34243</v>
      </c>
      <c r="B51">
        <v>9.2787835447325606E-2</v>
      </c>
    </row>
    <row r="52" spans="1:2" x14ac:dyDescent="0.25">
      <c r="A52">
        <v>34211</v>
      </c>
      <c r="B52">
        <v>0.29305110473941631</v>
      </c>
    </row>
    <row r="53" spans="1:2" x14ac:dyDescent="0.25">
      <c r="A53">
        <v>34231</v>
      </c>
      <c r="B53">
        <v>0.25148166329426136</v>
      </c>
    </row>
    <row r="54" spans="1:2" x14ac:dyDescent="0.25">
      <c r="A54">
        <v>34233</v>
      </c>
      <c r="B54">
        <v>0.36555283878257183</v>
      </c>
    </row>
    <row r="55" spans="1:2" x14ac:dyDescent="0.25">
      <c r="A55">
        <v>34267</v>
      </c>
      <c r="B55">
        <v>0.13993498317346198</v>
      </c>
    </row>
    <row r="56" spans="1:2" x14ac:dyDescent="0.25">
      <c r="A56">
        <v>34122</v>
      </c>
      <c r="B56">
        <v>0.14118723899239149</v>
      </c>
    </row>
    <row r="57" spans="1:2" x14ac:dyDescent="0.25">
      <c r="A57">
        <v>34251</v>
      </c>
      <c r="B57">
        <v>0.19094130039260737</v>
      </c>
    </row>
    <row r="58" spans="1:2" x14ac:dyDescent="0.25">
      <c r="A58">
        <v>34247</v>
      </c>
      <c r="B58">
        <v>0.13013787721123837</v>
      </c>
    </row>
    <row r="59" spans="1:2" x14ac:dyDescent="0.25">
      <c r="A59">
        <v>34219</v>
      </c>
      <c r="B59">
        <v>9.4732598763773157E-2</v>
      </c>
    </row>
    <row r="60" spans="1:2" x14ac:dyDescent="0.25">
      <c r="A60">
        <v>34256</v>
      </c>
      <c r="B60">
        <v>0.10467863894139884</v>
      </c>
    </row>
    <row r="61" spans="1:2" x14ac:dyDescent="0.25">
      <c r="A61">
        <v>34321</v>
      </c>
      <c r="B61">
        <v>0.15914840010078124</v>
      </c>
    </row>
    <row r="62" spans="1:2" x14ac:dyDescent="0.25">
      <c r="A62">
        <v>34279</v>
      </c>
      <c r="B62">
        <v>0.19362067154511386</v>
      </c>
    </row>
    <row r="63" spans="1:2" x14ac:dyDescent="0.25">
      <c r="A63">
        <v>34274</v>
      </c>
      <c r="B63">
        <v>0.20552552388992518</v>
      </c>
    </row>
    <row r="64" spans="1:2" x14ac:dyDescent="0.25">
      <c r="A64">
        <v>34273</v>
      </c>
      <c r="B64">
        <v>0.18028741471911747</v>
      </c>
    </row>
    <row r="65" spans="1:2" x14ac:dyDescent="0.25">
      <c r="A65">
        <v>34226</v>
      </c>
      <c r="B65">
        <v>0.14253320375769352</v>
      </c>
    </row>
    <row r="66" spans="1:2" x14ac:dyDescent="0.25">
      <c r="A66">
        <v>34218</v>
      </c>
      <c r="B66">
        <v>8.347915784044635E-2</v>
      </c>
    </row>
    <row r="67" spans="1:2" x14ac:dyDescent="0.25">
      <c r="A67">
        <v>34257</v>
      </c>
      <c r="B67">
        <v>0.12469766191883891</v>
      </c>
    </row>
    <row r="68" spans="1:2" x14ac:dyDescent="0.25">
      <c r="A68">
        <v>23639</v>
      </c>
      <c r="B68">
        <v>0.30587737339459642</v>
      </c>
    </row>
    <row r="69" spans="1:2" x14ac:dyDescent="0.25">
      <c r="A69">
        <v>23439</v>
      </c>
      <c r="B69">
        <v>3.5855898622355387E-2</v>
      </c>
    </row>
    <row r="70" spans="1:2" x14ac:dyDescent="0.25">
      <c r="A70">
        <v>23211</v>
      </c>
      <c r="B70">
        <v>6.6710799524541509E-2</v>
      </c>
    </row>
    <row r="71" spans="1:2" x14ac:dyDescent="0.25">
      <c r="A71">
        <v>23251</v>
      </c>
      <c r="B71">
        <v>5.6244943718160689E-2</v>
      </c>
    </row>
    <row r="72" spans="1:2" x14ac:dyDescent="0.25">
      <c r="A72">
        <v>33163</v>
      </c>
      <c r="B72">
        <v>5.712498183149306E-2</v>
      </c>
    </row>
    <row r="73" spans="1:2" x14ac:dyDescent="0.25">
      <c r="A73">
        <v>23577</v>
      </c>
      <c r="B73">
        <v>2.442177750798602E-2</v>
      </c>
    </row>
    <row r="74" spans="1:2" x14ac:dyDescent="0.25">
      <c r="A74">
        <v>23522</v>
      </c>
      <c r="B74">
        <v>0.20991662333003636</v>
      </c>
    </row>
    <row r="75" spans="1:2" x14ac:dyDescent="0.25">
      <c r="A75">
        <v>23321</v>
      </c>
      <c r="B75">
        <v>0.44028924711140338</v>
      </c>
    </row>
    <row r="76" spans="1:2" x14ac:dyDescent="0.25">
      <c r="A76">
        <v>23111</v>
      </c>
      <c r="B76">
        <v>0.26056557215787601</v>
      </c>
    </row>
    <row r="77" spans="1:2" x14ac:dyDescent="0.25">
      <c r="A77">
        <v>25451</v>
      </c>
      <c r="B77">
        <v>3.2090686760526066E-2</v>
      </c>
    </row>
    <row r="78" spans="1:2" x14ac:dyDescent="0.25">
      <c r="A78">
        <v>23215</v>
      </c>
      <c r="B78">
        <v>8.5060000636611566E-2</v>
      </c>
    </row>
    <row r="79" spans="1:2" x14ac:dyDescent="0.25">
      <c r="A79">
        <v>23459</v>
      </c>
      <c r="B79">
        <v>0.5712420744348049</v>
      </c>
    </row>
    <row r="80" spans="1:2" x14ac:dyDescent="0.25">
      <c r="A80">
        <v>23311</v>
      </c>
      <c r="B80">
        <v>0.36354001640528932</v>
      </c>
    </row>
    <row r="81" spans="1:2" x14ac:dyDescent="0.25">
      <c r="A81">
        <v>23231</v>
      </c>
      <c r="B81">
        <v>0.19433366899754567</v>
      </c>
    </row>
    <row r="82" spans="1:2" x14ac:dyDescent="0.25">
      <c r="A82">
        <v>23365</v>
      </c>
      <c r="B82">
        <v>0.17512430081531483</v>
      </c>
    </row>
    <row r="83" spans="1:2" x14ac:dyDescent="0.25">
      <c r="A83">
        <v>23533</v>
      </c>
      <c r="B83">
        <v>0.34527047090138951</v>
      </c>
    </row>
    <row r="84" spans="1:2" x14ac:dyDescent="0.25">
      <c r="A84">
        <v>23566</v>
      </c>
      <c r="B84">
        <v>0.15119441436045977</v>
      </c>
    </row>
    <row r="85" spans="1:2" x14ac:dyDescent="0.25">
      <c r="A85">
        <v>23413</v>
      </c>
      <c r="B85">
        <v>0.43664980149422916</v>
      </c>
    </row>
    <row r="86" spans="1:2" x14ac:dyDescent="0.25">
      <c r="A86">
        <v>23625</v>
      </c>
      <c r="B86">
        <v>0.49589968133183038</v>
      </c>
    </row>
    <row r="87" spans="1:2" x14ac:dyDescent="0.25">
      <c r="A87">
        <v>23615</v>
      </c>
      <c r="B87">
        <v>0.43757554465856274</v>
      </c>
    </row>
    <row r="88" spans="1:2" x14ac:dyDescent="0.25">
      <c r="A88">
        <v>23243</v>
      </c>
      <c r="B88">
        <v>0.38253836631518268</v>
      </c>
    </row>
    <row r="89" spans="1:2" x14ac:dyDescent="0.25">
      <c r="A89">
        <v>23386</v>
      </c>
      <c r="B89">
        <v>0.1290737092572366</v>
      </c>
    </row>
    <row r="90" spans="1:2" x14ac:dyDescent="0.25">
      <c r="A90">
        <v>23423</v>
      </c>
      <c r="B90">
        <v>1.9754237991534085E-2</v>
      </c>
    </row>
    <row r="91" spans="1:2" x14ac:dyDescent="0.25">
      <c r="A91">
        <v>23631</v>
      </c>
      <c r="B91">
        <v>0.47092960643783777</v>
      </c>
    </row>
    <row r="92" spans="1:2" x14ac:dyDescent="0.25">
      <c r="A92">
        <v>23655</v>
      </c>
      <c r="B92">
        <v>0.53477610860102787</v>
      </c>
    </row>
    <row r="93" spans="1:2" x14ac:dyDescent="0.25">
      <c r="A93">
        <v>23341</v>
      </c>
      <c r="B93">
        <v>0.31046033053050937</v>
      </c>
    </row>
    <row r="94" spans="1:2" x14ac:dyDescent="0.25">
      <c r="A94">
        <v>23588</v>
      </c>
      <c r="B94">
        <v>0.32494705075445818</v>
      </c>
    </row>
    <row r="95" spans="1:2" x14ac:dyDescent="0.25">
      <c r="A95">
        <v>23411</v>
      </c>
      <c r="B95">
        <v>0.30966854839225788</v>
      </c>
    </row>
    <row r="96" spans="1:2" x14ac:dyDescent="0.25">
      <c r="A96">
        <v>23663</v>
      </c>
      <c r="B96">
        <v>6.5614855440672581E-2</v>
      </c>
    </row>
    <row r="97" spans="1:2" x14ac:dyDescent="0.25">
      <c r="A97">
        <v>23511</v>
      </c>
      <c r="B97">
        <v>8.4097157065115558E-2</v>
      </c>
    </row>
    <row r="98" spans="1:2" x14ac:dyDescent="0.25">
      <c r="A98">
        <v>23361</v>
      </c>
      <c r="B98">
        <v>0.26760959104739934</v>
      </c>
    </row>
    <row r="99" spans="1:2" x14ac:dyDescent="0.25">
      <c r="A99">
        <v>23667</v>
      </c>
      <c r="B99">
        <v>0.58730777573885062</v>
      </c>
    </row>
    <row r="100" spans="1:2" x14ac:dyDescent="0.25">
      <c r="A100">
        <v>23469</v>
      </c>
      <c r="B100">
        <v>0.62101570533696626</v>
      </c>
    </row>
    <row r="101" spans="1:2" x14ac:dyDescent="0.25">
      <c r="A101">
        <v>26273</v>
      </c>
      <c r="B101">
        <v>0.62272535254721584</v>
      </c>
    </row>
    <row r="102" spans="1:2" x14ac:dyDescent="0.25">
      <c r="A102">
        <v>23366</v>
      </c>
      <c r="B102">
        <v>0.2543839685346313</v>
      </c>
    </row>
    <row r="103" spans="1:2" x14ac:dyDescent="0.25">
      <c r="A103">
        <v>23211</v>
      </c>
      <c r="B103">
        <v>6.195585128661707E-2</v>
      </c>
    </row>
    <row r="104" spans="1:2" x14ac:dyDescent="0.25">
      <c r="A104">
        <v>23511</v>
      </c>
      <c r="B104">
        <v>4.3014203176837462E-2</v>
      </c>
    </row>
    <row r="105" spans="1:2" x14ac:dyDescent="0.25">
      <c r="A105">
        <v>23255</v>
      </c>
      <c r="B105">
        <v>8.4663819893819992E-2</v>
      </c>
    </row>
    <row r="106" spans="1:2" x14ac:dyDescent="0.25">
      <c r="A106">
        <v>23451</v>
      </c>
      <c r="B106">
        <v>0.13727149210403222</v>
      </c>
    </row>
    <row r="107" spans="1:2" x14ac:dyDescent="0.25">
      <c r="A107">
        <v>23211</v>
      </c>
      <c r="B107">
        <v>4.7839331551472686E-2</v>
      </c>
    </row>
    <row r="108" spans="1:2" x14ac:dyDescent="0.25">
      <c r="A108">
        <v>23445</v>
      </c>
      <c r="B108">
        <v>0.1571534026586372</v>
      </c>
    </row>
    <row r="109" spans="1:2" x14ac:dyDescent="0.25">
      <c r="A109">
        <v>23356</v>
      </c>
      <c r="B109">
        <v>0.19130834976988842</v>
      </c>
    </row>
    <row r="110" spans="1:2" x14ac:dyDescent="0.25">
      <c r="A110">
        <v>23611</v>
      </c>
      <c r="B110">
        <v>0.62842503066890498</v>
      </c>
    </row>
    <row r="111" spans="1:2" x14ac:dyDescent="0.25">
      <c r="A111">
        <v>23331</v>
      </c>
      <c r="B111">
        <v>0.46838429777372392</v>
      </c>
    </row>
    <row r="112" spans="1:2" x14ac:dyDescent="0.25">
      <c r="A112">
        <v>23651</v>
      </c>
      <c r="B112">
        <v>0.43916272716940608</v>
      </c>
    </row>
    <row r="113" spans="1:2" x14ac:dyDescent="0.25">
      <c r="A113">
        <v>23219</v>
      </c>
      <c r="B113">
        <v>8.1602760106242234E-2</v>
      </c>
    </row>
    <row r="114" spans="1:2" x14ac:dyDescent="0.25">
      <c r="A114">
        <v>23687</v>
      </c>
      <c r="B114">
        <v>0.20788641577283185</v>
      </c>
    </row>
    <row r="115" spans="1:2" x14ac:dyDescent="0.25">
      <c r="A115">
        <v>23679</v>
      </c>
      <c r="B115">
        <v>0.47438233255204931</v>
      </c>
    </row>
    <row r="116" spans="1:2" x14ac:dyDescent="0.25">
      <c r="A116">
        <v>23267</v>
      </c>
      <c r="B116">
        <v>0.5313993045176324</v>
      </c>
    </row>
    <row r="117" spans="1:2" x14ac:dyDescent="0.25">
      <c r="A117">
        <v>23381</v>
      </c>
      <c r="B117">
        <v>0.344756950079111</v>
      </c>
    </row>
    <row r="118" spans="1:2" x14ac:dyDescent="0.25">
      <c r="A118">
        <v>23647</v>
      </c>
      <c r="B118">
        <v>6.8012123104419064E-2</v>
      </c>
    </row>
    <row r="119" spans="1:2" x14ac:dyDescent="0.25">
      <c r="A119">
        <v>23376</v>
      </c>
      <c r="B119">
        <v>0.25350837483024014</v>
      </c>
    </row>
    <row r="120" spans="1:2" x14ac:dyDescent="0.25">
      <c r="A120">
        <v>23141</v>
      </c>
      <c r="B120">
        <v>7.7090347511454493E-2</v>
      </c>
    </row>
    <row r="121" spans="1:2" x14ac:dyDescent="0.25">
      <c r="A121">
        <v>53455</v>
      </c>
      <c r="B121">
        <v>0.18408704811618859</v>
      </c>
    </row>
    <row r="122" spans="1:2" x14ac:dyDescent="0.25">
      <c r="A122">
        <v>26273</v>
      </c>
      <c r="B122">
        <v>3.433997811217615E-2</v>
      </c>
    </row>
    <row r="123" spans="1:2" x14ac:dyDescent="0.25">
      <c r="A123">
        <v>23211</v>
      </c>
      <c r="B123">
        <v>2.4918150245300641E-2</v>
      </c>
    </row>
    <row r="124" spans="1:2" x14ac:dyDescent="0.25">
      <c r="A124">
        <v>23463</v>
      </c>
      <c r="B124">
        <v>1.3664812380834279E-2</v>
      </c>
    </row>
    <row r="125" spans="1:2" x14ac:dyDescent="0.25">
      <c r="A125">
        <v>23627</v>
      </c>
      <c r="B125">
        <v>1.4100174503432816E-2</v>
      </c>
    </row>
    <row r="126" spans="1:2" x14ac:dyDescent="0.25">
      <c r="A126">
        <v>23211</v>
      </c>
      <c r="B126">
        <v>3.1238619553396685E-2</v>
      </c>
    </row>
    <row r="127" spans="1:2" x14ac:dyDescent="0.25">
      <c r="A127">
        <v>23675</v>
      </c>
      <c r="B127">
        <v>0.20413921166406912</v>
      </c>
    </row>
    <row r="128" spans="1:2" x14ac:dyDescent="0.25">
      <c r="A128">
        <v>23259</v>
      </c>
      <c r="B128">
        <v>0.25289064977941089</v>
      </c>
    </row>
    <row r="129" spans="1:2" x14ac:dyDescent="0.25">
      <c r="A129">
        <v>23211</v>
      </c>
      <c r="B129">
        <v>6.5894251267355597E-2</v>
      </c>
    </row>
    <row r="130" spans="1:2" x14ac:dyDescent="0.25">
      <c r="A130">
        <v>23336</v>
      </c>
      <c r="B130">
        <v>0.71417256671972518</v>
      </c>
    </row>
    <row r="131" spans="1:2" x14ac:dyDescent="0.25">
      <c r="A131">
        <v>23271</v>
      </c>
      <c r="B131">
        <v>0.47461374217312557</v>
      </c>
    </row>
    <row r="132" spans="1:2" x14ac:dyDescent="0.25">
      <c r="A132">
        <v>23279</v>
      </c>
      <c r="B132">
        <v>9.7464474463594741E-2</v>
      </c>
    </row>
    <row r="133" spans="1:2" x14ac:dyDescent="0.25">
      <c r="A133">
        <v>23544</v>
      </c>
      <c r="B133">
        <v>0.10611208703155817</v>
      </c>
    </row>
    <row r="134" spans="1:2" x14ac:dyDescent="0.25">
      <c r="A134">
        <v>23437</v>
      </c>
      <c r="B134">
        <v>0.53788330195481504</v>
      </c>
    </row>
    <row r="135" spans="1:2" x14ac:dyDescent="0.25">
      <c r="A135">
        <v>23417</v>
      </c>
      <c r="B135">
        <v>3.9810044130706101E-2</v>
      </c>
    </row>
    <row r="136" spans="1:2" x14ac:dyDescent="0.25">
      <c r="A136">
        <v>23429</v>
      </c>
      <c r="B136">
        <v>2.2852552184970065E-2</v>
      </c>
    </row>
    <row r="137" spans="1:2" x14ac:dyDescent="0.25">
      <c r="A137">
        <v>52176</v>
      </c>
      <c r="B137">
        <v>0.4856199587635821</v>
      </c>
    </row>
    <row r="138" spans="1:2" x14ac:dyDescent="0.25">
      <c r="A138">
        <v>23239</v>
      </c>
      <c r="B138">
        <v>7.2603566036825828E-2</v>
      </c>
    </row>
    <row r="139" spans="1:2" x14ac:dyDescent="0.25">
      <c r="A139">
        <v>23671</v>
      </c>
      <c r="B139">
        <v>0.42098503966572998</v>
      </c>
    </row>
    <row r="140" spans="1:2" x14ac:dyDescent="0.25">
      <c r="A140">
        <v>23619</v>
      </c>
      <c r="B140">
        <v>0.10730243583382892</v>
      </c>
    </row>
    <row r="141" spans="1:2" x14ac:dyDescent="0.25">
      <c r="A141">
        <v>35412</v>
      </c>
      <c r="B141">
        <v>0.60270609709349787</v>
      </c>
    </row>
    <row r="142" spans="1:2" x14ac:dyDescent="0.25">
      <c r="A142">
        <v>23555</v>
      </c>
      <c r="B142">
        <v>0.31336801942421078</v>
      </c>
    </row>
    <row r="143" spans="1:2" x14ac:dyDescent="0.25">
      <c r="A143">
        <v>23455</v>
      </c>
      <c r="B143">
        <v>0.23608397607408993</v>
      </c>
    </row>
    <row r="144" spans="1:2" x14ac:dyDescent="0.25">
      <c r="A144">
        <v>22211</v>
      </c>
      <c r="B144">
        <v>4.9668646199906075E-2</v>
      </c>
    </row>
    <row r="145" spans="1:2" x14ac:dyDescent="0.25">
      <c r="A145">
        <v>23443</v>
      </c>
      <c r="B145">
        <v>0.17642472712640189</v>
      </c>
    </row>
    <row r="146" spans="1:2" x14ac:dyDescent="0.25">
      <c r="A146">
        <v>23421</v>
      </c>
      <c r="B146">
        <v>0.23265407288756101</v>
      </c>
    </row>
    <row r="147" spans="1:2" x14ac:dyDescent="0.25">
      <c r="A147">
        <v>23447</v>
      </c>
      <c r="B147">
        <v>6.1296738603812795E-2</v>
      </c>
    </row>
    <row r="148" spans="1:2" x14ac:dyDescent="0.25">
      <c r="A148">
        <v>23435</v>
      </c>
      <c r="B148">
        <v>1.6506447352296449E-2</v>
      </c>
    </row>
    <row r="149" spans="1:2" x14ac:dyDescent="0.25">
      <c r="A149">
        <v>23235</v>
      </c>
      <c r="B149">
        <v>0.1720060466079909</v>
      </c>
    </row>
    <row r="150" spans="1:2" x14ac:dyDescent="0.25">
      <c r="A150">
        <v>52277</v>
      </c>
      <c r="B150">
        <v>0.17549564415540275</v>
      </c>
    </row>
    <row r="151" spans="1:2" x14ac:dyDescent="0.25">
      <c r="A151">
        <v>23441</v>
      </c>
      <c r="B151">
        <v>0.5615045013850416</v>
      </c>
    </row>
    <row r="152" spans="1:2" x14ac:dyDescent="0.25">
      <c r="A152">
        <v>23247</v>
      </c>
      <c r="B152">
        <v>0.46742901568415351</v>
      </c>
    </row>
    <row r="153" spans="1:2" x14ac:dyDescent="0.25">
      <c r="A153">
        <v>25475</v>
      </c>
      <c r="B153">
        <v>0.21993455126388206</v>
      </c>
    </row>
    <row r="154" spans="1:2" x14ac:dyDescent="0.25">
      <c r="A154">
        <v>23326</v>
      </c>
      <c r="B154">
        <v>0.67651525843600768</v>
      </c>
    </row>
    <row r="155" spans="1:2" x14ac:dyDescent="0.25">
      <c r="A155">
        <v>23643</v>
      </c>
      <c r="B155">
        <v>2.5420018767018715E-2</v>
      </c>
    </row>
    <row r="156" spans="1:2" x14ac:dyDescent="0.25">
      <c r="A156">
        <v>23141</v>
      </c>
      <c r="B156">
        <v>0.16293509651383375</v>
      </c>
    </row>
    <row r="157" spans="1:2" x14ac:dyDescent="0.25">
      <c r="A157">
        <v>53217</v>
      </c>
      <c r="B157">
        <v>0.21894800307922546</v>
      </c>
    </row>
    <row r="158" spans="1:2" x14ac:dyDescent="0.25">
      <c r="A158">
        <v>23211</v>
      </c>
      <c r="B158">
        <v>5.9743141473910799E-2</v>
      </c>
    </row>
    <row r="159" spans="1:2" x14ac:dyDescent="0.25">
      <c r="A159">
        <v>23441</v>
      </c>
      <c r="B159">
        <v>0.52736790123456789</v>
      </c>
    </row>
    <row r="160" spans="1:2" x14ac:dyDescent="0.25">
      <c r="A160">
        <v>34271</v>
      </c>
      <c r="B160">
        <v>0.41168791585436704</v>
      </c>
    </row>
    <row r="161" spans="1:2" x14ac:dyDescent="0.25">
      <c r="A161">
        <v>23316</v>
      </c>
      <c r="B161">
        <v>0.72661971895017752</v>
      </c>
    </row>
    <row r="162" spans="1:2" x14ac:dyDescent="0.25">
      <c r="A162">
        <v>23171</v>
      </c>
      <c r="B162">
        <v>0.1457464160937979</v>
      </c>
    </row>
    <row r="163" spans="1:2" x14ac:dyDescent="0.25">
      <c r="A163">
        <v>35465</v>
      </c>
      <c r="B163">
        <v>0.2178646921977776</v>
      </c>
    </row>
    <row r="164" spans="1:2" x14ac:dyDescent="0.25">
      <c r="A164">
        <v>23263</v>
      </c>
      <c r="B164">
        <v>0.54803265306122451</v>
      </c>
    </row>
    <row r="165" spans="1:2" x14ac:dyDescent="0.25">
      <c r="A165">
        <v>23371</v>
      </c>
      <c r="B165">
        <v>0.13194444444444431</v>
      </c>
    </row>
    <row r="166" spans="1:2" x14ac:dyDescent="0.25">
      <c r="A166">
        <v>23255</v>
      </c>
      <c r="B166">
        <v>0.10140530847980667</v>
      </c>
    </row>
    <row r="167" spans="1:2" x14ac:dyDescent="0.25">
      <c r="A167">
        <v>53217</v>
      </c>
      <c r="B167">
        <v>0.21957777777777765</v>
      </c>
    </row>
    <row r="168" spans="1:2" x14ac:dyDescent="0.25">
      <c r="A168">
        <v>23659</v>
      </c>
      <c r="B168">
        <v>1.3669366587028664E-2</v>
      </c>
    </row>
    <row r="169" spans="1:2" x14ac:dyDescent="0.25">
      <c r="A169">
        <v>23453</v>
      </c>
      <c r="B169">
        <v>0.15698934911242612</v>
      </c>
    </row>
    <row r="170" spans="1:2" x14ac:dyDescent="0.25">
      <c r="A170">
        <v>23346</v>
      </c>
      <c r="B170">
        <v>0.48141798720949303</v>
      </c>
    </row>
    <row r="171" spans="1:2" x14ac:dyDescent="0.25">
      <c r="A171">
        <v>37329</v>
      </c>
      <c r="B171">
        <v>6.7954459048840121E-3</v>
      </c>
    </row>
    <row r="172" spans="1:2" x14ac:dyDescent="0.25">
      <c r="A172">
        <v>37341</v>
      </c>
      <c r="B172">
        <v>7.745402399457757E-3</v>
      </c>
    </row>
    <row r="173" spans="1:2" x14ac:dyDescent="0.25">
      <c r="A173">
        <v>37319</v>
      </c>
      <c r="B173">
        <v>1.7802955938848841E-2</v>
      </c>
    </row>
    <row r="174" spans="1:2" x14ac:dyDescent="0.25">
      <c r="A174">
        <v>62212</v>
      </c>
      <c r="B174">
        <v>0.10545877406575566</v>
      </c>
    </row>
    <row r="175" spans="1:2" x14ac:dyDescent="0.25">
      <c r="A175">
        <v>37315</v>
      </c>
      <c r="B175">
        <v>0.33856803110364353</v>
      </c>
    </row>
    <row r="176" spans="1:2" x14ac:dyDescent="0.25">
      <c r="A176">
        <v>37311</v>
      </c>
      <c r="B176">
        <v>0.30629391873608303</v>
      </c>
    </row>
    <row r="177" spans="1:2" x14ac:dyDescent="0.25">
      <c r="A177">
        <v>37347</v>
      </c>
      <c r="B177">
        <v>3.8967601345938352E-2</v>
      </c>
    </row>
    <row r="178" spans="1:2" x14ac:dyDescent="0.25">
      <c r="A178">
        <v>37333</v>
      </c>
      <c r="B178">
        <v>4.4223205777714769E-3</v>
      </c>
    </row>
    <row r="179" spans="1:2" x14ac:dyDescent="0.25">
      <c r="A179">
        <v>37344</v>
      </c>
      <c r="B179">
        <v>1.0858347749259423E-2</v>
      </c>
    </row>
    <row r="180" spans="1:2" x14ac:dyDescent="0.25">
      <c r="A180">
        <v>37317</v>
      </c>
      <c r="B180">
        <v>6.3809079446156547E-3</v>
      </c>
    </row>
    <row r="181" spans="1:2" x14ac:dyDescent="0.25">
      <c r="A181">
        <v>37313</v>
      </c>
      <c r="B181">
        <v>0.46217086620706194</v>
      </c>
    </row>
    <row r="182" spans="1:2" x14ac:dyDescent="0.25">
      <c r="A182">
        <v>37391</v>
      </c>
      <c r="B182">
        <v>1.9559351900525379E-2</v>
      </c>
    </row>
    <row r="183" spans="1:2" x14ac:dyDescent="0.25">
      <c r="A183">
        <v>37337</v>
      </c>
      <c r="B183">
        <v>1.0788896353158051E-2</v>
      </c>
    </row>
    <row r="184" spans="1:2" x14ac:dyDescent="0.25">
      <c r="A184">
        <v>37327</v>
      </c>
      <c r="B184">
        <v>0.14515834245952419</v>
      </c>
    </row>
    <row r="185" spans="1:2" x14ac:dyDescent="0.25">
      <c r="A185">
        <v>37365</v>
      </c>
      <c r="B185">
        <v>0.49228293801939038</v>
      </c>
    </row>
    <row r="186" spans="1:2" x14ac:dyDescent="0.25">
      <c r="A186">
        <v>37331</v>
      </c>
      <c r="B186">
        <v>0.47501079861195361</v>
      </c>
    </row>
    <row r="187" spans="1:2" x14ac:dyDescent="0.25">
      <c r="A187">
        <v>37363</v>
      </c>
      <c r="B187">
        <v>9.2647290457744336E-2</v>
      </c>
    </row>
    <row r="188" spans="1:2" x14ac:dyDescent="0.25">
      <c r="A188">
        <v>37361</v>
      </c>
      <c r="B188">
        <v>1.0648216425438117E-2</v>
      </c>
    </row>
    <row r="189" spans="1:2" x14ac:dyDescent="0.25">
      <c r="A189">
        <v>37343</v>
      </c>
      <c r="B189">
        <v>3.230567258096162E-2</v>
      </c>
    </row>
    <row r="190" spans="1:2" x14ac:dyDescent="0.25">
      <c r="A190">
        <v>37367</v>
      </c>
      <c r="B190">
        <v>5.0968825184949496E-2</v>
      </c>
    </row>
    <row r="191" spans="1:2" x14ac:dyDescent="0.25">
      <c r="A191">
        <v>37377</v>
      </c>
      <c r="B191">
        <v>4.0898715443936862E-2</v>
      </c>
    </row>
    <row r="192" spans="1:2" x14ac:dyDescent="0.25">
      <c r="A192">
        <v>37323</v>
      </c>
      <c r="B192">
        <v>5.3775006652243551E-3</v>
      </c>
    </row>
    <row r="193" spans="1:2" x14ac:dyDescent="0.25">
      <c r="A193">
        <v>37325</v>
      </c>
      <c r="B193">
        <v>6.4740980168903617E-3</v>
      </c>
    </row>
    <row r="194" spans="1:2" x14ac:dyDescent="0.25">
      <c r="A194">
        <v>37339</v>
      </c>
      <c r="B194">
        <v>5.6847301288552865E-3</v>
      </c>
    </row>
    <row r="195" spans="1:2" x14ac:dyDescent="0.25">
      <c r="A195">
        <v>37382</v>
      </c>
      <c r="B195">
        <v>4.7477593771074744E-3</v>
      </c>
    </row>
    <row r="196" spans="1:2" x14ac:dyDescent="0.25">
      <c r="A196">
        <v>37369</v>
      </c>
      <c r="B196">
        <v>8.387669688699817E-2</v>
      </c>
    </row>
    <row r="197" spans="1:2" x14ac:dyDescent="0.25">
      <c r="A197">
        <v>37321</v>
      </c>
      <c r="B197">
        <v>2.0393732528862563E-2</v>
      </c>
    </row>
    <row r="198" spans="1:2" x14ac:dyDescent="0.25">
      <c r="A198">
        <v>37357</v>
      </c>
      <c r="B198">
        <v>4.1343569563931926E-3</v>
      </c>
    </row>
    <row r="199" spans="1:2" x14ac:dyDescent="0.25">
      <c r="A199">
        <v>37345</v>
      </c>
      <c r="B199">
        <v>5.7388333937167246E-3</v>
      </c>
    </row>
    <row r="200" spans="1:2" x14ac:dyDescent="0.25">
      <c r="A200">
        <v>37355</v>
      </c>
      <c r="B200">
        <v>0.13158841916946951</v>
      </c>
    </row>
    <row r="201" spans="1:2" x14ac:dyDescent="0.25">
      <c r="A201">
        <v>72291</v>
      </c>
      <c r="B201">
        <v>2.7845427284537427E-3</v>
      </c>
    </row>
    <row r="202" spans="1:2" x14ac:dyDescent="0.25">
      <c r="A202">
        <v>37373</v>
      </c>
      <c r="B202">
        <v>7.7051715574102841E-2</v>
      </c>
    </row>
    <row r="203" spans="1:2" x14ac:dyDescent="0.25">
      <c r="A203">
        <v>37371</v>
      </c>
      <c r="B203">
        <v>0.11302040050398077</v>
      </c>
    </row>
    <row r="204" spans="1:2" x14ac:dyDescent="0.25">
      <c r="A204">
        <v>37395</v>
      </c>
      <c r="B204">
        <v>1.1027645741789494E-2</v>
      </c>
    </row>
    <row r="205" spans="1:2" x14ac:dyDescent="0.25">
      <c r="A205">
        <v>37335</v>
      </c>
      <c r="B205">
        <v>0.1345817492485416</v>
      </c>
    </row>
    <row r="206" spans="1:2" x14ac:dyDescent="0.25">
      <c r="A206">
        <v>23365</v>
      </c>
      <c r="B206">
        <v>1.6982979034261048E-2</v>
      </c>
    </row>
    <row r="207" spans="1:2" x14ac:dyDescent="0.25">
      <c r="A207">
        <v>37351</v>
      </c>
      <c r="B207">
        <v>1.6771805721226385E-2</v>
      </c>
    </row>
    <row r="208" spans="1:2" x14ac:dyDescent="0.25">
      <c r="A208">
        <v>23651</v>
      </c>
      <c r="B208">
        <v>0.2023398703812811</v>
      </c>
    </row>
    <row r="209" spans="1:2" x14ac:dyDescent="0.25">
      <c r="A209">
        <v>37358</v>
      </c>
      <c r="B209">
        <v>0</v>
      </c>
    </row>
    <row r="210" spans="1:2" x14ac:dyDescent="0.25">
      <c r="A210">
        <v>32113</v>
      </c>
      <c r="B210">
        <v>0.2374997333333333</v>
      </c>
    </row>
    <row r="211" spans="1:2" x14ac:dyDescent="0.25">
      <c r="A211">
        <v>32157</v>
      </c>
      <c r="B211">
        <v>0.52229289192326145</v>
      </c>
    </row>
    <row r="212" spans="1:2" x14ac:dyDescent="0.25">
      <c r="A212">
        <v>32119</v>
      </c>
      <c r="B212">
        <v>0.2075497131564118</v>
      </c>
    </row>
    <row r="213" spans="1:2" x14ac:dyDescent="0.25">
      <c r="A213">
        <v>26273</v>
      </c>
      <c r="B213">
        <v>0.26216927297668047</v>
      </c>
    </row>
    <row r="214" spans="1:2" x14ac:dyDescent="0.25">
      <c r="A214">
        <v>32131</v>
      </c>
      <c r="B214">
        <v>0.16701896832846208</v>
      </c>
    </row>
    <row r="215" spans="1:2" x14ac:dyDescent="0.25">
      <c r="A215">
        <v>51267</v>
      </c>
      <c r="B215">
        <v>0.45629428774678749</v>
      </c>
    </row>
    <row r="216" spans="1:2" x14ac:dyDescent="0.25">
      <c r="A216">
        <v>32159</v>
      </c>
      <c r="B216">
        <v>0.2009475634083786</v>
      </c>
    </row>
    <row r="217" spans="1:2" x14ac:dyDescent="0.25">
      <c r="A217">
        <v>32111</v>
      </c>
      <c r="B217">
        <v>0.24897695237729567</v>
      </c>
    </row>
    <row r="218" spans="1:2" x14ac:dyDescent="0.25">
      <c r="A218">
        <v>32111</v>
      </c>
      <c r="B218">
        <v>0.18459700056686523</v>
      </c>
    </row>
    <row r="219" spans="1:2" x14ac:dyDescent="0.25">
      <c r="A219">
        <v>32181</v>
      </c>
      <c r="B219">
        <v>0.41158961869721244</v>
      </c>
    </row>
    <row r="220" spans="1:2" x14ac:dyDescent="0.25">
      <c r="A220">
        <v>32137</v>
      </c>
      <c r="B220">
        <v>0.3888734888882498</v>
      </c>
    </row>
    <row r="221" spans="1:2" x14ac:dyDescent="0.25">
      <c r="A221">
        <v>61222</v>
      </c>
      <c r="B221">
        <v>0.3061992772174581</v>
      </c>
    </row>
    <row r="222" spans="1:2" x14ac:dyDescent="0.25">
      <c r="A222">
        <v>32179</v>
      </c>
      <c r="B222">
        <v>0.56712363880937966</v>
      </c>
    </row>
    <row r="223" spans="1:2" x14ac:dyDescent="0.25">
      <c r="A223">
        <v>32125</v>
      </c>
      <c r="B223">
        <v>0.51345211971050986</v>
      </c>
    </row>
    <row r="224" spans="1:2" x14ac:dyDescent="0.25">
      <c r="A224">
        <v>36164</v>
      </c>
      <c r="B224">
        <v>0.32254560408438782</v>
      </c>
    </row>
    <row r="225" spans="1:2" x14ac:dyDescent="0.25">
      <c r="A225">
        <v>32191</v>
      </c>
      <c r="B225">
        <v>0.32748716906453335</v>
      </c>
    </row>
    <row r="226" spans="1:2" x14ac:dyDescent="0.25">
      <c r="A226">
        <v>32139</v>
      </c>
      <c r="B226">
        <v>0.14112489694142227</v>
      </c>
    </row>
    <row r="227" spans="1:2" x14ac:dyDescent="0.25">
      <c r="A227">
        <v>32117</v>
      </c>
      <c r="B227">
        <v>0.35417862360429919</v>
      </c>
    </row>
    <row r="228" spans="1:2" x14ac:dyDescent="0.25">
      <c r="A228">
        <v>32171</v>
      </c>
      <c r="B228">
        <v>0.23711739577511526</v>
      </c>
    </row>
    <row r="229" spans="1:2" x14ac:dyDescent="0.25">
      <c r="A229">
        <v>26273</v>
      </c>
      <c r="B229">
        <v>0.37496634965814379</v>
      </c>
    </row>
    <row r="230" spans="1:2" x14ac:dyDescent="0.25">
      <c r="A230">
        <v>32189</v>
      </c>
      <c r="B230">
        <v>0.55265766175562248</v>
      </c>
    </row>
    <row r="231" spans="1:2" x14ac:dyDescent="0.25">
      <c r="A231">
        <v>71351</v>
      </c>
      <c r="B231">
        <v>0.4150757915117318</v>
      </c>
    </row>
    <row r="232" spans="1:2" x14ac:dyDescent="0.25">
      <c r="A232">
        <v>32163</v>
      </c>
      <c r="B232">
        <v>7.187453545413991E-2</v>
      </c>
    </row>
    <row r="233" spans="1:2" x14ac:dyDescent="0.25">
      <c r="A233">
        <v>32121</v>
      </c>
      <c r="B233">
        <v>0.58610293874153374</v>
      </c>
    </row>
    <row r="234" spans="1:2" x14ac:dyDescent="0.25">
      <c r="A234">
        <v>32145</v>
      </c>
      <c r="B234">
        <v>0.36687557625199863</v>
      </c>
    </row>
    <row r="235" spans="1:2" x14ac:dyDescent="0.25">
      <c r="A235">
        <v>32155</v>
      </c>
      <c r="B235">
        <v>0.39100876691006481</v>
      </c>
    </row>
    <row r="236" spans="1:2" x14ac:dyDescent="0.25">
      <c r="A236">
        <v>53411</v>
      </c>
      <c r="B236">
        <v>5.1748261631522241E-2</v>
      </c>
    </row>
    <row r="237" spans="1:2" x14ac:dyDescent="0.25">
      <c r="A237">
        <v>26357</v>
      </c>
      <c r="B237">
        <v>0.15922985352725039</v>
      </c>
    </row>
    <row r="238" spans="1:2" x14ac:dyDescent="0.25">
      <c r="A238">
        <v>32127</v>
      </c>
      <c r="B238">
        <v>0.52761651654969888</v>
      </c>
    </row>
    <row r="239" spans="1:2" x14ac:dyDescent="0.25">
      <c r="A239">
        <v>26273</v>
      </c>
      <c r="B239">
        <v>0.51302820918547021</v>
      </c>
    </row>
    <row r="240" spans="1:2" x14ac:dyDescent="0.25">
      <c r="A240">
        <v>32147</v>
      </c>
      <c r="B240">
        <v>0.28657380557505718</v>
      </c>
    </row>
    <row r="241" spans="1:2" x14ac:dyDescent="0.25">
      <c r="A241">
        <v>32135</v>
      </c>
      <c r="B241">
        <v>0.14074955485437324</v>
      </c>
    </row>
    <row r="242" spans="1:2" x14ac:dyDescent="0.25">
      <c r="A242">
        <v>32129</v>
      </c>
      <c r="B242">
        <v>0.31044169505707975</v>
      </c>
    </row>
    <row r="243" spans="1:2" x14ac:dyDescent="0.25">
      <c r="A243">
        <v>32175</v>
      </c>
      <c r="B243">
        <v>0.19104591836734697</v>
      </c>
    </row>
    <row r="244" spans="1:2" x14ac:dyDescent="0.25">
      <c r="A244">
        <v>32169</v>
      </c>
      <c r="B244">
        <v>3.6037297239547406E-2</v>
      </c>
    </row>
    <row r="245" spans="1:2" x14ac:dyDescent="0.25">
      <c r="A245">
        <v>32133</v>
      </c>
      <c r="B245">
        <v>0.50452466489554393</v>
      </c>
    </row>
    <row r="246" spans="1:2" x14ac:dyDescent="0.25">
      <c r="A246">
        <v>32141</v>
      </c>
      <c r="B246">
        <v>0.17036011080332403</v>
      </c>
    </row>
    <row r="247" spans="1:2" x14ac:dyDescent="0.25">
      <c r="A247">
        <v>32195</v>
      </c>
      <c r="B247">
        <v>0.22476586888657657</v>
      </c>
    </row>
    <row r="248" spans="1:2" x14ac:dyDescent="0.25">
      <c r="A248">
        <v>32185</v>
      </c>
      <c r="B248">
        <v>0.5675025732771295</v>
      </c>
    </row>
    <row r="249" spans="1:2" x14ac:dyDescent="0.25">
      <c r="A249">
        <v>32153</v>
      </c>
      <c r="B249">
        <v>0.24136580781580397</v>
      </c>
    </row>
    <row r="250" spans="1:2" x14ac:dyDescent="0.25">
      <c r="A250">
        <v>32151</v>
      </c>
      <c r="B250">
        <v>0.233299181602864</v>
      </c>
    </row>
    <row r="251" spans="1:2" x14ac:dyDescent="0.25">
      <c r="A251">
        <v>32161</v>
      </c>
      <c r="B251">
        <v>5.043043894143906E-2</v>
      </c>
    </row>
    <row r="252" spans="1:2" x14ac:dyDescent="0.25">
      <c r="A252">
        <v>32185</v>
      </c>
      <c r="B252">
        <v>0.20734729482358716</v>
      </c>
    </row>
    <row r="253" spans="1:2" x14ac:dyDescent="0.25">
      <c r="A253">
        <v>22155</v>
      </c>
      <c r="B253">
        <v>0.5527455506169825</v>
      </c>
    </row>
    <row r="254" spans="1:2" x14ac:dyDescent="0.25">
      <c r="A254">
        <v>22211</v>
      </c>
      <c r="B254">
        <v>0.75790750901268611</v>
      </c>
    </row>
    <row r="255" spans="1:2" x14ac:dyDescent="0.25">
      <c r="A255">
        <v>22459</v>
      </c>
      <c r="B255">
        <v>0.46033648552276329</v>
      </c>
    </row>
    <row r="256" spans="1:2" x14ac:dyDescent="0.25">
      <c r="A256">
        <v>22111</v>
      </c>
      <c r="B256">
        <v>0.72392924426466365</v>
      </c>
    </row>
    <row r="257" spans="1:2" x14ac:dyDescent="0.25">
      <c r="A257">
        <v>22547</v>
      </c>
      <c r="B257">
        <v>0.19903649126843548</v>
      </c>
    </row>
    <row r="258" spans="1:2" x14ac:dyDescent="0.25">
      <c r="A258">
        <v>22228</v>
      </c>
      <c r="B258">
        <v>0.81932565009718106</v>
      </c>
    </row>
    <row r="259" spans="1:2" x14ac:dyDescent="0.25">
      <c r="A259">
        <v>22311</v>
      </c>
      <c r="B259">
        <v>0.77209716580525867</v>
      </c>
    </row>
    <row r="260" spans="1:2" x14ac:dyDescent="0.25">
      <c r="A260">
        <v>22611</v>
      </c>
      <c r="B260">
        <v>0.75943801174625036</v>
      </c>
    </row>
    <row r="261" spans="1:2" x14ac:dyDescent="0.25">
      <c r="A261">
        <v>22643</v>
      </c>
      <c r="B261">
        <v>0.44678307061819433</v>
      </c>
    </row>
    <row r="262" spans="1:2" x14ac:dyDescent="0.25">
      <c r="A262">
        <v>22659</v>
      </c>
      <c r="B262">
        <v>0.56121410080521605</v>
      </c>
    </row>
    <row r="263" spans="1:2" x14ac:dyDescent="0.25">
      <c r="A263">
        <v>22797</v>
      </c>
      <c r="B263">
        <v>0.56176565322727456</v>
      </c>
    </row>
    <row r="264" spans="1:2" x14ac:dyDescent="0.25">
      <c r="A264">
        <v>22667</v>
      </c>
      <c r="B264">
        <v>0.61326891122053118</v>
      </c>
    </row>
    <row r="265" spans="1:2" x14ac:dyDescent="0.25">
      <c r="A265">
        <v>22754</v>
      </c>
      <c r="B265">
        <v>0.66884717978865638</v>
      </c>
    </row>
    <row r="266" spans="1:2" x14ac:dyDescent="0.25">
      <c r="A266">
        <v>54114</v>
      </c>
      <c r="B266">
        <v>0.84625004159297879</v>
      </c>
    </row>
    <row r="267" spans="1:2" x14ac:dyDescent="0.25">
      <c r="A267">
        <v>22483</v>
      </c>
      <c r="B267">
        <v>0.14471914518184459</v>
      </c>
    </row>
    <row r="268" spans="1:2" x14ac:dyDescent="0.25">
      <c r="A268">
        <v>22155</v>
      </c>
      <c r="B268">
        <v>0.72888404248111327</v>
      </c>
    </row>
    <row r="269" spans="1:2" x14ac:dyDescent="0.25">
      <c r="A269">
        <v>22744</v>
      </c>
      <c r="B269">
        <v>0.17788501685499425</v>
      </c>
    </row>
    <row r="270" spans="1:2" x14ac:dyDescent="0.25">
      <c r="A270">
        <v>22411</v>
      </c>
      <c r="B270">
        <v>0.5979259933209955</v>
      </c>
    </row>
    <row r="271" spans="1:2" x14ac:dyDescent="0.25">
      <c r="A271">
        <v>22511</v>
      </c>
      <c r="B271">
        <v>0.47951078238712674</v>
      </c>
    </row>
    <row r="272" spans="1:2" x14ac:dyDescent="0.25">
      <c r="A272">
        <v>22427</v>
      </c>
      <c r="B272">
        <v>0.54058084652594296</v>
      </c>
    </row>
    <row r="273" spans="1:2" x14ac:dyDescent="0.25">
      <c r="A273">
        <v>22535</v>
      </c>
      <c r="B273">
        <v>0.23669603544028484</v>
      </c>
    </row>
    <row r="274" spans="1:2" x14ac:dyDescent="0.25">
      <c r="A274">
        <v>22757</v>
      </c>
      <c r="B274">
        <v>0.54032157014710913</v>
      </c>
    </row>
    <row r="275" spans="1:2" x14ac:dyDescent="0.25">
      <c r="A275">
        <v>22711</v>
      </c>
      <c r="B275">
        <v>0.56666239316491795</v>
      </c>
    </row>
    <row r="276" spans="1:2" x14ac:dyDescent="0.25">
      <c r="A276">
        <v>22467</v>
      </c>
      <c r="B276">
        <v>0.65008797211965885</v>
      </c>
    </row>
    <row r="277" spans="1:2" x14ac:dyDescent="0.25">
      <c r="A277">
        <v>22375</v>
      </c>
      <c r="B277">
        <v>0.4981095080666299</v>
      </c>
    </row>
    <row r="278" spans="1:2" x14ac:dyDescent="0.25">
      <c r="A278">
        <v>22359</v>
      </c>
      <c r="B278">
        <v>0.54535201117066778</v>
      </c>
    </row>
    <row r="279" spans="1:2" x14ac:dyDescent="0.25">
      <c r="A279">
        <v>22443</v>
      </c>
      <c r="B279">
        <v>0.64414359519268038</v>
      </c>
    </row>
    <row r="280" spans="1:2" x14ac:dyDescent="0.25">
      <c r="A280">
        <v>22747</v>
      </c>
      <c r="B280">
        <v>0.49517009921654975</v>
      </c>
    </row>
    <row r="281" spans="1:2" x14ac:dyDescent="0.25">
      <c r="A281">
        <v>22155</v>
      </c>
      <c r="B281">
        <v>0.71731270978731976</v>
      </c>
    </row>
    <row r="282" spans="1:2" x14ac:dyDescent="0.25">
      <c r="A282">
        <v>25271</v>
      </c>
      <c r="B282">
        <v>0.17767591076270495</v>
      </c>
    </row>
    <row r="283" spans="1:2" x14ac:dyDescent="0.25">
      <c r="A283">
        <v>22595</v>
      </c>
      <c r="B283">
        <v>0.23847033060941081</v>
      </c>
    </row>
    <row r="284" spans="1:2" x14ac:dyDescent="0.25">
      <c r="A284">
        <v>22794</v>
      </c>
      <c r="B284">
        <v>0.43843821307711639</v>
      </c>
    </row>
    <row r="285" spans="1:2" x14ac:dyDescent="0.25">
      <c r="A285">
        <v>22262</v>
      </c>
      <c r="B285">
        <v>0.76725867808966774</v>
      </c>
    </row>
    <row r="286" spans="1:2" x14ac:dyDescent="0.25">
      <c r="A286">
        <v>22423</v>
      </c>
      <c r="B286">
        <v>0.58970483118568429</v>
      </c>
    </row>
    <row r="287" spans="1:2" x14ac:dyDescent="0.25">
      <c r="A287">
        <v>22543</v>
      </c>
      <c r="B287">
        <v>0.19700173057275683</v>
      </c>
    </row>
    <row r="288" spans="1:2" x14ac:dyDescent="0.25">
      <c r="A288">
        <v>22351</v>
      </c>
      <c r="B288">
        <v>0.66043100186519277</v>
      </c>
    </row>
    <row r="289" spans="1:2" x14ac:dyDescent="0.25">
      <c r="A289">
        <v>22539</v>
      </c>
      <c r="B289">
        <v>0.13339458651542768</v>
      </c>
    </row>
    <row r="290" spans="1:2" x14ac:dyDescent="0.25">
      <c r="A290">
        <v>22675</v>
      </c>
      <c r="B290">
        <v>0.31069787387492753</v>
      </c>
    </row>
    <row r="291" spans="1:2" x14ac:dyDescent="0.25">
      <c r="A291">
        <v>22591</v>
      </c>
      <c r="B291">
        <v>0.31701893488466126</v>
      </c>
    </row>
    <row r="292" spans="1:2" x14ac:dyDescent="0.25">
      <c r="A292">
        <v>22475</v>
      </c>
      <c r="B292">
        <v>0.33589465656341888</v>
      </c>
    </row>
    <row r="293" spans="1:2" x14ac:dyDescent="0.25">
      <c r="A293">
        <v>22327</v>
      </c>
      <c r="B293">
        <v>0.63634284689219089</v>
      </c>
    </row>
    <row r="294" spans="1:2" x14ac:dyDescent="0.25">
      <c r="A294">
        <v>22774</v>
      </c>
      <c r="B294">
        <v>0.12199467465748604</v>
      </c>
    </row>
    <row r="295" spans="1:2" x14ac:dyDescent="0.25">
      <c r="A295">
        <v>22335</v>
      </c>
      <c r="B295">
        <v>0.66767619604355688</v>
      </c>
    </row>
    <row r="296" spans="1:2" x14ac:dyDescent="0.25">
      <c r="A296">
        <v>22555</v>
      </c>
      <c r="B296">
        <v>0.60324115444994564</v>
      </c>
    </row>
    <row r="297" spans="1:2" x14ac:dyDescent="0.25">
      <c r="A297">
        <v>22419</v>
      </c>
      <c r="B297">
        <v>0.5765196460069667</v>
      </c>
    </row>
    <row r="298" spans="1:2" x14ac:dyDescent="0.25">
      <c r="A298">
        <v>22439</v>
      </c>
      <c r="B298">
        <v>0.58888969777367939</v>
      </c>
    </row>
    <row r="299" spans="1:2" x14ac:dyDescent="0.25">
      <c r="A299">
        <v>22391</v>
      </c>
      <c r="B299">
        <v>0.64508921446583045</v>
      </c>
    </row>
    <row r="300" spans="1:2" x14ac:dyDescent="0.25">
      <c r="A300">
        <v>22319</v>
      </c>
      <c r="B300">
        <v>0.77826988071998005</v>
      </c>
    </row>
    <row r="301" spans="1:2" x14ac:dyDescent="0.25">
      <c r="A301">
        <v>22627</v>
      </c>
      <c r="B301">
        <v>0.23555788819306089</v>
      </c>
    </row>
    <row r="302" spans="1:2" x14ac:dyDescent="0.25">
      <c r="A302">
        <v>22571</v>
      </c>
      <c r="B302">
        <v>0.18499070378927551</v>
      </c>
    </row>
    <row r="303" spans="1:2" x14ac:dyDescent="0.25">
      <c r="A303">
        <v>22797</v>
      </c>
      <c r="B303">
        <v>0.31769902970263741</v>
      </c>
    </row>
    <row r="304" spans="1:2" x14ac:dyDescent="0.25">
      <c r="A304">
        <v>22731</v>
      </c>
      <c r="B304">
        <v>0.62248409454484954</v>
      </c>
    </row>
    <row r="305" spans="1:2" x14ac:dyDescent="0.25">
      <c r="A305">
        <v>22531</v>
      </c>
      <c r="B305">
        <v>0.21440334890074153</v>
      </c>
    </row>
    <row r="306" spans="1:2" x14ac:dyDescent="0.25">
      <c r="A306">
        <v>22727</v>
      </c>
      <c r="B306">
        <v>0.38525665143778554</v>
      </c>
    </row>
    <row r="307" spans="1:2" x14ac:dyDescent="0.25">
      <c r="A307">
        <v>22559</v>
      </c>
      <c r="B307">
        <v>0.2284088493080656</v>
      </c>
    </row>
    <row r="308" spans="1:2" x14ac:dyDescent="0.25">
      <c r="A308">
        <v>22741</v>
      </c>
      <c r="B308">
        <v>0.10633528559352734</v>
      </c>
    </row>
    <row r="309" spans="1:2" x14ac:dyDescent="0.25">
      <c r="A309">
        <v>74158</v>
      </c>
      <c r="B309">
        <v>0.25803531009506553</v>
      </c>
    </row>
    <row r="310" spans="1:2" x14ac:dyDescent="0.25">
      <c r="A310">
        <v>22767</v>
      </c>
      <c r="B310">
        <v>0.28307794057251356</v>
      </c>
    </row>
    <row r="311" spans="1:2" x14ac:dyDescent="0.25">
      <c r="A311">
        <v>22733</v>
      </c>
      <c r="B311">
        <v>0.4067965698971453</v>
      </c>
    </row>
    <row r="312" spans="1:2" x14ac:dyDescent="0.25">
      <c r="A312">
        <v>22587</v>
      </c>
      <c r="B312">
        <v>0.70615697358352514</v>
      </c>
    </row>
    <row r="313" spans="1:2" x14ac:dyDescent="0.25">
      <c r="A313">
        <v>35265</v>
      </c>
      <c r="B313">
        <v>0.68893867587731261</v>
      </c>
    </row>
    <row r="314" spans="1:2" x14ac:dyDescent="0.25">
      <c r="A314">
        <v>22619</v>
      </c>
      <c r="B314">
        <v>0.49534723853527007</v>
      </c>
    </row>
    <row r="315" spans="1:2" x14ac:dyDescent="0.25">
      <c r="A315">
        <v>55141</v>
      </c>
      <c r="B315">
        <v>0.63953862812657092</v>
      </c>
    </row>
    <row r="316" spans="1:2" x14ac:dyDescent="0.25">
      <c r="A316">
        <v>22717</v>
      </c>
      <c r="B316">
        <v>0.21031084663482513</v>
      </c>
    </row>
    <row r="317" spans="1:2" x14ac:dyDescent="0.25">
      <c r="A317">
        <v>22531</v>
      </c>
      <c r="B317">
        <v>0.21770685705152104</v>
      </c>
    </row>
    <row r="318" spans="1:2" x14ac:dyDescent="0.25">
      <c r="A318">
        <v>22791</v>
      </c>
      <c r="B318">
        <v>0.58686250000000006</v>
      </c>
    </row>
    <row r="319" spans="1:2" x14ac:dyDescent="0.25">
      <c r="A319">
        <v>22155</v>
      </c>
      <c r="B319">
        <v>0.79703109988924936</v>
      </c>
    </row>
    <row r="320" spans="1:2" x14ac:dyDescent="0.25">
      <c r="A320">
        <v>54119</v>
      </c>
      <c r="B320">
        <v>0.24373958767180337</v>
      </c>
    </row>
    <row r="321" spans="1:2" x14ac:dyDescent="0.25">
      <c r="A321">
        <v>22734</v>
      </c>
      <c r="B321">
        <v>0.31873610441407796</v>
      </c>
    </row>
    <row r="322" spans="1:2" x14ac:dyDescent="0.25">
      <c r="A322">
        <v>22471</v>
      </c>
      <c r="B322">
        <v>0.38633704699883464</v>
      </c>
    </row>
    <row r="323" spans="1:2" x14ac:dyDescent="0.25">
      <c r="A323">
        <v>22777</v>
      </c>
      <c r="B323">
        <v>0.58774670573851617</v>
      </c>
    </row>
    <row r="324" spans="1:2" x14ac:dyDescent="0.25">
      <c r="A324">
        <v>22447</v>
      </c>
      <c r="B324">
        <v>0.43265943877551016</v>
      </c>
    </row>
    <row r="325" spans="1:2" x14ac:dyDescent="0.25">
      <c r="A325">
        <v>22764</v>
      </c>
      <c r="B325">
        <v>0.2660443694622836</v>
      </c>
    </row>
    <row r="326" spans="1:2" x14ac:dyDescent="0.25">
      <c r="A326">
        <v>22761</v>
      </c>
      <c r="B326">
        <v>0.21308992346938749</v>
      </c>
    </row>
    <row r="327" spans="1:2" x14ac:dyDescent="0.25">
      <c r="A327">
        <v>22567</v>
      </c>
      <c r="B327">
        <v>6.8909938504264967E-2</v>
      </c>
    </row>
    <row r="328" spans="1:2" x14ac:dyDescent="0.25">
      <c r="A328">
        <v>22431</v>
      </c>
      <c r="B328">
        <v>0.54902972509524284</v>
      </c>
    </row>
    <row r="329" spans="1:2" x14ac:dyDescent="0.25">
      <c r="A329">
        <v>22799</v>
      </c>
      <c r="B329">
        <v>0.43839624237478747</v>
      </c>
    </row>
    <row r="330" spans="1:2" x14ac:dyDescent="0.25">
      <c r="A330">
        <v>25391</v>
      </c>
      <c r="B330">
        <v>0.34304022783908883</v>
      </c>
    </row>
    <row r="331" spans="1:2" x14ac:dyDescent="0.25">
      <c r="A331">
        <v>22737</v>
      </c>
      <c r="B331">
        <v>0.50415027225339126</v>
      </c>
    </row>
    <row r="332" spans="1:2" x14ac:dyDescent="0.25">
      <c r="A332">
        <v>22463</v>
      </c>
      <c r="B332">
        <v>0.32416284052647659</v>
      </c>
    </row>
    <row r="333" spans="1:2" x14ac:dyDescent="0.25">
      <c r="A333">
        <v>23651</v>
      </c>
      <c r="B333">
        <v>0.22628325718892761</v>
      </c>
    </row>
    <row r="334" spans="1:2" x14ac:dyDescent="0.25">
      <c r="A334">
        <v>22455</v>
      </c>
      <c r="B334">
        <v>0.36744796363206689</v>
      </c>
    </row>
    <row r="335" spans="1:2" x14ac:dyDescent="0.25">
      <c r="A335">
        <v>22279</v>
      </c>
      <c r="B335">
        <v>0.59929074347866551</v>
      </c>
    </row>
    <row r="336" spans="1:2" x14ac:dyDescent="0.25">
      <c r="A336">
        <v>26273</v>
      </c>
      <c r="B336">
        <v>0.60432340081273339</v>
      </c>
    </row>
    <row r="337" spans="1:2" x14ac:dyDescent="0.25">
      <c r="A337">
        <v>22527</v>
      </c>
      <c r="B337">
        <v>0.18912249864791753</v>
      </c>
    </row>
    <row r="338" spans="1:2" x14ac:dyDescent="0.25">
      <c r="A338">
        <v>22722</v>
      </c>
      <c r="B338">
        <v>0.20764970757207168</v>
      </c>
    </row>
    <row r="339" spans="1:2" x14ac:dyDescent="0.25">
      <c r="A339">
        <v>22551</v>
      </c>
      <c r="B339">
        <v>0.3418445864033518</v>
      </c>
    </row>
    <row r="340" spans="1:2" x14ac:dyDescent="0.25">
      <c r="A340">
        <v>22787</v>
      </c>
      <c r="B340">
        <v>0.64871458059673492</v>
      </c>
    </row>
    <row r="341" spans="1:2" x14ac:dyDescent="0.25">
      <c r="A341">
        <v>22451</v>
      </c>
      <c r="B341">
        <v>0.46822636458892841</v>
      </c>
    </row>
    <row r="342" spans="1:2" x14ac:dyDescent="0.25">
      <c r="A342">
        <v>22579</v>
      </c>
      <c r="B342">
        <v>0.16408317580340281</v>
      </c>
    </row>
    <row r="343" spans="1:2" x14ac:dyDescent="0.25">
      <c r="A343">
        <v>22563</v>
      </c>
      <c r="B343">
        <v>0.29351740696278505</v>
      </c>
    </row>
    <row r="344" spans="1:2" x14ac:dyDescent="0.25">
      <c r="A344">
        <v>22784</v>
      </c>
      <c r="B344">
        <v>0.22577598219379225</v>
      </c>
    </row>
    <row r="345" spans="1:2" x14ac:dyDescent="0.25">
      <c r="A345">
        <v>35177</v>
      </c>
      <c r="B345">
        <v>0.28899954730647359</v>
      </c>
    </row>
    <row r="346" spans="1:2" x14ac:dyDescent="0.25">
      <c r="A346">
        <v>22714</v>
      </c>
      <c r="B346">
        <v>0.13748150887573973</v>
      </c>
    </row>
    <row r="347" spans="1:2" x14ac:dyDescent="0.25">
      <c r="A347">
        <v>74158</v>
      </c>
      <c r="B347">
        <v>0.4624298248994746</v>
      </c>
    </row>
    <row r="348" spans="1:2" x14ac:dyDescent="0.25">
      <c r="A348">
        <v>22683</v>
      </c>
      <c r="B348">
        <v>0.19606659624767364</v>
      </c>
    </row>
    <row r="349" spans="1:2" x14ac:dyDescent="0.25">
      <c r="A349">
        <v>22415</v>
      </c>
      <c r="B349">
        <v>0.27544581618655695</v>
      </c>
    </row>
    <row r="350" spans="1:2" x14ac:dyDescent="0.25">
      <c r="A350">
        <v>22519</v>
      </c>
      <c r="B350">
        <v>0.21854912764003676</v>
      </c>
    </row>
    <row r="351" spans="1:2" x14ac:dyDescent="0.25">
      <c r="A351">
        <v>22575</v>
      </c>
      <c r="B351">
        <v>0.25396825396825395</v>
      </c>
    </row>
    <row r="352" spans="1:2" x14ac:dyDescent="0.25">
      <c r="A352">
        <v>37251</v>
      </c>
      <c r="B352">
        <v>1.1952920423871971E-2</v>
      </c>
    </row>
    <row r="353" spans="1:2" x14ac:dyDescent="0.25">
      <c r="A353">
        <v>37271</v>
      </c>
      <c r="B353">
        <v>0.16190388194377814</v>
      </c>
    </row>
    <row r="354" spans="1:2" x14ac:dyDescent="0.25">
      <c r="A354">
        <v>37241</v>
      </c>
      <c r="B354">
        <v>1.3211084785234584E-2</v>
      </c>
    </row>
    <row r="355" spans="1:2" x14ac:dyDescent="0.25">
      <c r="A355">
        <v>63181</v>
      </c>
      <c r="B355">
        <v>9.0027620190753499E-3</v>
      </c>
    </row>
    <row r="356" spans="1:2" x14ac:dyDescent="0.25">
      <c r="A356">
        <v>37261</v>
      </c>
      <c r="B356">
        <v>9.9185323584933816E-3</v>
      </c>
    </row>
    <row r="357" spans="1:2" x14ac:dyDescent="0.25">
      <c r="A357">
        <v>37381</v>
      </c>
      <c r="B357">
        <v>0.16468038094319248</v>
      </c>
    </row>
    <row r="358" spans="1:2" x14ac:dyDescent="0.25">
      <c r="A358">
        <v>51365</v>
      </c>
      <c r="B358">
        <v>0.34506665775669065</v>
      </c>
    </row>
    <row r="359" spans="1:2" x14ac:dyDescent="0.25">
      <c r="A359">
        <v>35467</v>
      </c>
      <c r="B359">
        <v>2.4204342653182609E-2</v>
      </c>
    </row>
    <row r="360" spans="1:2" x14ac:dyDescent="0.25">
      <c r="A360">
        <v>71256</v>
      </c>
      <c r="B360">
        <v>4.8508188698873633E-2</v>
      </c>
    </row>
    <row r="361" spans="1:2" x14ac:dyDescent="0.25">
      <c r="A361">
        <v>71166</v>
      </c>
      <c r="B361">
        <v>4.6658172998762404E-2</v>
      </c>
    </row>
    <row r="362" spans="1:2" x14ac:dyDescent="0.25">
      <c r="A362">
        <v>71391</v>
      </c>
      <c r="B362">
        <v>3.2744230268021202E-2</v>
      </c>
    </row>
    <row r="363" spans="1:2" x14ac:dyDescent="0.25">
      <c r="A363">
        <v>71334</v>
      </c>
      <c r="B363">
        <v>5.0757280978916963E-2</v>
      </c>
    </row>
    <row r="364" spans="1:2" x14ac:dyDescent="0.25">
      <c r="A364">
        <v>23671</v>
      </c>
      <c r="B364">
        <v>0.42098503966572998</v>
      </c>
    </row>
    <row r="365" spans="1:2" x14ac:dyDescent="0.25">
      <c r="A365">
        <v>71361</v>
      </c>
      <c r="B365">
        <v>6.1331170318804973E-2</v>
      </c>
    </row>
    <row r="366" spans="1:2" x14ac:dyDescent="0.25">
      <c r="A366">
        <v>71111</v>
      </c>
      <c r="B366">
        <v>6.5879757097429881E-2</v>
      </c>
    </row>
    <row r="367" spans="1:2" x14ac:dyDescent="0.25">
      <c r="A367">
        <v>71111</v>
      </c>
      <c r="B367">
        <v>0.11744259988409811</v>
      </c>
    </row>
    <row r="368" spans="1:2" x14ac:dyDescent="0.25">
      <c r="A368">
        <v>71133</v>
      </c>
      <c r="B368">
        <v>6.1211284745902095E-2</v>
      </c>
    </row>
    <row r="369" spans="1:2" x14ac:dyDescent="0.25">
      <c r="A369">
        <v>25111</v>
      </c>
      <c r="B369">
        <v>0.16746408387599754</v>
      </c>
    </row>
    <row r="370" spans="1:2" x14ac:dyDescent="0.25">
      <c r="A370">
        <v>71281</v>
      </c>
      <c r="B370">
        <v>6.2730307266754437E-2</v>
      </c>
    </row>
    <row r="371" spans="1:2" x14ac:dyDescent="0.25">
      <c r="A371">
        <v>71113</v>
      </c>
      <c r="B371">
        <v>0.17089337481854461</v>
      </c>
    </row>
    <row r="372" spans="1:2" x14ac:dyDescent="0.25">
      <c r="A372">
        <v>71331</v>
      </c>
      <c r="B372">
        <v>3.7062975778546559E-2</v>
      </c>
    </row>
    <row r="373" spans="1:2" x14ac:dyDescent="0.25">
      <c r="A373">
        <v>71381</v>
      </c>
      <c r="B373">
        <v>3.8294372702422308E-2</v>
      </c>
    </row>
    <row r="374" spans="1:2" x14ac:dyDescent="0.25">
      <c r="A374">
        <v>71327</v>
      </c>
      <c r="B374">
        <v>6.4092362397351388E-2</v>
      </c>
    </row>
    <row r="375" spans="1:2" x14ac:dyDescent="0.25">
      <c r="A375">
        <v>71226</v>
      </c>
      <c r="B375">
        <v>6.1750035411481385E-2</v>
      </c>
    </row>
    <row r="376" spans="1:2" x14ac:dyDescent="0.25">
      <c r="A376">
        <v>71344</v>
      </c>
      <c r="B376">
        <v>5.7206426876626693E-2</v>
      </c>
    </row>
    <row r="377" spans="1:2" x14ac:dyDescent="0.25">
      <c r="A377">
        <v>71246</v>
      </c>
      <c r="B377">
        <v>5.7491160386995865E-2</v>
      </c>
    </row>
    <row r="378" spans="1:2" x14ac:dyDescent="0.25">
      <c r="A378">
        <v>71311</v>
      </c>
      <c r="B378">
        <v>9.7638683185543584E-2</v>
      </c>
    </row>
    <row r="379" spans="1:2" x14ac:dyDescent="0.25">
      <c r="A379">
        <v>71337</v>
      </c>
      <c r="B379">
        <v>2.5937976832823173E-2</v>
      </c>
    </row>
    <row r="380" spans="1:2" x14ac:dyDescent="0.25">
      <c r="A380">
        <v>71144</v>
      </c>
      <c r="B380">
        <v>4.9391770734968032E-2</v>
      </c>
    </row>
    <row r="381" spans="1:2" x14ac:dyDescent="0.25">
      <c r="A381">
        <v>71111</v>
      </c>
      <c r="B381">
        <v>9.7200142285070901E-2</v>
      </c>
    </row>
    <row r="382" spans="1:2" x14ac:dyDescent="0.25">
      <c r="A382">
        <v>71394</v>
      </c>
      <c r="B382">
        <v>3.2241995420824066E-2</v>
      </c>
    </row>
    <row r="383" spans="1:2" x14ac:dyDescent="0.25">
      <c r="A383">
        <v>71377</v>
      </c>
      <c r="B383">
        <v>5.3780278318394048E-2</v>
      </c>
    </row>
    <row r="384" spans="1:2" x14ac:dyDescent="0.25">
      <c r="A384">
        <v>71155</v>
      </c>
      <c r="B384">
        <v>8.1251291074497467E-2</v>
      </c>
    </row>
    <row r="385" spans="1:2" x14ac:dyDescent="0.25">
      <c r="A385">
        <v>71276</v>
      </c>
      <c r="B385">
        <v>0.18570733385502003</v>
      </c>
    </row>
    <row r="386" spans="1:2" x14ac:dyDescent="0.25">
      <c r="A386">
        <v>71347</v>
      </c>
      <c r="B386">
        <v>3.853610571045063E-2</v>
      </c>
    </row>
    <row r="387" spans="1:2" x14ac:dyDescent="0.25">
      <c r="A387">
        <v>71321</v>
      </c>
      <c r="B387">
        <v>4.940850110306727E-2</v>
      </c>
    </row>
    <row r="388" spans="1:2" x14ac:dyDescent="0.25">
      <c r="A388">
        <v>71261</v>
      </c>
      <c r="B388">
        <v>6.6495433789954372E-2</v>
      </c>
    </row>
    <row r="389" spans="1:2" x14ac:dyDescent="0.25">
      <c r="A389">
        <v>71367</v>
      </c>
      <c r="B389">
        <v>2.562008038443031E-2</v>
      </c>
    </row>
    <row r="390" spans="1:2" x14ac:dyDescent="0.25">
      <c r="A390">
        <v>71351</v>
      </c>
      <c r="B390">
        <v>3.503127126385952E-2</v>
      </c>
    </row>
    <row r="391" spans="1:2" x14ac:dyDescent="0.25">
      <c r="A391">
        <v>71364</v>
      </c>
      <c r="B391">
        <v>2.554754015332128E-2</v>
      </c>
    </row>
    <row r="392" spans="1:2" x14ac:dyDescent="0.25">
      <c r="A392">
        <v>71266</v>
      </c>
      <c r="B392">
        <v>6.1628806218861798E-2</v>
      </c>
    </row>
    <row r="393" spans="1:2" x14ac:dyDescent="0.25">
      <c r="A393">
        <v>63287</v>
      </c>
      <c r="B393">
        <v>5.0559029942287115E-2</v>
      </c>
    </row>
    <row r="394" spans="1:2" x14ac:dyDescent="0.25">
      <c r="A394">
        <v>21364</v>
      </c>
      <c r="B394">
        <v>2.9056384331343832E-2</v>
      </c>
    </row>
    <row r="395" spans="1:2" x14ac:dyDescent="0.25">
      <c r="A395">
        <v>71397</v>
      </c>
      <c r="B395">
        <v>3.398874251605899E-2</v>
      </c>
    </row>
    <row r="396" spans="1:2" x14ac:dyDescent="0.25">
      <c r="A396">
        <v>71231</v>
      </c>
      <c r="B396">
        <v>0.42143444407977393</v>
      </c>
    </row>
    <row r="397" spans="1:2" x14ac:dyDescent="0.25">
      <c r="A397">
        <v>25329</v>
      </c>
      <c r="B397">
        <v>0.59315458962854906</v>
      </c>
    </row>
    <row r="398" spans="1:2" x14ac:dyDescent="0.25">
      <c r="A398">
        <v>71221</v>
      </c>
      <c r="B398">
        <v>8.028418768439971E-2</v>
      </c>
    </row>
    <row r="399" spans="1:2" x14ac:dyDescent="0.25">
      <c r="A399">
        <v>26246</v>
      </c>
      <c r="B399">
        <v>6.167704738658375E-2</v>
      </c>
    </row>
    <row r="400" spans="1:2" x14ac:dyDescent="0.25">
      <c r="A400">
        <v>53217</v>
      </c>
      <c r="B400">
        <v>3.9359637188208674E-2</v>
      </c>
    </row>
    <row r="401" spans="1:2" x14ac:dyDescent="0.25">
      <c r="A401">
        <v>71271</v>
      </c>
      <c r="B401">
        <v>0.65816375580836395</v>
      </c>
    </row>
    <row r="402" spans="1:2" x14ac:dyDescent="0.25">
      <c r="A402">
        <v>71387</v>
      </c>
      <c r="B402">
        <v>3.0178197415961727E-2</v>
      </c>
    </row>
    <row r="403" spans="1:2" x14ac:dyDescent="0.25">
      <c r="A403">
        <v>71111</v>
      </c>
      <c r="B403">
        <v>0.65129286952259235</v>
      </c>
    </row>
    <row r="404" spans="1:2" x14ac:dyDescent="0.25">
      <c r="A404">
        <v>71324</v>
      </c>
      <c r="B404">
        <v>0.53439999999999999</v>
      </c>
    </row>
    <row r="405" spans="1:2" x14ac:dyDescent="0.25">
      <c r="A405">
        <v>36111</v>
      </c>
      <c r="B405">
        <v>0.12422759932375305</v>
      </c>
    </row>
    <row r="406" spans="1:2" x14ac:dyDescent="0.25">
      <c r="A406">
        <v>36131</v>
      </c>
      <c r="B406">
        <v>0.15450706911209455</v>
      </c>
    </row>
    <row r="407" spans="1:2" x14ac:dyDescent="0.25">
      <c r="A407">
        <v>36151</v>
      </c>
      <c r="B407">
        <v>3.6798041963344685E-2</v>
      </c>
    </row>
    <row r="408" spans="1:2" x14ac:dyDescent="0.25">
      <c r="A408">
        <v>36191</v>
      </c>
      <c r="B408">
        <v>0.11525005461955029</v>
      </c>
    </row>
    <row r="409" spans="1:2" x14ac:dyDescent="0.25">
      <c r="A409">
        <v>36124</v>
      </c>
      <c r="B409">
        <v>5.1211375421161942E-2</v>
      </c>
    </row>
    <row r="410" spans="1:2" x14ac:dyDescent="0.25">
      <c r="A410">
        <v>36184</v>
      </c>
      <c r="B410">
        <v>0.12628625220317258</v>
      </c>
    </row>
    <row r="411" spans="1:2" x14ac:dyDescent="0.25">
      <c r="A411">
        <v>36171</v>
      </c>
      <c r="B411">
        <v>0.12582157182143672</v>
      </c>
    </row>
    <row r="412" spans="1:2" x14ac:dyDescent="0.25">
      <c r="A412">
        <v>36111</v>
      </c>
      <c r="B412">
        <v>9.3760097036838408E-2</v>
      </c>
    </row>
    <row r="413" spans="1:2" x14ac:dyDescent="0.25">
      <c r="A413">
        <v>36147</v>
      </c>
      <c r="B413">
        <v>4.1686272059044072E-2</v>
      </c>
    </row>
    <row r="414" spans="1:2" x14ac:dyDescent="0.25">
      <c r="A414">
        <v>36111</v>
      </c>
      <c r="B414">
        <v>0.1505818582260946</v>
      </c>
    </row>
    <row r="415" spans="1:2" x14ac:dyDescent="0.25">
      <c r="A415">
        <v>36177</v>
      </c>
      <c r="B415">
        <v>8.7404945525168865E-2</v>
      </c>
    </row>
    <row r="416" spans="1:2" x14ac:dyDescent="0.25">
      <c r="A416">
        <v>36121</v>
      </c>
      <c r="B416">
        <v>9.5111268939393923E-2</v>
      </c>
    </row>
    <row r="417" spans="1:2" x14ac:dyDescent="0.25">
      <c r="A417">
        <v>36137</v>
      </c>
      <c r="B417">
        <v>8.4179045855601764E-2</v>
      </c>
    </row>
    <row r="418" spans="1:2" x14ac:dyDescent="0.25">
      <c r="A418">
        <v>36141</v>
      </c>
      <c r="B418">
        <v>4.6091493383742743E-2</v>
      </c>
    </row>
    <row r="419" spans="1:2" x14ac:dyDescent="0.25">
      <c r="A419">
        <v>36161</v>
      </c>
      <c r="B419">
        <v>5.9381380438096487E-2</v>
      </c>
    </row>
    <row r="420" spans="1:2" x14ac:dyDescent="0.25">
      <c r="A420">
        <v>36181</v>
      </c>
      <c r="B420">
        <v>0.12324506498151822</v>
      </c>
    </row>
    <row r="421" spans="1:2" x14ac:dyDescent="0.25">
      <c r="A421">
        <v>36144</v>
      </c>
      <c r="B421">
        <v>0.53045906508264473</v>
      </c>
    </row>
    <row r="422" spans="1:2" x14ac:dyDescent="0.25">
      <c r="A422">
        <v>36187</v>
      </c>
      <c r="B422">
        <v>0.13151097235012688</v>
      </c>
    </row>
    <row r="423" spans="1:2" x14ac:dyDescent="0.25">
      <c r="A423">
        <v>36111</v>
      </c>
      <c r="B423">
        <v>9.5105017066830722E-2</v>
      </c>
    </row>
    <row r="424" spans="1:2" x14ac:dyDescent="0.25">
      <c r="A424">
        <v>36134</v>
      </c>
      <c r="B424">
        <v>0.12714140596752788</v>
      </c>
    </row>
    <row r="425" spans="1:2" x14ac:dyDescent="0.25">
      <c r="A425">
        <v>36157</v>
      </c>
      <c r="B425">
        <v>0.11689597225312864</v>
      </c>
    </row>
    <row r="426" spans="1:2" x14ac:dyDescent="0.25">
      <c r="A426">
        <v>36114</v>
      </c>
      <c r="B426">
        <v>0.1254975079780557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101-46A0-473B-A23F-EE8C95E4DB2B}">
  <dimension ref="A1:B1"/>
  <sheetViews>
    <sheetView workbookViewId="0"/>
  </sheetViews>
  <sheetFormatPr defaultRowHeight="15" x14ac:dyDescent="0.25"/>
  <cols>
    <col min="1" max="1" width="44.28515625" bestFit="1" customWidth="1"/>
  </cols>
  <sheetData>
    <row r="1" spans="1:2" x14ac:dyDescent="0.25">
      <c r="A1" t="s">
        <v>1621</v>
      </c>
      <c r="B1" t="e">
        <f>_xlfn.FORECAST.LINEAR(G889,I2:$I$888,$G$2:$G$888)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1EE4-1711-4961-80C9-E28516E6229D}">
  <dimension ref="A1:K1628"/>
  <sheetViews>
    <sheetView topLeftCell="A1321" workbookViewId="0">
      <selection activeCell="G1618" sqref="G1618"/>
    </sheetView>
  </sheetViews>
  <sheetFormatPr defaultRowHeight="15" x14ac:dyDescent="0.25"/>
  <sheetData>
    <row r="1" spans="1:11" x14ac:dyDescent="0.25">
      <c r="A1" t="s">
        <v>1622</v>
      </c>
      <c r="B1" t="s">
        <v>3</v>
      </c>
      <c r="C1" t="s">
        <v>2</v>
      </c>
      <c r="D1" t="s">
        <v>1623</v>
      </c>
      <c r="E1" t="s">
        <v>1624</v>
      </c>
      <c r="F1" t="s">
        <v>1625</v>
      </c>
      <c r="G1" t="s">
        <v>1626</v>
      </c>
      <c r="H1" t="s">
        <v>1627</v>
      </c>
      <c r="I1" t="s">
        <v>1628</v>
      </c>
      <c r="J1" s="1" t="s">
        <v>1629</v>
      </c>
      <c r="K1" t="s">
        <v>1630</v>
      </c>
    </row>
    <row r="2" spans="1:11" x14ac:dyDescent="0.25">
      <c r="A2">
        <v>21111</v>
      </c>
      <c r="B2" t="s">
        <v>916</v>
      </c>
      <c r="C2" t="s">
        <v>1275</v>
      </c>
      <c r="D2" t="s">
        <v>1631</v>
      </c>
      <c r="E2">
        <v>62902</v>
      </c>
      <c r="F2">
        <v>7265</v>
      </c>
      <c r="G2">
        <v>1196</v>
      </c>
      <c r="H2">
        <v>158073</v>
      </c>
      <c r="I2">
        <v>9767</v>
      </c>
      <c r="J2">
        <v>239203</v>
      </c>
      <c r="K2">
        <f>COUNTIF(DF_Calculation!E:E,Table1[[#This Row],[ACS_CODE]])</f>
        <v>1</v>
      </c>
    </row>
    <row r="3" spans="1:11" x14ac:dyDescent="0.25">
      <c r="A3">
        <v>54111</v>
      </c>
      <c r="B3" t="s">
        <v>1201</v>
      </c>
      <c r="C3" t="s">
        <v>1200</v>
      </c>
      <c r="D3" t="s">
        <v>1632</v>
      </c>
      <c r="E3">
        <v>32481</v>
      </c>
      <c r="F3">
        <v>0</v>
      </c>
      <c r="G3">
        <v>0</v>
      </c>
      <c r="H3">
        <v>16704</v>
      </c>
      <c r="I3">
        <v>452</v>
      </c>
      <c r="J3">
        <v>49637</v>
      </c>
      <c r="K3">
        <f>COUNTIF(DF_Calculation!E:E,Table1[[#This Row],[ACS_CODE]])</f>
        <v>1</v>
      </c>
    </row>
    <row r="4" spans="1:11" x14ac:dyDescent="0.25">
      <c r="A4">
        <v>53231</v>
      </c>
      <c r="B4" t="s">
        <v>1201</v>
      </c>
      <c r="C4" t="s">
        <v>1266</v>
      </c>
      <c r="D4" t="s">
        <v>1633</v>
      </c>
      <c r="E4">
        <v>32445</v>
      </c>
      <c r="F4">
        <v>0</v>
      </c>
      <c r="G4">
        <v>0</v>
      </c>
      <c r="H4">
        <v>15105</v>
      </c>
      <c r="I4">
        <v>54</v>
      </c>
      <c r="J4">
        <v>47604</v>
      </c>
      <c r="K4">
        <f>COUNTIF(DF_Calculation!E:E,Table1[[#This Row],[ACS_CODE]])</f>
        <v>1</v>
      </c>
    </row>
    <row r="5" spans="1:11" x14ac:dyDescent="0.25">
      <c r="A5">
        <v>21177</v>
      </c>
      <c r="B5" t="s">
        <v>916</v>
      </c>
      <c r="C5" t="s">
        <v>1275</v>
      </c>
      <c r="D5" t="s">
        <v>1634</v>
      </c>
      <c r="E5">
        <v>27156</v>
      </c>
      <c r="F5">
        <v>9302</v>
      </c>
      <c r="G5">
        <v>1600</v>
      </c>
      <c r="H5">
        <v>90718</v>
      </c>
      <c r="I5">
        <v>1865</v>
      </c>
      <c r="J5">
        <v>130641</v>
      </c>
      <c r="K5">
        <f>COUNTIF(DF_Calculation!E:E,Table1[[#This Row],[ACS_CODE]])</f>
        <v>1</v>
      </c>
    </row>
    <row r="6" spans="1:11" x14ac:dyDescent="0.25">
      <c r="A6">
        <v>51267</v>
      </c>
      <c r="B6" t="s">
        <v>1260</v>
      </c>
      <c r="C6" t="s">
        <v>1259</v>
      </c>
      <c r="D6" t="s">
        <v>1635</v>
      </c>
      <c r="E6">
        <v>26652</v>
      </c>
      <c r="F6">
        <v>1626</v>
      </c>
      <c r="G6">
        <v>510</v>
      </c>
      <c r="H6">
        <v>8362</v>
      </c>
      <c r="I6">
        <v>154</v>
      </c>
      <c r="J6">
        <v>37304</v>
      </c>
      <c r="K6">
        <f>COUNTIF(DF_Calculation!E:E,Table1[[#This Row],[ACS_CODE]])</f>
        <v>1</v>
      </c>
    </row>
    <row r="7" spans="1:11" x14ac:dyDescent="0.25">
      <c r="A7">
        <v>24111</v>
      </c>
      <c r="B7" t="s">
        <v>916</v>
      </c>
      <c r="C7" t="s">
        <v>1282</v>
      </c>
      <c r="D7" t="s">
        <v>1636</v>
      </c>
      <c r="E7">
        <v>25798</v>
      </c>
      <c r="F7">
        <v>298</v>
      </c>
      <c r="G7">
        <v>0</v>
      </c>
      <c r="H7">
        <v>70316</v>
      </c>
      <c r="I7">
        <v>1760</v>
      </c>
      <c r="J7">
        <v>98172</v>
      </c>
      <c r="K7">
        <f>COUNTIF(DF_Calculation!E:E,Table1[[#This Row],[ACS_CODE]])</f>
        <v>1</v>
      </c>
    </row>
    <row r="8" spans="1:11" x14ac:dyDescent="0.25">
      <c r="A8">
        <v>22111</v>
      </c>
      <c r="B8" t="s">
        <v>916</v>
      </c>
      <c r="C8" t="s">
        <v>915</v>
      </c>
      <c r="D8" t="s">
        <v>914</v>
      </c>
      <c r="E8">
        <v>19017</v>
      </c>
      <c r="F8">
        <v>1038</v>
      </c>
      <c r="G8">
        <v>60</v>
      </c>
      <c r="H8">
        <v>70331</v>
      </c>
      <c r="I8">
        <v>10767</v>
      </c>
      <c r="J8">
        <v>101213</v>
      </c>
      <c r="K8">
        <f>COUNTIF(DF_Calculation!E:E,Table1[[#This Row],[ACS_CODE]])</f>
        <v>1</v>
      </c>
    </row>
    <row r="9" spans="1:11" x14ac:dyDescent="0.25">
      <c r="A9">
        <v>53111</v>
      </c>
      <c r="B9" t="s">
        <v>1201</v>
      </c>
      <c r="C9" t="s">
        <v>1266</v>
      </c>
      <c r="D9" t="s">
        <v>1266</v>
      </c>
      <c r="E9">
        <v>18910</v>
      </c>
      <c r="F9">
        <v>2228</v>
      </c>
      <c r="G9">
        <v>1251</v>
      </c>
      <c r="H9">
        <v>42977</v>
      </c>
      <c r="I9">
        <v>192</v>
      </c>
      <c r="J9">
        <v>65558</v>
      </c>
      <c r="K9">
        <f>COUNTIF(DF_Calculation!E:E,Table1[[#This Row],[ACS_CODE]])</f>
        <v>1</v>
      </c>
    </row>
    <row r="10" spans="1:11" x14ac:dyDescent="0.25">
      <c r="A10">
        <v>37231</v>
      </c>
      <c r="B10" t="s">
        <v>919</v>
      </c>
      <c r="C10" t="s">
        <v>918</v>
      </c>
      <c r="D10" t="s">
        <v>1637</v>
      </c>
      <c r="E10">
        <v>18030</v>
      </c>
      <c r="F10">
        <v>15044</v>
      </c>
      <c r="G10">
        <v>1833</v>
      </c>
      <c r="H10">
        <v>28120</v>
      </c>
      <c r="I10">
        <v>89</v>
      </c>
      <c r="J10">
        <v>63116</v>
      </c>
      <c r="K10">
        <f>COUNTIF(DF_Calculation!E:E,Table1[[#This Row],[ACS_CODE]])</f>
        <v>1</v>
      </c>
    </row>
    <row r="11" spans="1:11" x14ac:dyDescent="0.25">
      <c r="A11">
        <v>51234</v>
      </c>
      <c r="B11" t="s">
        <v>1260</v>
      </c>
      <c r="C11" t="s">
        <v>1259</v>
      </c>
      <c r="D11" t="s">
        <v>1638</v>
      </c>
      <c r="E11">
        <v>15732</v>
      </c>
      <c r="F11">
        <v>1626</v>
      </c>
      <c r="G11">
        <v>0</v>
      </c>
      <c r="H11">
        <v>8868</v>
      </c>
      <c r="I11">
        <v>155</v>
      </c>
      <c r="J11">
        <v>26381</v>
      </c>
      <c r="K11">
        <f>COUNTIF(DF_Calculation!E:E,Table1[[#This Row],[ACS_CODE]])</f>
        <v>1</v>
      </c>
    </row>
    <row r="12" spans="1:11" x14ac:dyDescent="0.25">
      <c r="A12">
        <v>52277</v>
      </c>
      <c r="B12" t="s">
        <v>1260</v>
      </c>
      <c r="C12" t="s">
        <v>1323</v>
      </c>
      <c r="D12" t="s">
        <v>1639</v>
      </c>
      <c r="E12">
        <v>14463</v>
      </c>
      <c r="F12">
        <v>339</v>
      </c>
      <c r="G12">
        <v>0</v>
      </c>
      <c r="H12">
        <v>3401</v>
      </c>
      <c r="I12">
        <v>275</v>
      </c>
      <c r="J12">
        <v>18478</v>
      </c>
      <c r="K12">
        <f>COUNTIF(DF_Calculation!E:E,Table1[[#This Row],[ACS_CODE]])</f>
        <v>1</v>
      </c>
    </row>
    <row r="13" spans="1:11" x14ac:dyDescent="0.25">
      <c r="A13">
        <v>35512</v>
      </c>
      <c r="B13" t="s">
        <v>991</v>
      </c>
      <c r="C13" t="s">
        <v>991</v>
      </c>
      <c r="D13" t="s">
        <v>1640</v>
      </c>
      <c r="E13">
        <v>13465</v>
      </c>
      <c r="F13">
        <v>0</v>
      </c>
      <c r="G13">
        <v>0</v>
      </c>
      <c r="H13">
        <v>6881</v>
      </c>
      <c r="I13">
        <v>63</v>
      </c>
      <c r="J13">
        <v>20409</v>
      </c>
      <c r="K13">
        <f>COUNTIF(DF_Calculation!E:E,Table1[[#This Row],[ACS_CODE]])</f>
        <v>1</v>
      </c>
    </row>
    <row r="14" spans="1:11" x14ac:dyDescent="0.25">
      <c r="A14">
        <v>53241</v>
      </c>
      <c r="B14" t="s">
        <v>1201</v>
      </c>
      <c r="C14" t="s">
        <v>1266</v>
      </c>
      <c r="D14" t="s">
        <v>1641</v>
      </c>
      <c r="E14">
        <v>12856</v>
      </c>
      <c r="F14">
        <v>0</v>
      </c>
      <c r="G14">
        <v>0</v>
      </c>
      <c r="H14">
        <v>2978</v>
      </c>
      <c r="I14">
        <v>25</v>
      </c>
      <c r="J14">
        <v>15859</v>
      </c>
      <c r="K14">
        <f>COUNTIF(DF_Calculation!E:E,Table1[[#This Row],[ACS_CODE]])</f>
        <v>1</v>
      </c>
    </row>
    <row r="15" spans="1:11" x14ac:dyDescent="0.25">
      <c r="A15">
        <v>31161</v>
      </c>
      <c r="B15" t="s">
        <v>919</v>
      </c>
      <c r="C15" t="s">
        <v>1255</v>
      </c>
      <c r="D15" t="s">
        <v>1642</v>
      </c>
      <c r="E15">
        <v>12730</v>
      </c>
      <c r="F15">
        <v>208</v>
      </c>
      <c r="G15">
        <v>0</v>
      </c>
      <c r="H15">
        <v>15084</v>
      </c>
      <c r="I15">
        <v>21</v>
      </c>
      <c r="J15">
        <v>28043</v>
      </c>
      <c r="K15">
        <f>COUNTIF(DF_Calculation!E:E,Table1[[#This Row],[ACS_CODE]])</f>
        <v>1</v>
      </c>
    </row>
    <row r="16" spans="1:11" x14ac:dyDescent="0.25">
      <c r="A16">
        <v>10310</v>
      </c>
      <c r="B16" t="s">
        <v>1315</v>
      </c>
      <c r="C16" t="s">
        <v>1315</v>
      </c>
      <c r="D16" t="s">
        <v>1643</v>
      </c>
      <c r="E16">
        <v>11598</v>
      </c>
      <c r="F16">
        <v>5395</v>
      </c>
      <c r="G16">
        <v>0</v>
      </c>
      <c r="H16">
        <v>66709</v>
      </c>
      <c r="I16">
        <v>5183</v>
      </c>
      <c r="J16">
        <v>88885</v>
      </c>
      <c r="K16">
        <f>COUNTIF(DF_Calculation!E:E,Table1[[#This Row],[ACS_CODE]])</f>
        <v>1</v>
      </c>
    </row>
    <row r="17" spans="1:11" x14ac:dyDescent="0.25">
      <c r="A17">
        <v>24211</v>
      </c>
      <c r="B17" t="s">
        <v>916</v>
      </c>
      <c r="C17" t="s">
        <v>1282</v>
      </c>
      <c r="D17" t="s">
        <v>1644</v>
      </c>
      <c r="E17">
        <v>10866</v>
      </c>
      <c r="F17">
        <v>298</v>
      </c>
      <c r="G17">
        <v>0</v>
      </c>
      <c r="H17">
        <v>7680</v>
      </c>
      <c r="I17">
        <v>1930</v>
      </c>
      <c r="J17">
        <v>20774</v>
      </c>
      <c r="K17">
        <f>COUNTIF(DF_Calculation!E:E,Table1[[#This Row],[ACS_CODE]])</f>
        <v>1</v>
      </c>
    </row>
    <row r="18" spans="1:11" x14ac:dyDescent="0.25">
      <c r="A18">
        <v>52227</v>
      </c>
      <c r="B18" t="s">
        <v>1260</v>
      </c>
      <c r="C18" t="s">
        <v>1323</v>
      </c>
      <c r="D18" t="s">
        <v>1645</v>
      </c>
      <c r="E18">
        <v>10861</v>
      </c>
      <c r="F18">
        <v>0</v>
      </c>
      <c r="G18">
        <v>0</v>
      </c>
      <c r="H18">
        <v>4625</v>
      </c>
      <c r="I18">
        <v>165</v>
      </c>
      <c r="J18">
        <v>15651</v>
      </c>
      <c r="K18">
        <f>COUNTIF(DF_Calculation!E:E,Table1[[#This Row],[ACS_CODE]])</f>
        <v>1</v>
      </c>
    </row>
    <row r="19" spans="1:11" x14ac:dyDescent="0.25">
      <c r="A19">
        <v>51284</v>
      </c>
      <c r="B19" t="s">
        <v>1260</v>
      </c>
      <c r="C19" t="s">
        <v>1259</v>
      </c>
      <c r="D19" t="s">
        <v>1646</v>
      </c>
      <c r="E19">
        <v>10716</v>
      </c>
      <c r="F19">
        <v>0</v>
      </c>
      <c r="G19">
        <v>0</v>
      </c>
      <c r="H19">
        <v>6230</v>
      </c>
      <c r="I19">
        <v>200</v>
      </c>
      <c r="J19">
        <v>17146</v>
      </c>
      <c r="K19">
        <f>COUNTIF(DF_Calculation!E:E,Table1[[#This Row],[ACS_CODE]])</f>
        <v>1</v>
      </c>
    </row>
    <row r="20" spans="1:11" x14ac:dyDescent="0.25">
      <c r="A20">
        <v>51231</v>
      </c>
      <c r="B20" t="s">
        <v>1260</v>
      </c>
      <c r="C20" t="s">
        <v>1259</v>
      </c>
      <c r="D20" t="s">
        <v>1647</v>
      </c>
      <c r="E20">
        <v>10520</v>
      </c>
      <c r="F20">
        <v>1626</v>
      </c>
      <c r="G20">
        <v>0</v>
      </c>
      <c r="H20">
        <v>5597</v>
      </c>
      <c r="I20">
        <v>255</v>
      </c>
      <c r="J20">
        <v>17998</v>
      </c>
      <c r="K20">
        <f>COUNTIF(DF_Calculation!E:E,Table1[[#This Row],[ACS_CODE]])</f>
        <v>1</v>
      </c>
    </row>
    <row r="21" spans="1:11" x14ac:dyDescent="0.25">
      <c r="A21">
        <v>35277</v>
      </c>
      <c r="B21" t="s">
        <v>991</v>
      </c>
      <c r="C21" t="s">
        <v>991</v>
      </c>
      <c r="D21" t="s">
        <v>1648</v>
      </c>
      <c r="E21">
        <v>10223</v>
      </c>
      <c r="F21">
        <v>25733</v>
      </c>
      <c r="G21">
        <v>1383</v>
      </c>
      <c r="H21">
        <v>31383</v>
      </c>
      <c r="I21">
        <v>15</v>
      </c>
      <c r="J21">
        <v>68737</v>
      </c>
      <c r="K21">
        <f>COUNTIF(DF_Calculation!E:E,Table1[[#This Row],[ACS_CODE]])</f>
        <v>1</v>
      </c>
    </row>
    <row r="22" spans="1:11" x14ac:dyDescent="0.25">
      <c r="A22">
        <v>37271</v>
      </c>
      <c r="B22" t="s">
        <v>919</v>
      </c>
      <c r="C22" t="s">
        <v>918</v>
      </c>
      <c r="D22" t="s">
        <v>917</v>
      </c>
      <c r="E22">
        <v>9920</v>
      </c>
      <c r="F22">
        <v>0</v>
      </c>
      <c r="G22">
        <v>0</v>
      </c>
      <c r="H22">
        <v>21832</v>
      </c>
      <c r="I22">
        <v>66</v>
      </c>
      <c r="J22">
        <v>31818</v>
      </c>
      <c r="K22">
        <f>COUNTIF(DF_Calculation!E:E,Table1[[#This Row],[ACS_CODE]])</f>
        <v>1</v>
      </c>
    </row>
    <row r="23" spans="1:11" x14ac:dyDescent="0.25">
      <c r="A23">
        <v>35111</v>
      </c>
      <c r="B23" t="s">
        <v>991</v>
      </c>
      <c r="C23" t="s">
        <v>991</v>
      </c>
      <c r="D23" t="s">
        <v>1649</v>
      </c>
      <c r="E23">
        <v>9032</v>
      </c>
      <c r="F23">
        <v>0</v>
      </c>
      <c r="G23">
        <v>0</v>
      </c>
      <c r="H23">
        <v>6843</v>
      </c>
      <c r="I23">
        <v>21</v>
      </c>
      <c r="J23">
        <v>15896</v>
      </c>
      <c r="K23">
        <f>COUNTIF(DF_Calculation!E:E,Table1[[#This Row],[ACS_CODE]])</f>
        <v>1</v>
      </c>
    </row>
    <row r="24" spans="1:11" x14ac:dyDescent="0.25">
      <c r="A24">
        <v>51383</v>
      </c>
      <c r="B24" t="s">
        <v>1260</v>
      </c>
      <c r="C24" t="s">
        <v>1259</v>
      </c>
      <c r="D24" t="s">
        <v>1650</v>
      </c>
      <c r="E24">
        <v>8840</v>
      </c>
      <c r="F24">
        <v>0</v>
      </c>
      <c r="G24">
        <v>0</v>
      </c>
      <c r="H24">
        <v>980</v>
      </c>
      <c r="I24">
        <v>5</v>
      </c>
      <c r="J24">
        <v>9825</v>
      </c>
      <c r="K24">
        <f>COUNTIF(DF_Calculation!E:E,Table1[[#This Row],[ACS_CODE]])</f>
        <v>1</v>
      </c>
    </row>
    <row r="25" spans="1:11" x14ac:dyDescent="0.25">
      <c r="A25">
        <v>35275</v>
      </c>
      <c r="B25" t="s">
        <v>991</v>
      </c>
      <c r="C25" t="s">
        <v>991</v>
      </c>
      <c r="D25" t="s">
        <v>1651</v>
      </c>
      <c r="E25">
        <v>8534</v>
      </c>
      <c r="F25">
        <v>0</v>
      </c>
      <c r="G25">
        <v>0</v>
      </c>
      <c r="H25">
        <v>15002</v>
      </c>
      <c r="I25">
        <v>41</v>
      </c>
      <c r="J25">
        <v>23577</v>
      </c>
      <c r="K25">
        <f>COUNTIF(DF_Calculation!E:E,Table1[[#This Row],[ACS_CODE]])</f>
        <v>1</v>
      </c>
    </row>
    <row r="26" spans="1:11" x14ac:dyDescent="0.25">
      <c r="A26">
        <v>51111</v>
      </c>
      <c r="B26" t="s">
        <v>1260</v>
      </c>
      <c r="C26" t="s">
        <v>1259</v>
      </c>
      <c r="D26" t="s">
        <v>1652</v>
      </c>
      <c r="E26">
        <v>8113</v>
      </c>
      <c r="F26">
        <v>0</v>
      </c>
      <c r="G26">
        <v>0</v>
      </c>
      <c r="H26">
        <v>3276</v>
      </c>
      <c r="I26">
        <v>40</v>
      </c>
      <c r="J26">
        <v>11429</v>
      </c>
      <c r="K26">
        <f>COUNTIF(DF_Calculation!E:E,Table1[[#This Row],[ACS_CODE]])</f>
        <v>1</v>
      </c>
    </row>
    <row r="27" spans="1:11" x14ac:dyDescent="0.25">
      <c r="A27">
        <v>53453</v>
      </c>
      <c r="B27" t="s">
        <v>1201</v>
      </c>
      <c r="C27" t="s">
        <v>1266</v>
      </c>
      <c r="D27" t="s">
        <v>1653</v>
      </c>
      <c r="E27">
        <v>7938</v>
      </c>
      <c r="F27">
        <v>0</v>
      </c>
      <c r="G27">
        <v>0</v>
      </c>
      <c r="H27">
        <v>8550</v>
      </c>
      <c r="I27">
        <v>150</v>
      </c>
      <c r="J27">
        <v>16638</v>
      </c>
      <c r="K27">
        <f>COUNTIF(DF_Calculation!E:E,Table1[[#This Row],[ACS_CODE]])</f>
        <v>1</v>
      </c>
    </row>
    <row r="28" spans="1:11" x14ac:dyDescent="0.25">
      <c r="A28">
        <v>31111</v>
      </c>
      <c r="B28" t="s">
        <v>919</v>
      </c>
      <c r="C28" t="s">
        <v>1255</v>
      </c>
      <c r="D28" t="s">
        <v>1254</v>
      </c>
      <c r="E28">
        <v>7758</v>
      </c>
      <c r="F28">
        <v>207</v>
      </c>
      <c r="G28">
        <v>0</v>
      </c>
      <c r="H28">
        <v>3710</v>
      </c>
      <c r="I28">
        <v>320</v>
      </c>
      <c r="J28">
        <v>11995</v>
      </c>
      <c r="K28">
        <f>COUNTIF(DF_Calculation!E:E,Table1[[#This Row],[ACS_CODE]])</f>
        <v>1</v>
      </c>
    </row>
    <row r="29" spans="1:11" x14ac:dyDescent="0.25">
      <c r="A29">
        <v>24133</v>
      </c>
      <c r="B29" t="s">
        <v>916</v>
      </c>
      <c r="C29" t="s">
        <v>1282</v>
      </c>
      <c r="D29" t="s">
        <v>1654</v>
      </c>
      <c r="E29">
        <v>7659</v>
      </c>
      <c r="F29">
        <v>298</v>
      </c>
      <c r="G29">
        <v>0</v>
      </c>
      <c r="H29">
        <v>27554</v>
      </c>
      <c r="I29">
        <v>3726</v>
      </c>
      <c r="J29">
        <v>39237</v>
      </c>
      <c r="K29">
        <f>COUNTIF(DF_Calculation!E:E,Table1[[#This Row],[ACS_CODE]])</f>
        <v>1</v>
      </c>
    </row>
    <row r="30" spans="1:11" x14ac:dyDescent="0.25">
      <c r="A30">
        <v>10210</v>
      </c>
      <c r="B30" t="s">
        <v>1315</v>
      </c>
      <c r="C30" t="s">
        <v>1315</v>
      </c>
      <c r="D30" t="s">
        <v>1655</v>
      </c>
      <c r="E30">
        <v>6506</v>
      </c>
      <c r="F30">
        <v>1257</v>
      </c>
      <c r="G30">
        <v>493</v>
      </c>
      <c r="H30">
        <v>53146</v>
      </c>
      <c r="I30">
        <v>4928</v>
      </c>
      <c r="J30">
        <v>66330</v>
      </c>
      <c r="K30">
        <f>COUNTIF(DF_Calculation!E:E,Table1[[#This Row],[ACS_CODE]])</f>
        <v>1</v>
      </c>
    </row>
    <row r="31" spans="1:11" x14ac:dyDescent="0.25">
      <c r="A31">
        <v>23251</v>
      </c>
      <c r="B31" t="s">
        <v>916</v>
      </c>
      <c r="C31" t="s">
        <v>921</v>
      </c>
      <c r="D31" t="s">
        <v>920</v>
      </c>
      <c r="E31">
        <v>6446</v>
      </c>
      <c r="F31">
        <v>514</v>
      </c>
      <c r="G31">
        <v>0</v>
      </c>
      <c r="H31">
        <v>15985</v>
      </c>
      <c r="I31">
        <v>278</v>
      </c>
      <c r="J31">
        <v>23223</v>
      </c>
      <c r="K31">
        <f>COUNTIF(DF_Calculation!E:E,Table1[[#This Row],[ACS_CODE]])</f>
        <v>1</v>
      </c>
    </row>
    <row r="32" spans="1:11" x14ac:dyDescent="0.25">
      <c r="A32">
        <v>61115</v>
      </c>
      <c r="B32" t="s">
        <v>1270</v>
      </c>
      <c r="C32" t="s">
        <v>1288</v>
      </c>
      <c r="D32" t="s">
        <v>1656</v>
      </c>
      <c r="E32">
        <v>6249</v>
      </c>
      <c r="F32">
        <v>539</v>
      </c>
      <c r="G32">
        <v>0</v>
      </c>
      <c r="H32">
        <v>8391</v>
      </c>
      <c r="I32">
        <v>20</v>
      </c>
      <c r="J32">
        <v>15199</v>
      </c>
      <c r="K32">
        <f>COUNTIF(DF_Calculation!E:E,Table1[[#This Row],[ACS_CODE]])</f>
        <v>1</v>
      </c>
    </row>
    <row r="33" spans="1:11" x14ac:dyDescent="0.25">
      <c r="A33">
        <v>37291</v>
      </c>
      <c r="B33" t="s">
        <v>919</v>
      </c>
      <c r="C33" t="s">
        <v>918</v>
      </c>
      <c r="D33" t="s">
        <v>1256</v>
      </c>
      <c r="E33">
        <v>6235</v>
      </c>
      <c r="F33">
        <v>72</v>
      </c>
      <c r="G33">
        <v>0</v>
      </c>
      <c r="H33">
        <v>4494</v>
      </c>
      <c r="I33">
        <v>5</v>
      </c>
      <c r="J33">
        <v>10806</v>
      </c>
      <c r="K33">
        <f>COUNTIF(DF_Calculation!E:E,Table1[[#This Row],[ACS_CODE]])</f>
        <v>1</v>
      </c>
    </row>
    <row r="34" spans="1:11" x14ac:dyDescent="0.25">
      <c r="A34">
        <v>35516</v>
      </c>
      <c r="B34" t="s">
        <v>991</v>
      </c>
      <c r="C34" t="s">
        <v>991</v>
      </c>
      <c r="D34" t="s">
        <v>1657</v>
      </c>
      <c r="E34">
        <v>6194</v>
      </c>
      <c r="F34">
        <v>0</v>
      </c>
      <c r="G34">
        <v>0</v>
      </c>
      <c r="H34">
        <v>6487</v>
      </c>
      <c r="I34">
        <v>15</v>
      </c>
      <c r="J34">
        <v>12696</v>
      </c>
      <c r="K34">
        <f>COUNTIF(DF_Calculation!E:E,Table1[[#This Row],[ACS_CODE]])</f>
        <v>1</v>
      </c>
    </row>
    <row r="35" spans="1:11" x14ac:dyDescent="0.25">
      <c r="A35">
        <v>61453</v>
      </c>
      <c r="B35" t="s">
        <v>1270</v>
      </c>
      <c r="C35" t="s">
        <v>1288</v>
      </c>
      <c r="D35" t="s">
        <v>1658</v>
      </c>
      <c r="E35">
        <v>6147</v>
      </c>
      <c r="F35">
        <v>1221</v>
      </c>
      <c r="G35">
        <v>0</v>
      </c>
      <c r="H35">
        <v>3473</v>
      </c>
      <c r="I35">
        <v>204</v>
      </c>
      <c r="J35">
        <v>11045</v>
      </c>
      <c r="K35">
        <f>COUNTIF(DF_Calculation!E:E,Table1[[#This Row],[ACS_CODE]])</f>
        <v>1</v>
      </c>
    </row>
    <row r="36" spans="1:11" x14ac:dyDescent="0.25">
      <c r="A36">
        <v>35211</v>
      </c>
      <c r="B36" t="s">
        <v>991</v>
      </c>
      <c r="C36" t="s">
        <v>991</v>
      </c>
      <c r="D36" t="s">
        <v>1257</v>
      </c>
      <c r="E36">
        <v>6110</v>
      </c>
      <c r="F36">
        <v>0</v>
      </c>
      <c r="G36">
        <v>0</v>
      </c>
      <c r="H36">
        <v>2256</v>
      </c>
      <c r="I36">
        <v>22</v>
      </c>
      <c r="J36">
        <v>8388</v>
      </c>
      <c r="K36">
        <f>COUNTIF(DF_Calculation!E:E,Table1[[#This Row],[ACS_CODE]])</f>
        <v>1</v>
      </c>
    </row>
    <row r="37" spans="1:11" x14ac:dyDescent="0.25">
      <c r="A37">
        <v>52211</v>
      </c>
      <c r="B37" t="s">
        <v>1260</v>
      </c>
      <c r="C37" t="s">
        <v>1323</v>
      </c>
      <c r="D37" t="s">
        <v>1659</v>
      </c>
      <c r="E37">
        <v>6110</v>
      </c>
      <c r="F37">
        <v>338</v>
      </c>
      <c r="G37">
        <v>0</v>
      </c>
      <c r="H37">
        <v>5826</v>
      </c>
      <c r="I37">
        <v>98</v>
      </c>
      <c r="J37">
        <v>12372</v>
      </c>
      <c r="K37">
        <f>COUNTIF(DF_Calculation!E:E,Table1[[#This Row],[ACS_CODE]])</f>
        <v>1</v>
      </c>
    </row>
    <row r="38" spans="1:11" x14ac:dyDescent="0.25">
      <c r="A38">
        <v>10350</v>
      </c>
      <c r="B38" t="s">
        <v>1315</v>
      </c>
      <c r="C38" t="s">
        <v>1315</v>
      </c>
      <c r="D38" t="s">
        <v>1660</v>
      </c>
      <c r="E38">
        <v>5736</v>
      </c>
      <c r="F38">
        <v>0</v>
      </c>
      <c r="G38">
        <v>0</v>
      </c>
      <c r="H38">
        <v>9341</v>
      </c>
      <c r="I38">
        <v>1141</v>
      </c>
      <c r="J38">
        <v>16218</v>
      </c>
      <c r="K38">
        <f>COUNTIF(DF_Calculation!E:E,Table1[[#This Row],[ACS_CODE]])</f>
        <v>1</v>
      </c>
    </row>
    <row r="39" spans="1:11" x14ac:dyDescent="0.25">
      <c r="A39">
        <v>51125</v>
      </c>
      <c r="B39" t="s">
        <v>1260</v>
      </c>
      <c r="C39" t="s">
        <v>1259</v>
      </c>
      <c r="D39" t="s">
        <v>1258</v>
      </c>
      <c r="E39">
        <v>5681</v>
      </c>
      <c r="F39">
        <v>0</v>
      </c>
      <c r="G39">
        <v>0</v>
      </c>
      <c r="H39">
        <v>3095</v>
      </c>
      <c r="I39">
        <v>120</v>
      </c>
      <c r="J39">
        <v>8896</v>
      </c>
      <c r="K39">
        <f>COUNTIF(DF_Calculation!E:E,Table1[[#This Row],[ACS_CODE]])</f>
        <v>1</v>
      </c>
    </row>
    <row r="40" spans="1:11" x14ac:dyDescent="0.25">
      <c r="A40">
        <v>51121</v>
      </c>
      <c r="B40" t="s">
        <v>1260</v>
      </c>
      <c r="C40" t="s">
        <v>1259</v>
      </c>
      <c r="D40" t="s">
        <v>1661</v>
      </c>
      <c r="E40">
        <v>5614</v>
      </c>
      <c r="F40">
        <v>0</v>
      </c>
      <c r="G40">
        <v>1555</v>
      </c>
      <c r="H40">
        <v>9352</v>
      </c>
      <c r="I40">
        <v>70</v>
      </c>
      <c r="J40">
        <v>16591</v>
      </c>
      <c r="K40">
        <f>COUNTIF(DF_Calculation!E:E,Table1[[#This Row],[ACS_CODE]])</f>
        <v>1</v>
      </c>
    </row>
    <row r="41" spans="1:11" x14ac:dyDescent="0.25">
      <c r="A41">
        <v>35416</v>
      </c>
      <c r="B41" t="s">
        <v>991</v>
      </c>
      <c r="C41" t="s">
        <v>991</v>
      </c>
      <c r="D41" t="s">
        <v>1261</v>
      </c>
      <c r="E41">
        <v>5574</v>
      </c>
      <c r="F41">
        <v>0</v>
      </c>
      <c r="G41">
        <v>0</v>
      </c>
      <c r="H41">
        <v>1877</v>
      </c>
      <c r="I41">
        <v>3</v>
      </c>
      <c r="J41">
        <v>7454</v>
      </c>
      <c r="K41">
        <f>COUNTIF(DF_Calculation!E:E,Table1[[#This Row],[ACS_CODE]])</f>
        <v>1</v>
      </c>
    </row>
    <row r="42" spans="1:11" x14ac:dyDescent="0.25">
      <c r="A42">
        <v>23141</v>
      </c>
      <c r="B42" t="s">
        <v>916</v>
      </c>
      <c r="C42" t="s">
        <v>921</v>
      </c>
      <c r="D42" t="s">
        <v>922</v>
      </c>
      <c r="E42">
        <v>5490</v>
      </c>
      <c r="F42">
        <v>514</v>
      </c>
      <c r="G42">
        <v>0</v>
      </c>
      <c r="H42">
        <v>10111</v>
      </c>
      <c r="I42">
        <v>950</v>
      </c>
      <c r="J42">
        <v>17065</v>
      </c>
      <c r="K42">
        <f>COUNTIF(DF_Calculation!E:E,Table1[[#This Row],[ACS_CODE]])</f>
        <v>1</v>
      </c>
    </row>
    <row r="43" spans="1:11" x14ac:dyDescent="0.25">
      <c r="A43">
        <v>62111</v>
      </c>
      <c r="B43" t="s">
        <v>1270</v>
      </c>
      <c r="C43" t="s">
        <v>1269</v>
      </c>
      <c r="D43" t="s">
        <v>1269</v>
      </c>
      <c r="E43">
        <v>5482</v>
      </c>
      <c r="F43">
        <v>15245</v>
      </c>
      <c r="G43">
        <v>1732</v>
      </c>
      <c r="H43">
        <v>42876</v>
      </c>
      <c r="I43">
        <v>1085</v>
      </c>
      <c r="J43">
        <v>66420</v>
      </c>
      <c r="K43">
        <f>COUNTIF(DF_Calculation!E:E,Table1[[#This Row],[ACS_CODE]])</f>
        <v>1</v>
      </c>
    </row>
    <row r="44" spans="1:11" x14ac:dyDescent="0.25">
      <c r="A44">
        <v>24243</v>
      </c>
      <c r="B44" t="s">
        <v>916</v>
      </c>
      <c r="C44" t="s">
        <v>1282</v>
      </c>
      <c r="D44" t="s">
        <v>1662</v>
      </c>
      <c r="E44">
        <v>5365</v>
      </c>
      <c r="F44">
        <v>298</v>
      </c>
      <c r="G44">
        <v>0</v>
      </c>
      <c r="H44">
        <v>7236</v>
      </c>
      <c r="I44">
        <v>311</v>
      </c>
      <c r="J44">
        <v>13210</v>
      </c>
      <c r="K44">
        <f>COUNTIF(DF_Calculation!E:E,Table1[[#This Row],[ACS_CODE]])</f>
        <v>1</v>
      </c>
    </row>
    <row r="45" spans="1:11" x14ac:dyDescent="0.25">
      <c r="A45">
        <v>21144</v>
      </c>
      <c r="B45" t="s">
        <v>916</v>
      </c>
      <c r="C45" t="s">
        <v>1275</v>
      </c>
      <c r="D45" t="s">
        <v>1663</v>
      </c>
      <c r="E45">
        <v>5360</v>
      </c>
      <c r="F45">
        <v>5429</v>
      </c>
      <c r="G45">
        <v>122</v>
      </c>
      <c r="H45">
        <v>51252</v>
      </c>
      <c r="I45">
        <v>681</v>
      </c>
      <c r="J45">
        <v>62844</v>
      </c>
      <c r="K45">
        <f>COUNTIF(DF_Calculation!E:E,Table1[[#This Row],[ACS_CODE]])</f>
        <v>1</v>
      </c>
    </row>
    <row r="46" spans="1:11" x14ac:dyDescent="0.25">
      <c r="A46">
        <v>51311</v>
      </c>
      <c r="B46" t="s">
        <v>1260</v>
      </c>
      <c r="C46" t="s">
        <v>1259</v>
      </c>
      <c r="D46" t="s">
        <v>1664</v>
      </c>
      <c r="E46">
        <v>5247</v>
      </c>
      <c r="F46">
        <v>0</v>
      </c>
      <c r="G46">
        <v>0</v>
      </c>
      <c r="H46">
        <v>3065</v>
      </c>
      <c r="I46">
        <v>125</v>
      </c>
      <c r="J46">
        <v>8437</v>
      </c>
      <c r="K46">
        <f>COUNTIF(DF_Calculation!E:E,Table1[[#This Row],[ACS_CODE]])</f>
        <v>1</v>
      </c>
    </row>
    <row r="47" spans="1:11" x14ac:dyDescent="0.25">
      <c r="A47">
        <v>51389</v>
      </c>
      <c r="B47" t="s">
        <v>1260</v>
      </c>
      <c r="C47" t="s">
        <v>1259</v>
      </c>
      <c r="D47" t="s">
        <v>1665</v>
      </c>
      <c r="E47">
        <v>5068</v>
      </c>
      <c r="F47">
        <v>0</v>
      </c>
      <c r="G47">
        <v>0</v>
      </c>
      <c r="H47">
        <v>3245</v>
      </c>
      <c r="I47">
        <v>75</v>
      </c>
      <c r="J47">
        <v>8388</v>
      </c>
      <c r="K47">
        <f>COUNTIF(DF_Calculation!E:E,Table1[[#This Row],[ACS_CODE]])</f>
        <v>1</v>
      </c>
    </row>
    <row r="48" spans="1:11" x14ac:dyDescent="0.25">
      <c r="A48">
        <v>53119</v>
      </c>
      <c r="B48" t="s">
        <v>1201</v>
      </c>
      <c r="C48" t="s">
        <v>1266</v>
      </c>
      <c r="D48" t="s">
        <v>1666</v>
      </c>
      <c r="E48">
        <v>5048</v>
      </c>
      <c r="F48">
        <v>850</v>
      </c>
      <c r="G48">
        <v>0</v>
      </c>
      <c r="H48">
        <v>5516</v>
      </c>
      <c r="I48">
        <v>27</v>
      </c>
      <c r="J48">
        <v>11441</v>
      </c>
      <c r="K48">
        <f>COUNTIF(DF_Calculation!E:E,Table1[[#This Row],[ACS_CODE]])</f>
        <v>1</v>
      </c>
    </row>
    <row r="49" spans="1:11" x14ac:dyDescent="0.25">
      <c r="A49">
        <v>51221</v>
      </c>
      <c r="B49" t="s">
        <v>1260</v>
      </c>
      <c r="C49" t="s">
        <v>1259</v>
      </c>
      <c r="D49" t="s">
        <v>1667</v>
      </c>
      <c r="E49">
        <v>5017</v>
      </c>
      <c r="F49">
        <v>1626</v>
      </c>
      <c r="G49">
        <v>195</v>
      </c>
      <c r="H49">
        <v>10499</v>
      </c>
      <c r="I49">
        <v>240</v>
      </c>
      <c r="J49">
        <v>17577</v>
      </c>
      <c r="K49">
        <f>COUNTIF(DF_Calculation!E:E,Table1[[#This Row],[ACS_CODE]])</f>
        <v>1</v>
      </c>
    </row>
    <row r="50" spans="1:11" x14ac:dyDescent="0.25">
      <c r="A50">
        <v>35269</v>
      </c>
      <c r="B50" t="s">
        <v>991</v>
      </c>
      <c r="C50" t="s">
        <v>991</v>
      </c>
      <c r="D50" t="s">
        <v>1262</v>
      </c>
      <c r="E50">
        <v>5000</v>
      </c>
      <c r="F50">
        <v>0</v>
      </c>
      <c r="G50">
        <v>0</v>
      </c>
      <c r="H50">
        <v>1377</v>
      </c>
      <c r="J50">
        <v>6377</v>
      </c>
      <c r="K50">
        <f>COUNTIF(DF_Calculation!E:E,Table1[[#This Row],[ACS_CODE]])</f>
        <v>1</v>
      </c>
    </row>
    <row r="51" spans="1:11" x14ac:dyDescent="0.25">
      <c r="A51">
        <v>53445</v>
      </c>
      <c r="B51" t="s">
        <v>1201</v>
      </c>
      <c r="C51" t="s">
        <v>1266</v>
      </c>
      <c r="D51" t="s">
        <v>1668</v>
      </c>
      <c r="E51">
        <v>4973</v>
      </c>
      <c r="F51">
        <v>0</v>
      </c>
      <c r="G51">
        <v>0</v>
      </c>
      <c r="H51">
        <v>5755</v>
      </c>
      <c r="I51">
        <v>307</v>
      </c>
      <c r="J51">
        <v>11035</v>
      </c>
      <c r="K51">
        <f>COUNTIF(DF_Calculation!E:E,Table1[[#This Row],[ACS_CODE]])</f>
        <v>1</v>
      </c>
    </row>
    <row r="52" spans="1:11" x14ac:dyDescent="0.25">
      <c r="A52">
        <v>35314</v>
      </c>
      <c r="B52" t="s">
        <v>991</v>
      </c>
      <c r="C52" t="s">
        <v>991</v>
      </c>
      <c r="D52" t="s">
        <v>1669</v>
      </c>
      <c r="E52">
        <v>4825</v>
      </c>
      <c r="F52">
        <v>0</v>
      </c>
      <c r="G52">
        <v>0</v>
      </c>
      <c r="H52">
        <v>7683</v>
      </c>
      <c r="I52">
        <v>13</v>
      </c>
      <c r="J52">
        <v>12521</v>
      </c>
      <c r="K52">
        <f>COUNTIF(DF_Calculation!E:E,Table1[[#This Row],[ACS_CODE]])</f>
        <v>1</v>
      </c>
    </row>
    <row r="53" spans="1:11" x14ac:dyDescent="0.25">
      <c r="A53">
        <v>22228</v>
      </c>
      <c r="B53" t="s">
        <v>916</v>
      </c>
      <c r="C53" t="s">
        <v>915</v>
      </c>
      <c r="D53" t="s">
        <v>923</v>
      </c>
      <c r="E53">
        <v>4766</v>
      </c>
      <c r="F53">
        <v>0</v>
      </c>
      <c r="G53">
        <v>0</v>
      </c>
      <c r="H53">
        <v>60601</v>
      </c>
      <c r="I53">
        <v>2406</v>
      </c>
      <c r="J53">
        <v>67773</v>
      </c>
      <c r="K53">
        <f>COUNTIF(DF_Calculation!E:E,Table1[[#This Row],[ACS_CODE]])</f>
        <v>1</v>
      </c>
    </row>
    <row r="54" spans="1:11" x14ac:dyDescent="0.25">
      <c r="A54">
        <v>53284</v>
      </c>
      <c r="B54" t="s">
        <v>1201</v>
      </c>
      <c r="C54" t="s">
        <v>1266</v>
      </c>
      <c r="D54" t="s">
        <v>1670</v>
      </c>
      <c r="E54">
        <v>4587</v>
      </c>
      <c r="F54">
        <v>0</v>
      </c>
      <c r="G54">
        <v>0</v>
      </c>
      <c r="H54">
        <v>3111</v>
      </c>
      <c r="I54">
        <v>10</v>
      </c>
      <c r="J54">
        <v>7708</v>
      </c>
      <c r="K54">
        <f>COUNTIF(DF_Calculation!E:E,Table1[[#This Row],[ACS_CODE]])</f>
        <v>1</v>
      </c>
    </row>
    <row r="55" spans="1:11" x14ac:dyDescent="0.25">
      <c r="A55">
        <v>53429</v>
      </c>
      <c r="B55" t="s">
        <v>1201</v>
      </c>
      <c r="C55" t="s">
        <v>1266</v>
      </c>
      <c r="D55" t="s">
        <v>1671</v>
      </c>
      <c r="E55">
        <v>4437</v>
      </c>
      <c r="F55">
        <v>0</v>
      </c>
      <c r="G55">
        <v>0</v>
      </c>
      <c r="H55">
        <v>6022</v>
      </c>
      <c r="I55">
        <v>4</v>
      </c>
      <c r="J55">
        <v>10463</v>
      </c>
      <c r="K55">
        <f>COUNTIF(DF_Calculation!E:E,Table1[[#This Row],[ACS_CODE]])</f>
        <v>1</v>
      </c>
    </row>
    <row r="56" spans="1:11" x14ac:dyDescent="0.25">
      <c r="A56">
        <v>24311</v>
      </c>
      <c r="B56" t="s">
        <v>916</v>
      </c>
      <c r="C56" t="s">
        <v>1282</v>
      </c>
      <c r="D56" t="s">
        <v>1672</v>
      </c>
      <c r="E56">
        <v>4362</v>
      </c>
      <c r="F56">
        <v>0</v>
      </c>
      <c r="G56">
        <v>554</v>
      </c>
      <c r="H56">
        <v>21822</v>
      </c>
      <c r="I56">
        <v>4115</v>
      </c>
      <c r="J56">
        <v>30853</v>
      </c>
      <c r="K56">
        <f>COUNTIF(DF_Calculation!E:E,Table1[[#This Row],[ACS_CODE]])</f>
        <v>1</v>
      </c>
    </row>
    <row r="57" spans="1:11" x14ac:dyDescent="0.25">
      <c r="A57">
        <v>61449</v>
      </c>
      <c r="B57" t="s">
        <v>1270</v>
      </c>
      <c r="C57" t="s">
        <v>1288</v>
      </c>
      <c r="D57" t="s">
        <v>1673</v>
      </c>
      <c r="E57">
        <v>4249</v>
      </c>
      <c r="F57">
        <v>1221</v>
      </c>
      <c r="G57">
        <v>0</v>
      </c>
      <c r="H57">
        <v>11602</v>
      </c>
      <c r="I57">
        <v>254</v>
      </c>
      <c r="J57">
        <v>17326</v>
      </c>
      <c r="K57">
        <f>COUNTIF(DF_Calculation!E:E,Table1[[#This Row],[ACS_CODE]])</f>
        <v>1</v>
      </c>
    </row>
    <row r="58" spans="1:11" x14ac:dyDescent="0.25">
      <c r="A58">
        <v>31151</v>
      </c>
      <c r="B58" t="s">
        <v>919</v>
      </c>
      <c r="C58" t="s">
        <v>1255</v>
      </c>
      <c r="D58" t="s">
        <v>1674</v>
      </c>
      <c r="E58">
        <v>4241</v>
      </c>
      <c r="F58">
        <v>208</v>
      </c>
      <c r="G58">
        <v>0</v>
      </c>
      <c r="H58">
        <v>42241</v>
      </c>
      <c r="I58">
        <v>63</v>
      </c>
      <c r="J58">
        <v>46753</v>
      </c>
      <c r="K58">
        <f>COUNTIF(DF_Calculation!E:E,Table1[[#This Row],[ACS_CODE]])</f>
        <v>1</v>
      </c>
    </row>
    <row r="59" spans="1:11" x14ac:dyDescent="0.25">
      <c r="A59">
        <v>53419</v>
      </c>
      <c r="B59" t="s">
        <v>1201</v>
      </c>
      <c r="C59" t="s">
        <v>1266</v>
      </c>
      <c r="D59" t="s">
        <v>1675</v>
      </c>
      <c r="E59">
        <v>4193</v>
      </c>
      <c r="F59">
        <v>0</v>
      </c>
      <c r="G59">
        <v>0</v>
      </c>
      <c r="H59">
        <v>2738</v>
      </c>
      <c r="I59">
        <v>10</v>
      </c>
      <c r="J59">
        <v>6941</v>
      </c>
      <c r="K59">
        <f>COUNTIF(DF_Calculation!E:E,Table1[[#This Row],[ACS_CODE]])</f>
        <v>1</v>
      </c>
    </row>
    <row r="60" spans="1:11" x14ac:dyDescent="0.25">
      <c r="A60">
        <v>61311</v>
      </c>
      <c r="B60" t="s">
        <v>1270</v>
      </c>
      <c r="C60" t="s">
        <v>1288</v>
      </c>
      <c r="D60" t="s">
        <v>1676</v>
      </c>
      <c r="E60">
        <v>4121</v>
      </c>
      <c r="F60">
        <v>1221</v>
      </c>
      <c r="G60">
        <v>89</v>
      </c>
      <c r="H60">
        <v>12215</v>
      </c>
      <c r="I60">
        <v>178</v>
      </c>
      <c r="J60">
        <v>17824</v>
      </c>
      <c r="K60">
        <f>COUNTIF(DF_Calculation!E:E,Table1[[#This Row],[ACS_CODE]])</f>
        <v>1</v>
      </c>
    </row>
    <row r="61" spans="1:11" x14ac:dyDescent="0.25">
      <c r="A61">
        <v>53234</v>
      </c>
      <c r="B61" t="s">
        <v>1201</v>
      </c>
      <c r="C61" t="s">
        <v>1266</v>
      </c>
      <c r="D61" t="s">
        <v>1677</v>
      </c>
      <c r="E61">
        <v>4091</v>
      </c>
      <c r="F61">
        <v>0</v>
      </c>
      <c r="G61">
        <v>0</v>
      </c>
      <c r="H61">
        <v>5972</v>
      </c>
      <c r="I61">
        <v>65</v>
      </c>
      <c r="J61">
        <v>10128</v>
      </c>
      <c r="K61">
        <f>COUNTIF(DF_Calculation!E:E,Table1[[#This Row],[ACS_CODE]])</f>
        <v>1</v>
      </c>
    </row>
    <row r="62" spans="1:11" x14ac:dyDescent="0.25">
      <c r="A62">
        <v>35149</v>
      </c>
      <c r="B62" t="s">
        <v>991</v>
      </c>
      <c r="C62" t="s">
        <v>991</v>
      </c>
      <c r="D62" t="s">
        <v>1678</v>
      </c>
      <c r="E62">
        <v>4020</v>
      </c>
      <c r="F62">
        <v>0</v>
      </c>
      <c r="G62">
        <v>0</v>
      </c>
      <c r="H62">
        <v>3951</v>
      </c>
      <c r="I62">
        <v>3</v>
      </c>
      <c r="J62">
        <v>7974</v>
      </c>
      <c r="K62">
        <f>COUNTIF(DF_Calculation!E:E,Table1[[#This Row],[ACS_CODE]])</f>
        <v>1</v>
      </c>
    </row>
    <row r="63" spans="1:11" x14ac:dyDescent="0.25">
      <c r="A63">
        <v>35221</v>
      </c>
      <c r="B63" t="s">
        <v>991</v>
      </c>
      <c r="C63" t="s">
        <v>991</v>
      </c>
      <c r="D63" t="s">
        <v>1679</v>
      </c>
      <c r="E63">
        <v>3947</v>
      </c>
      <c r="F63">
        <v>0</v>
      </c>
      <c r="G63">
        <v>0</v>
      </c>
      <c r="H63">
        <v>697</v>
      </c>
      <c r="I63">
        <v>7</v>
      </c>
      <c r="J63">
        <v>4651</v>
      </c>
      <c r="K63">
        <f>COUNTIF(DF_Calculation!E:E,Table1[[#This Row],[ACS_CODE]])</f>
        <v>1</v>
      </c>
    </row>
    <row r="64" spans="1:11" x14ac:dyDescent="0.25">
      <c r="A64">
        <v>52254</v>
      </c>
      <c r="B64" t="s">
        <v>1260</v>
      </c>
      <c r="C64" t="s">
        <v>1323</v>
      </c>
      <c r="D64" t="s">
        <v>1680</v>
      </c>
      <c r="E64">
        <v>3756</v>
      </c>
      <c r="F64">
        <v>0</v>
      </c>
      <c r="G64">
        <v>0</v>
      </c>
      <c r="H64">
        <v>1366</v>
      </c>
      <c r="I64">
        <v>4</v>
      </c>
      <c r="J64">
        <v>5126</v>
      </c>
      <c r="K64">
        <f>COUNTIF(DF_Calculation!E:E,Table1[[#This Row],[ACS_CODE]])</f>
        <v>1</v>
      </c>
    </row>
    <row r="65" spans="1:11" x14ac:dyDescent="0.25">
      <c r="A65">
        <v>23211</v>
      </c>
      <c r="B65" t="s">
        <v>916</v>
      </c>
      <c r="C65" t="s">
        <v>921</v>
      </c>
      <c r="D65" t="s">
        <v>924</v>
      </c>
      <c r="E65">
        <v>3740</v>
      </c>
      <c r="F65">
        <v>514</v>
      </c>
      <c r="G65">
        <v>1580</v>
      </c>
      <c r="H65">
        <v>18445</v>
      </c>
      <c r="I65">
        <v>378</v>
      </c>
      <c r="J65">
        <v>24657</v>
      </c>
      <c r="K65">
        <f>COUNTIF(DF_Calculation!E:E,Table1[[#This Row],[ACS_CODE]])</f>
        <v>1</v>
      </c>
    </row>
    <row r="66" spans="1:11" x14ac:dyDescent="0.25">
      <c r="A66">
        <v>23267</v>
      </c>
      <c r="B66" t="s">
        <v>916</v>
      </c>
      <c r="C66" t="s">
        <v>921</v>
      </c>
      <c r="D66" t="s">
        <v>925</v>
      </c>
      <c r="E66">
        <v>3720</v>
      </c>
      <c r="F66">
        <v>513</v>
      </c>
      <c r="G66">
        <v>0</v>
      </c>
      <c r="H66">
        <v>4615</v>
      </c>
      <c r="I66">
        <v>80</v>
      </c>
      <c r="J66">
        <v>8928</v>
      </c>
      <c r="K66">
        <f>COUNTIF(DF_Calculation!E:E,Table1[[#This Row],[ACS_CODE]])</f>
        <v>1</v>
      </c>
    </row>
    <row r="67" spans="1:11" x14ac:dyDescent="0.25">
      <c r="A67">
        <v>51323</v>
      </c>
      <c r="B67" t="s">
        <v>1260</v>
      </c>
      <c r="C67" t="s">
        <v>1259</v>
      </c>
      <c r="D67" t="s">
        <v>1681</v>
      </c>
      <c r="E67">
        <v>3697</v>
      </c>
      <c r="F67">
        <v>0</v>
      </c>
      <c r="G67">
        <v>0</v>
      </c>
      <c r="H67">
        <v>4889</v>
      </c>
      <c r="I67">
        <v>30</v>
      </c>
      <c r="J67">
        <v>8616</v>
      </c>
      <c r="K67">
        <f>COUNTIF(DF_Calculation!E:E,Table1[[#This Row],[ACS_CODE]])</f>
        <v>1</v>
      </c>
    </row>
    <row r="68" spans="1:11" x14ac:dyDescent="0.25">
      <c r="A68">
        <v>10150</v>
      </c>
      <c r="B68" t="s">
        <v>1315</v>
      </c>
      <c r="C68" t="s">
        <v>1315</v>
      </c>
      <c r="D68" t="s">
        <v>1682</v>
      </c>
      <c r="E68">
        <v>3668</v>
      </c>
      <c r="F68">
        <v>0</v>
      </c>
      <c r="G68">
        <v>0</v>
      </c>
      <c r="H68">
        <v>28319</v>
      </c>
      <c r="I68">
        <v>5719</v>
      </c>
      <c r="J68">
        <v>37706</v>
      </c>
      <c r="K68">
        <f>COUNTIF(DF_Calculation!E:E,Table1[[#This Row],[ACS_CODE]])</f>
        <v>1</v>
      </c>
    </row>
    <row r="69" spans="1:11" x14ac:dyDescent="0.25">
      <c r="A69">
        <v>53425</v>
      </c>
      <c r="B69" t="s">
        <v>1201</v>
      </c>
      <c r="C69" t="s">
        <v>1266</v>
      </c>
      <c r="D69" t="s">
        <v>1683</v>
      </c>
      <c r="E69">
        <v>3614</v>
      </c>
      <c r="F69">
        <v>0</v>
      </c>
      <c r="G69">
        <v>0</v>
      </c>
      <c r="H69">
        <v>6221</v>
      </c>
      <c r="I69">
        <v>10</v>
      </c>
      <c r="J69">
        <v>9845</v>
      </c>
      <c r="K69">
        <f>COUNTIF(DF_Calculation!E:E,Table1[[#This Row],[ACS_CODE]])</f>
        <v>1</v>
      </c>
    </row>
    <row r="70" spans="1:11" x14ac:dyDescent="0.25">
      <c r="A70">
        <v>35467</v>
      </c>
      <c r="B70" t="s">
        <v>991</v>
      </c>
      <c r="C70" t="s">
        <v>991</v>
      </c>
      <c r="D70" t="s">
        <v>1684</v>
      </c>
      <c r="E70">
        <v>3568</v>
      </c>
      <c r="F70">
        <v>0</v>
      </c>
      <c r="G70">
        <v>0</v>
      </c>
      <c r="H70">
        <v>666</v>
      </c>
      <c r="J70">
        <v>4234</v>
      </c>
      <c r="K70">
        <f>COUNTIF(DF_Calculation!E:E,Table1[[#This Row],[ACS_CODE]])</f>
        <v>1</v>
      </c>
    </row>
    <row r="71" spans="1:11" x14ac:dyDescent="0.25">
      <c r="A71">
        <v>53123</v>
      </c>
      <c r="B71" t="s">
        <v>1201</v>
      </c>
      <c r="C71" t="s">
        <v>1266</v>
      </c>
      <c r="D71" t="s">
        <v>1685</v>
      </c>
      <c r="E71">
        <v>3566</v>
      </c>
      <c r="F71">
        <v>0</v>
      </c>
      <c r="G71">
        <v>0</v>
      </c>
      <c r="H71">
        <v>2711</v>
      </c>
      <c r="I71">
        <v>15</v>
      </c>
      <c r="J71">
        <v>6292</v>
      </c>
      <c r="K71">
        <f>COUNTIF(DF_Calculation!E:E,Table1[[#This Row],[ACS_CODE]])</f>
        <v>1</v>
      </c>
    </row>
    <row r="72" spans="1:11" x14ac:dyDescent="0.25">
      <c r="A72">
        <v>35229</v>
      </c>
      <c r="B72" t="s">
        <v>991</v>
      </c>
      <c r="C72" t="s">
        <v>991</v>
      </c>
      <c r="D72" t="s">
        <v>1686</v>
      </c>
      <c r="E72">
        <v>3562</v>
      </c>
      <c r="F72">
        <v>0</v>
      </c>
      <c r="G72">
        <v>0</v>
      </c>
      <c r="H72">
        <v>1234</v>
      </c>
      <c r="I72">
        <v>4</v>
      </c>
      <c r="J72">
        <v>4800</v>
      </c>
      <c r="K72">
        <f>COUNTIF(DF_Calculation!E:E,Table1[[#This Row],[ACS_CODE]])</f>
        <v>1</v>
      </c>
    </row>
    <row r="73" spans="1:11" x14ac:dyDescent="0.25">
      <c r="A73">
        <v>23271</v>
      </c>
      <c r="B73" t="s">
        <v>916</v>
      </c>
      <c r="C73" t="s">
        <v>921</v>
      </c>
      <c r="D73" t="s">
        <v>926</v>
      </c>
      <c r="E73">
        <v>3508</v>
      </c>
      <c r="F73">
        <v>513</v>
      </c>
      <c r="G73">
        <v>0</v>
      </c>
      <c r="H73">
        <v>706</v>
      </c>
      <c r="I73">
        <v>21</v>
      </c>
      <c r="J73">
        <v>4748</v>
      </c>
      <c r="K73">
        <f>COUNTIF(DF_Calculation!E:E,Table1[[#This Row],[ACS_CODE]])</f>
        <v>1</v>
      </c>
    </row>
    <row r="74" spans="1:11" x14ac:dyDescent="0.25">
      <c r="A74">
        <v>23111</v>
      </c>
      <c r="B74" t="s">
        <v>916</v>
      </c>
      <c r="C74" t="s">
        <v>921</v>
      </c>
      <c r="D74" t="s">
        <v>927</v>
      </c>
      <c r="E74">
        <v>3359</v>
      </c>
      <c r="F74">
        <v>513</v>
      </c>
      <c r="G74">
        <v>0</v>
      </c>
      <c r="H74">
        <v>1441</v>
      </c>
      <c r="I74">
        <v>158</v>
      </c>
      <c r="J74">
        <v>5471</v>
      </c>
      <c r="K74">
        <f>COUNTIF(DF_Calculation!E:E,Table1[[#This Row],[ACS_CODE]])</f>
        <v>1</v>
      </c>
    </row>
    <row r="75" spans="1:11" x14ac:dyDescent="0.25">
      <c r="A75">
        <v>53437</v>
      </c>
      <c r="B75" t="s">
        <v>1201</v>
      </c>
      <c r="C75" t="s">
        <v>1266</v>
      </c>
      <c r="D75" t="s">
        <v>1687</v>
      </c>
      <c r="E75">
        <v>3290</v>
      </c>
      <c r="F75">
        <v>0</v>
      </c>
      <c r="G75">
        <v>0</v>
      </c>
      <c r="H75">
        <v>5444</v>
      </c>
      <c r="I75">
        <v>50</v>
      </c>
      <c r="J75">
        <v>8784</v>
      </c>
      <c r="K75">
        <f>COUNTIF(DF_Calculation!E:E,Table1[[#This Row],[ACS_CODE]])</f>
        <v>1</v>
      </c>
    </row>
    <row r="76" spans="1:11" x14ac:dyDescent="0.25">
      <c r="A76">
        <v>10650</v>
      </c>
      <c r="B76" t="s">
        <v>1315</v>
      </c>
      <c r="C76" t="s">
        <v>1315</v>
      </c>
      <c r="D76" t="s">
        <v>1688</v>
      </c>
      <c r="E76">
        <v>3274</v>
      </c>
      <c r="F76">
        <v>0</v>
      </c>
      <c r="G76">
        <v>0</v>
      </c>
      <c r="H76">
        <v>40263</v>
      </c>
      <c r="I76">
        <v>4898</v>
      </c>
      <c r="J76">
        <v>48435</v>
      </c>
      <c r="K76">
        <f>COUNTIF(DF_Calculation!E:E,Table1[[#This Row],[ACS_CODE]])</f>
        <v>1</v>
      </c>
    </row>
    <row r="77" spans="1:11" x14ac:dyDescent="0.25">
      <c r="A77">
        <v>52217</v>
      </c>
      <c r="B77" t="s">
        <v>1260</v>
      </c>
      <c r="C77" t="s">
        <v>1323</v>
      </c>
      <c r="D77" t="s">
        <v>1689</v>
      </c>
      <c r="E77">
        <v>3106</v>
      </c>
      <c r="F77">
        <v>0</v>
      </c>
      <c r="G77">
        <v>0</v>
      </c>
      <c r="H77">
        <v>4257</v>
      </c>
      <c r="I77">
        <v>146</v>
      </c>
      <c r="J77">
        <v>7509</v>
      </c>
      <c r="K77">
        <f>COUNTIF(DF_Calculation!E:E,Table1[[#This Row],[ACS_CODE]])</f>
        <v>1</v>
      </c>
    </row>
    <row r="78" spans="1:11" x14ac:dyDescent="0.25">
      <c r="A78">
        <v>51227</v>
      </c>
      <c r="B78" t="s">
        <v>1260</v>
      </c>
      <c r="C78" t="s">
        <v>1259</v>
      </c>
      <c r="D78" t="s">
        <v>1690</v>
      </c>
      <c r="E78">
        <v>3049</v>
      </c>
      <c r="F78">
        <v>0</v>
      </c>
      <c r="G78">
        <v>0</v>
      </c>
      <c r="H78">
        <v>1222</v>
      </c>
      <c r="I78">
        <v>32</v>
      </c>
      <c r="J78">
        <v>4303</v>
      </c>
      <c r="K78">
        <f>COUNTIF(DF_Calculation!E:E,Table1[[#This Row],[ACS_CODE]])</f>
        <v>1</v>
      </c>
    </row>
    <row r="79" spans="1:11" x14ac:dyDescent="0.25">
      <c r="A79">
        <v>35261</v>
      </c>
      <c r="B79" t="s">
        <v>991</v>
      </c>
      <c r="C79" t="s">
        <v>991</v>
      </c>
      <c r="D79" t="s">
        <v>1691</v>
      </c>
      <c r="E79">
        <v>3033</v>
      </c>
      <c r="F79">
        <v>0</v>
      </c>
      <c r="G79">
        <v>0</v>
      </c>
      <c r="H79">
        <v>2263</v>
      </c>
      <c r="I79">
        <v>11</v>
      </c>
      <c r="J79">
        <v>5307</v>
      </c>
      <c r="K79">
        <f>COUNTIF(DF_Calculation!E:E,Table1[[#This Row],[ACS_CODE]])</f>
        <v>1</v>
      </c>
    </row>
    <row r="80" spans="1:11" x14ac:dyDescent="0.25">
      <c r="A80">
        <v>33111</v>
      </c>
      <c r="B80" t="s">
        <v>919</v>
      </c>
      <c r="C80" t="s">
        <v>1297</v>
      </c>
      <c r="D80" t="s">
        <v>1297</v>
      </c>
      <c r="E80">
        <v>3033</v>
      </c>
      <c r="F80">
        <v>0</v>
      </c>
      <c r="G80">
        <v>0</v>
      </c>
      <c r="H80">
        <v>16652</v>
      </c>
      <c r="I80">
        <v>220</v>
      </c>
      <c r="J80">
        <v>19905</v>
      </c>
      <c r="K80">
        <f>COUNTIF(DF_Calculation!E:E,Table1[[#This Row],[ACS_CODE]])</f>
        <v>1</v>
      </c>
    </row>
    <row r="81" spans="1:11" x14ac:dyDescent="0.25">
      <c r="A81">
        <v>62128</v>
      </c>
      <c r="B81" t="s">
        <v>1270</v>
      </c>
      <c r="C81" t="s">
        <v>1269</v>
      </c>
      <c r="D81" t="s">
        <v>1692</v>
      </c>
      <c r="E81">
        <v>3000</v>
      </c>
      <c r="F81">
        <v>9783</v>
      </c>
      <c r="G81">
        <v>1892</v>
      </c>
      <c r="H81">
        <v>20148</v>
      </c>
      <c r="I81">
        <v>607</v>
      </c>
      <c r="J81">
        <v>35430</v>
      </c>
      <c r="K81">
        <f>COUNTIF(DF_Calculation!E:E,Table1[[#This Row],[ACS_CODE]])</f>
        <v>1</v>
      </c>
    </row>
    <row r="82" spans="1:11" x14ac:dyDescent="0.25">
      <c r="A82">
        <v>53459</v>
      </c>
      <c r="B82" t="s">
        <v>1201</v>
      </c>
      <c r="C82" t="s">
        <v>1266</v>
      </c>
      <c r="D82" t="s">
        <v>1693</v>
      </c>
      <c r="E82">
        <v>2977</v>
      </c>
      <c r="F82">
        <v>0</v>
      </c>
      <c r="G82">
        <v>0</v>
      </c>
      <c r="H82">
        <v>6083</v>
      </c>
      <c r="I82">
        <v>152</v>
      </c>
      <c r="J82">
        <v>9212</v>
      </c>
      <c r="K82">
        <f>COUNTIF(DF_Calculation!E:E,Table1[[#This Row],[ACS_CODE]])</f>
        <v>1</v>
      </c>
    </row>
    <row r="83" spans="1:11" x14ac:dyDescent="0.25">
      <c r="A83">
        <v>53311</v>
      </c>
      <c r="B83" t="s">
        <v>1201</v>
      </c>
      <c r="C83" t="s">
        <v>1266</v>
      </c>
      <c r="D83" t="s">
        <v>1694</v>
      </c>
      <c r="E83">
        <v>2934</v>
      </c>
      <c r="F83">
        <v>0</v>
      </c>
      <c r="G83">
        <v>0</v>
      </c>
      <c r="H83">
        <v>3994</v>
      </c>
      <c r="I83">
        <v>34</v>
      </c>
      <c r="J83">
        <v>6962</v>
      </c>
      <c r="K83">
        <f>COUNTIF(DF_Calculation!E:E,Table1[[#This Row],[ACS_CODE]])</f>
        <v>1</v>
      </c>
    </row>
    <row r="84" spans="1:11" x14ac:dyDescent="0.25">
      <c r="A84">
        <v>31181</v>
      </c>
      <c r="B84" t="s">
        <v>919</v>
      </c>
      <c r="C84" t="s">
        <v>1255</v>
      </c>
      <c r="D84" t="s">
        <v>1695</v>
      </c>
      <c r="E84">
        <v>2892</v>
      </c>
      <c r="F84">
        <v>207</v>
      </c>
      <c r="G84">
        <v>0</v>
      </c>
      <c r="H84">
        <v>7261</v>
      </c>
      <c r="I84">
        <v>100</v>
      </c>
      <c r="J84">
        <v>10460</v>
      </c>
      <c r="K84">
        <f>COUNTIF(DF_Calculation!E:E,Table1[[#This Row],[ACS_CODE]])</f>
        <v>1</v>
      </c>
    </row>
    <row r="85" spans="1:11" x14ac:dyDescent="0.25">
      <c r="A85">
        <v>21166</v>
      </c>
      <c r="B85" t="s">
        <v>916</v>
      </c>
      <c r="C85" t="s">
        <v>1275</v>
      </c>
      <c r="D85" t="s">
        <v>1696</v>
      </c>
      <c r="E85">
        <v>2861</v>
      </c>
      <c r="F85">
        <v>597</v>
      </c>
      <c r="G85">
        <v>0</v>
      </c>
      <c r="H85">
        <v>6910</v>
      </c>
      <c r="I85">
        <v>710</v>
      </c>
      <c r="J85">
        <v>11078</v>
      </c>
      <c r="K85">
        <f>COUNTIF(DF_Calculation!E:E,Table1[[#This Row],[ACS_CODE]])</f>
        <v>1</v>
      </c>
    </row>
    <row r="86" spans="1:11" x14ac:dyDescent="0.25">
      <c r="A86">
        <v>51139</v>
      </c>
      <c r="B86" t="s">
        <v>1260</v>
      </c>
      <c r="C86" t="s">
        <v>1259</v>
      </c>
      <c r="D86" t="s">
        <v>1697</v>
      </c>
      <c r="E86">
        <v>2854</v>
      </c>
      <c r="F86">
        <v>0</v>
      </c>
      <c r="G86">
        <v>0</v>
      </c>
      <c r="H86">
        <v>3342</v>
      </c>
      <c r="I86">
        <v>235</v>
      </c>
      <c r="J86">
        <v>6431</v>
      </c>
      <c r="K86">
        <f>COUNTIF(DF_Calculation!E:E,Table1[[#This Row],[ACS_CODE]])</f>
        <v>1</v>
      </c>
    </row>
    <row r="87" spans="1:11" x14ac:dyDescent="0.25">
      <c r="A87">
        <v>51281</v>
      </c>
      <c r="B87" t="s">
        <v>1260</v>
      </c>
      <c r="C87" t="s">
        <v>1259</v>
      </c>
      <c r="D87" t="s">
        <v>1263</v>
      </c>
      <c r="E87">
        <v>2773</v>
      </c>
      <c r="F87">
        <v>0</v>
      </c>
      <c r="G87">
        <v>0</v>
      </c>
      <c r="H87">
        <v>5517</v>
      </c>
      <c r="I87">
        <v>95</v>
      </c>
      <c r="J87">
        <v>8385</v>
      </c>
      <c r="K87">
        <f>COUNTIF(DF_Calculation!E:E,Table1[[#This Row],[ACS_CODE]])</f>
        <v>1</v>
      </c>
    </row>
    <row r="88" spans="1:11" x14ac:dyDescent="0.25">
      <c r="A88">
        <v>35437</v>
      </c>
      <c r="B88" t="s">
        <v>991</v>
      </c>
      <c r="C88" t="s">
        <v>991</v>
      </c>
      <c r="D88" t="s">
        <v>1698</v>
      </c>
      <c r="E88">
        <v>2769</v>
      </c>
      <c r="F88">
        <v>0</v>
      </c>
      <c r="G88">
        <v>0</v>
      </c>
      <c r="H88">
        <v>10598</v>
      </c>
      <c r="I88">
        <v>1</v>
      </c>
      <c r="J88">
        <v>13368</v>
      </c>
      <c r="K88">
        <f>COUNTIF(DF_Calculation!E:E,Table1[[#This Row],[ACS_CODE]])</f>
        <v>1</v>
      </c>
    </row>
    <row r="89" spans="1:11" x14ac:dyDescent="0.25">
      <c r="A89">
        <v>53274</v>
      </c>
      <c r="B89" t="s">
        <v>1201</v>
      </c>
      <c r="C89" t="s">
        <v>1266</v>
      </c>
      <c r="D89" t="s">
        <v>1699</v>
      </c>
      <c r="E89">
        <v>2764</v>
      </c>
      <c r="F89">
        <v>0</v>
      </c>
      <c r="G89">
        <v>0</v>
      </c>
      <c r="H89">
        <v>3538</v>
      </c>
      <c r="I89">
        <v>25</v>
      </c>
      <c r="J89">
        <v>6327</v>
      </c>
      <c r="K89">
        <f>COUNTIF(DF_Calculation!E:E,Table1[[#This Row],[ACS_CODE]])</f>
        <v>1</v>
      </c>
    </row>
    <row r="90" spans="1:11" x14ac:dyDescent="0.25">
      <c r="A90">
        <v>22262</v>
      </c>
      <c r="B90" t="s">
        <v>916</v>
      </c>
      <c r="C90" t="s">
        <v>915</v>
      </c>
      <c r="D90" t="s">
        <v>928</v>
      </c>
      <c r="E90">
        <v>2716</v>
      </c>
      <c r="F90">
        <v>0</v>
      </c>
      <c r="G90">
        <v>0</v>
      </c>
      <c r="H90">
        <v>22471</v>
      </c>
      <c r="I90">
        <v>1570</v>
      </c>
      <c r="J90">
        <v>26757</v>
      </c>
      <c r="K90">
        <f>COUNTIF(DF_Calculation!E:E,Table1[[#This Row],[ACS_CODE]])</f>
        <v>1</v>
      </c>
    </row>
    <row r="91" spans="1:11" x14ac:dyDescent="0.25">
      <c r="A91">
        <v>22155</v>
      </c>
      <c r="B91" t="s">
        <v>916</v>
      </c>
      <c r="C91" t="s">
        <v>915</v>
      </c>
      <c r="D91" t="s">
        <v>929</v>
      </c>
      <c r="E91">
        <v>2703</v>
      </c>
      <c r="F91">
        <v>0</v>
      </c>
      <c r="G91">
        <v>0</v>
      </c>
      <c r="H91">
        <v>32216</v>
      </c>
      <c r="I91">
        <v>3569</v>
      </c>
      <c r="J91">
        <v>38488</v>
      </c>
      <c r="K91">
        <f>COUNTIF(DF_Calculation!E:E,Table1[[#This Row],[ACS_CODE]])</f>
        <v>1</v>
      </c>
    </row>
    <row r="92" spans="1:11" x14ac:dyDescent="0.25">
      <c r="A92">
        <v>62276</v>
      </c>
      <c r="B92" t="s">
        <v>1270</v>
      </c>
      <c r="C92" t="s">
        <v>1269</v>
      </c>
      <c r="D92" t="s">
        <v>1700</v>
      </c>
      <c r="E92">
        <v>2692</v>
      </c>
      <c r="F92">
        <v>1832</v>
      </c>
      <c r="G92">
        <v>0</v>
      </c>
      <c r="H92">
        <v>10769</v>
      </c>
      <c r="I92">
        <v>247</v>
      </c>
      <c r="J92">
        <v>15540</v>
      </c>
      <c r="K92">
        <f>COUNTIF(DF_Calculation!E:E,Table1[[#This Row],[ACS_CODE]])</f>
        <v>1</v>
      </c>
    </row>
    <row r="93" spans="1:11" x14ac:dyDescent="0.25">
      <c r="A93">
        <v>35141</v>
      </c>
      <c r="B93" t="s">
        <v>991</v>
      </c>
      <c r="C93" t="s">
        <v>991</v>
      </c>
      <c r="D93" t="s">
        <v>1701</v>
      </c>
      <c r="E93">
        <v>2622</v>
      </c>
      <c r="F93">
        <v>0</v>
      </c>
      <c r="G93">
        <v>0</v>
      </c>
      <c r="H93">
        <v>2846</v>
      </c>
      <c r="I93">
        <v>15</v>
      </c>
      <c r="J93">
        <v>5483</v>
      </c>
      <c r="K93">
        <f>COUNTIF(DF_Calculation!E:E,Table1[[#This Row],[ACS_CODE]])</f>
        <v>1</v>
      </c>
    </row>
    <row r="94" spans="1:11" x14ac:dyDescent="0.25">
      <c r="A94">
        <v>34188</v>
      </c>
      <c r="B94" t="s">
        <v>919</v>
      </c>
      <c r="C94" t="s">
        <v>931</v>
      </c>
      <c r="D94" t="s">
        <v>930</v>
      </c>
      <c r="E94">
        <v>2584</v>
      </c>
      <c r="F94">
        <v>0</v>
      </c>
      <c r="G94">
        <v>0</v>
      </c>
      <c r="H94">
        <v>9614</v>
      </c>
      <c r="I94">
        <v>75</v>
      </c>
      <c r="J94">
        <v>12273</v>
      </c>
      <c r="K94">
        <f>COUNTIF(DF_Calculation!E:E,Table1[[#This Row],[ACS_CODE]])</f>
        <v>1</v>
      </c>
    </row>
    <row r="95" spans="1:11" x14ac:dyDescent="0.25">
      <c r="A95">
        <v>51365</v>
      </c>
      <c r="B95" t="s">
        <v>1260</v>
      </c>
      <c r="C95" t="s">
        <v>1259</v>
      </c>
      <c r="D95" t="s">
        <v>1702</v>
      </c>
      <c r="E95">
        <v>2583</v>
      </c>
      <c r="F95">
        <v>0</v>
      </c>
      <c r="G95">
        <v>0</v>
      </c>
      <c r="H95">
        <v>3209</v>
      </c>
      <c r="I95">
        <v>25</v>
      </c>
      <c r="J95">
        <v>5817</v>
      </c>
      <c r="K95">
        <f>COUNTIF(DF_Calculation!E:E,Table1[[#This Row],[ACS_CODE]])</f>
        <v>1</v>
      </c>
    </row>
    <row r="96" spans="1:11" x14ac:dyDescent="0.25">
      <c r="A96">
        <v>35249</v>
      </c>
      <c r="B96" t="s">
        <v>991</v>
      </c>
      <c r="C96" t="s">
        <v>991</v>
      </c>
      <c r="D96" t="s">
        <v>1703</v>
      </c>
      <c r="E96">
        <v>2570</v>
      </c>
      <c r="F96">
        <v>0</v>
      </c>
      <c r="G96">
        <v>0</v>
      </c>
      <c r="H96">
        <v>53</v>
      </c>
      <c r="I96">
        <v>18</v>
      </c>
      <c r="J96">
        <v>2641</v>
      </c>
      <c r="K96">
        <f>COUNTIF(DF_Calculation!E:E,Table1[[#This Row],[ACS_CODE]])</f>
        <v>1</v>
      </c>
    </row>
    <row r="97" spans="1:11" x14ac:dyDescent="0.25">
      <c r="A97">
        <v>53411</v>
      </c>
      <c r="B97" t="s">
        <v>1201</v>
      </c>
      <c r="C97" t="s">
        <v>1266</v>
      </c>
      <c r="D97" t="s">
        <v>1704</v>
      </c>
      <c r="E97">
        <v>2516</v>
      </c>
      <c r="F97">
        <v>0</v>
      </c>
      <c r="G97">
        <v>0</v>
      </c>
      <c r="H97">
        <v>5333</v>
      </c>
      <c r="I97">
        <v>130</v>
      </c>
      <c r="J97">
        <v>7979</v>
      </c>
      <c r="K97">
        <f>COUNTIF(DF_Calculation!E:E,Table1[[#This Row],[ACS_CODE]])</f>
        <v>1</v>
      </c>
    </row>
    <row r="98" spans="1:11" x14ac:dyDescent="0.25">
      <c r="A98">
        <v>33129</v>
      </c>
      <c r="B98" t="s">
        <v>919</v>
      </c>
      <c r="C98" t="s">
        <v>1297</v>
      </c>
      <c r="D98" t="s">
        <v>1705</v>
      </c>
      <c r="E98">
        <v>2505</v>
      </c>
      <c r="F98">
        <v>0</v>
      </c>
      <c r="G98">
        <v>0</v>
      </c>
      <c r="H98">
        <v>9401</v>
      </c>
      <c r="I98">
        <v>117</v>
      </c>
      <c r="J98">
        <v>12023</v>
      </c>
      <c r="K98">
        <f>COUNTIF(DF_Calculation!E:E,Table1[[#This Row],[ACS_CODE]])</f>
        <v>1</v>
      </c>
    </row>
    <row r="99" spans="1:11" x14ac:dyDescent="0.25">
      <c r="A99">
        <v>35243</v>
      </c>
      <c r="B99" t="s">
        <v>991</v>
      </c>
      <c r="C99" t="s">
        <v>991</v>
      </c>
      <c r="D99" t="s">
        <v>1706</v>
      </c>
      <c r="E99">
        <v>2480</v>
      </c>
      <c r="F99">
        <v>0</v>
      </c>
      <c r="G99">
        <v>0</v>
      </c>
      <c r="H99">
        <v>2030</v>
      </c>
      <c r="J99">
        <v>4510</v>
      </c>
      <c r="K99">
        <f>COUNTIF(DF_Calculation!E:E,Table1[[#This Row],[ACS_CODE]])</f>
        <v>1</v>
      </c>
    </row>
    <row r="100" spans="1:11" x14ac:dyDescent="0.25">
      <c r="A100">
        <v>22419</v>
      </c>
      <c r="B100" t="s">
        <v>916</v>
      </c>
      <c r="C100" t="s">
        <v>915</v>
      </c>
      <c r="D100" t="s">
        <v>932</v>
      </c>
      <c r="E100">
        <v>2461</v>
      </c>
      <c r="F100">
        <v>0</v>
      </c>
      <c r="G100">
        <v>0</v>
      </c>
      <c r="H100">
        <v>9129</v>
      </c>
      <c r="I100">
        <v>1198</v>
      </c>
      <c r="J100">
        <v>12788</v>
      </c>
      <c r="K100">
        <f>COUNTIF(DF_Calculation!E:E,Table1[[#This Row],[ACS_CODE]])</f>
        <v>1</v>
      </c>
    </row>
    <row r="101" spans="1:11" x14ac:dyDescent="0.25">
      <c r="A101">
        <v>35429</v>
      </c>
      <c r="B101" t="s">
        <v>991</v>
      </c>
      <c r="C101" t="s">
        <v>991</v>
      </c>
      <c r="D101" t="s">
        <v>1707</v>
      </c>
      <c r="E101">
        <v>2427</v>
      </c>
      <c r="F101">
        <v>0</v>
      </c>
      <c r="G101">
        <v>0</v>
      </c>
      <c r="H101">
        <v>1431</v>
      </c>
      <c r="J101">
        <v>3858</v>
      </c>
      <c r="K101">
        <f>COUNTIF(DF_Calculation!E:E,Table1[[#This Row],[ACS_CODE]])</f>
        <v>1</v>
      </c>
    </row>
    <row r="102" spans="1:11" x14ac:dyDescent="0.25">
      <c r="A102">
        <v>21219</v>
      </c>
      <c r="B102" t="s">
        <v>916</v>
      </c>
      <c r="C102" t="s">
        <v>1275</v>
      </c>
      <c r="D102" t="s">
        <v>1708</v>
      </c>
      <c r="E102">
        <v>2418</v>
      </c>
      <c r="F102">
        <v>0</v>
      </c>
      <c r="G102">
        <v>33</v>
      </c>
      <c r="H102">
        <v>18977</v>
      </c>
      <c r="I102">
        <v>277</v>
      </c>
      <c r="J102">
        <v>21705</v>
      </c>
      <c r="K102">
        <f>COUNTIF(DF_Calculation!E:E,Table1[[#This Row],[ACS_CODE]])</f>
        <v>1</v>
      </c>
    </row>
    <row r="103" spans="1:11" x14ac:dyDescent="0.25">
      <c r="A103">
        <v>35364</v>
      </c>
      <c r="B103" t="s">
        <v>991</v>
      </c>
      <c r="C103" t="s">
        <v>991</v>
      </c>
      <c r="D103" t="s">
        <v>1709</v>
      </c>
      <c r="E103">
        <v>2391</v>
      </c>
      <c r="F103">
        <v>0</v>
      </c>
      <c r="G103">
        <v>0</v>
      </c>
      <c r="H103">
        <v>5056</v>
      </c>
      <c r="J103">
        <v>7447</v>
      </c>
      <c r="K103">
        <f>COUNTIF(DF_Calculation!E:E,Table1[[#This Row],[ACS_CODE]])</f>
        <v>1</v>
      </c>
    </row>
    <row r="104" spans="1:11" x14ac:dyDescent="0.25">
      <c r="A104">
        <v>32119</v>
      </c>
      <c r="B104" t="s">
        <v>919</v>
      </c>
      <c r="C104" t="s">
        <v>934</v>
      </c>
      <c r="D104" t="s">
        <v>933</v>
      </c>
      <c r="E104">
        <v>2388</v>
      </c>
      <c r="F104">
        <v>0</v>
      </c>
      <c r="G104">
        <v>0</v>
      </c>
      <c r="H104">
        <v>2401</v>
      </c>
      <c r="I104">
        <v>15</v>
      </c>
      <c r="J104">
        <v>4804</v>
      </c>
      <c r="K104">
        <f>COUNTIF(DF_Calculation!E:E,Table1[[#This Row],[ACS_CODE]])</f>
        <v>1</v>
      </c>
    </row>
    <row r="105" spans="1:11" x14ac:dyDescent="0.25">
      <c r="A105">
        <v>34111</v>
      </c>
      <c r="B105" t="s">
        <v>919</v>
      </c>
      <c r="C105" t="s">
        <v>931</v>
      </c>
      <c r="D105" t="s">
        <v>935</v>
      </c>
      <c r="E105">
        <v>2370</v>
      </c>
      <c r="F105">
        <v>0</v>
      </c>
      <c r="G105">
        <v>0</v>
      </c>
      <c r="H105">
        <v>1604</v>
      </c>
      <c r="I105">
        <v>500</v>
      </c>
      <c r="J105">
        <v>4474</v>
      </c>
      <c r="K105">
        <f>COUNTIF(DF_Calculation!E:E,Table1[[#This Row],[ACS_CODE]])</f>
        <v>1</v>
      </c>
    </row>
    <row r="106" spans="1:11" x14ac:dyDescent="0.25">
      <c r="A106">
        <v>35216</v>
      </c>
      <c r="B106" t="s">
        <v>991</v>
      </c>
      <c r="C106" t="s">
        <v>991</v>
      </c>
      <c r="D106" t="s">
        <v>1710</v>
      </c>
      <c r="E106">
        <v>2353</v>
      </c>
      <c r="F106">
        <v>0</v>
      </c>
      <c r="G106">
        <v>0</v>
      </c>
      <c r="H106">
        <v>4322</v>
      </c>
      <c r="I106">
        <v>17</v>
      </c>
      <c r="J106">
        <v>6692</v>
      </c>
      <c r="K106">
        <f>COUNTIF(DF_Calculation!E:E,Table1[[#This Row],[ACS_CODE]])</f>
        <v>1</v>
      </c>
    </row>
    <row r="107" spans="1:11" x14ac:dyDescent="0.25">
      <c r="A107">
        <v>31221</v>
      </c>
      <c r="B107" t="s">
        <v>919</v>
      </c>
      <c r="C107" t="s">
        <v>1255</v>
      </c>
      <c r="D107" t="s">
        <v>1711</v>
      </c>
      <c r="E107">
        <v>2349</v>
      </c>
      <c r="F107">
        <v>0</v>
      </c>
      <c r="G107">
        <v>0</v>
      </c>
      <c r="H107">
        <v>3650</v>
      </c>
      <c r="I107">
        <v>15</v>
      </c>
      <c r="J107">
        <v>6014</v>
      </c>
      <c r="K107">
        <f>COUNTIF(DF_Calculation!E:E,Table1[[#This Row],[ACS_CODE]])</f>
        <v>1</v>
      </c>
    </row>
    <row r="108" spans="1:11" x14ac:dyDescent="0.25">
      <c r="A108">
        <v>35511</v>
      </c>
      <c r="B108" t="s">
        <v>991</v>
      </c>
      <c r="C108" t="s">
        <v>991</v>
      </c>
      <c r="D108" t="s">
        <v>1264</v>
      </c>
      <c r="E108">
        <v>2337</v>
      </c>
      <c r="F108">
        <v>0</v>
      </c>
      <c r="G108">
        <v>0</v>
      </c>
      <c r="H108">
        <v>1112</v>
      </c>
      <c r="J108">
        <v>3449</v>
      </c>
      <c r="K108">
        <f>COUNTIF(DF_Calculation!E:E,Table1[[#This Row],[ACS_CODE]])</f>
        <v>1</v>
      </c>
    </row>
    <row r="109" spans="1:11" x14ac:dyDescent="0.25">
      <c r="A109">
        <v>51211</v>
      </c>
      <c r="B109" t="s">
        <v>1260</v>
      </c>
      <c r="C109" t="s">
        <v>1259</v>
      </c>
      <c r="D109" t="s">
        <v>1712</v>
      </c>
      <c r="E109">
        <v>2293</v>
      </c>
      <c r="F109">
        <v>0</v>
      </c>
      <c r="G109">
        <v>0</v>
      </c>
      <c r="H109">
        <v>1205</v>
      </c>
      <c r="I109">
        <v>101</v>
      </c>
      <c r="J109">
        <v>3599</v>
      </c>
      <c r="K109">
        <f>COUNTIF(DF_Calculation!E:E,Table1[[#This Row],[ACS_CODE]])</f>
        <v>1</v>
      </c>
    </row>
    <row r="110" spans="1:11" x14ac:dyDescent="0.25">
      <c r="A110">
        <v>53217</v>
      </c>
      <c r="B110" t="s">
        <v>1201</v>
      </c>
      <c r="C110" t="s">
        <v>1266</v>
      </c>
      <c r="D110" t="s">
        <v>1713</v>
      </c>
      <c r="E110">
        <v>2288</v>
      </c>
      <c r="F110">
        <v>0</v>
      </c>
      <c r="G110">
        <v>0</v>
      </c>
      <c r="H110">
        <v>5827</v>
      </c>
      <c r="I110">
        <v>22</v>
      </c>
      <c r="J110">
        <v>8137</v>
      </c>
      <c r="K110">
        <f>COUNTIF(DF_Calculation!E:E,Table1[[#This Row],[ACS_CODE]])</f>
        <v>1</v>
      </c>
    </row>
    <row r="111" spans="1:11" x14ac:dyDescent="0.25">
      <c r="A111">
        <v>71111</v>
      </c>
      <c r="B111" t="s">
        <v>937</v>
      </c>
      <c r="C111" t="s">
        <v>937</v>
      </c>
      <c r="D111" t="s">
        <v>936</v>
      </c>
      <c r="E111">
        <v>2164</v>
      </c>
      <c r="F111">
        <v>0</v>
      </c>
      <c r="G111">
        <v>332</v>
      </c>
      <c r="H111">
        <v>28789</v>
      </c>
      <c r="J111">
        <v>31285</v>
      </c>
      <c r="K111">
        <f>COUNTIF(DF_Calculation!E:E,Table1[[#This Row],[ACS_CODE]])</f>
        <v>1</v>
      </c>
    </row>
    <row r="112" spans="1:11" x14ac:dyDescent="0.25">
      <c r="A112">
        <v>35235</v>
      </c>
      <c r="B112" t="s">
        <v>991</v>
      </c>
      <c r="C112" t="s">
        <v>991</v>
      </c>
      <c r="D112" t="s">
        <v>1714</v>
      </c>
      <c r="E112">
        <v>2091</v>
      </c>
      <c r="F112">
        <v>0</v>
      </c>
      <c r="G112">
        <v>0</v>
      </c>
      <c r="H112">
        <v>726</v>
      </c>
      <c r="J112">
        <v>2817</v>
      </c>
      <c r="K112">
        <f>COUNTIF(DF_Calculation!E:E,Table1[[#This Row],[ACS_CODE]])</f>
        <v>1</v>
      </c>
    </row>
    <row r="113" spans="1:11" x14ac:dyDescent="0.25">
      <c r="A113">
        <v>25121</v>
      </c>
      <c r="B113" t="s">
        <v>916</v>
      </c>
      <c r="C113" t="s">
        <v>1307</v>
      </c>
      <c r="D113" t="s">
        <v>1715</v>
      </c>
      <c r="E113">
        <v>2087</v>
      </c>
      <c r="F113">
        <v>0</v>
      </c>
      <c r="G113">
        <v>0</v>
      </c>
      <c r="H113">
        <v>12606</v>
      </c>
      <c r="I113">
        <v>478</v>
      </c>
      <c r="J113">
        <v>15171</v>
      </c>
      <c r="K113">
        <f>COUNTIF(DF_Calculation!E:E,Table1[[#This Row],[ACS_CODE]])</f>
        <v>1</v>
      </c>
    </row>
    <row r="114" spans="1:11" x14ac:dyDescent="0.25">
      <c r="A114">
        <v>26111</v>
      </c>
      <c r="B114" t="s">
        <v>916</v>
      </c>
      <c r="C114" t="s">
        <v>1295</v>
      </c>
      <c r="D114" t="s">
        <v>1716</v>
      </c>
      <c r="E114">
        <v>2082</v>
      </c>
      <c r="F114">
        <v>0</v>
      </c>
      <c r="G114">
        <v>0</v>
      </c>
      <c r="H114">
        <v>18914</v>
      </c>
      <c r="I114">
        <v>1395</v>
      </c>
      <c r="J114">
        <v>22391</v>
      </c>
      <c r="K114">
        <f>COUNTIF(DF_Calculation!E:E,Table1[[#This Row],[ACS_CODE]])</f>
        <v>1</v>
      </c>
    </row>
    <row r="115" spans="1:11" x14ac:dyDescent="0.25">
      <c r="A115">
        <v>35224</v>
      </c>
      <c r="B115" t="s">
        <v>991</v>
      </c>
      <c r="C115" t="s">
        <v>991</v>
      </c>
      <c r="D115" t="s">
        <v>1717</v>
      </c>
      <c r="E115">
        <v>2053</v>
      </c>
      <c r="F115">
        <v>0</v>
      </c>
      <c r="G115">
        <v>0</v>
      </c>
      <c r="H115">
        <v>2323</v>
      </c>
      <c r="J115">
        <v>4376</v>
      </c>
      <c r="K115">
        <f>COUNTIF(DF_Calculation!E:E,Table1[[#This Row],[ACS_CODE]])</f>
        <v>1</v>
      </c>
    </row>
    <row r="116" spans="1:11" x14ac:dyDescent="0.25">
      <c r="A116">
        <v>53214</v>
      </c>
      <c r="B116" t="s">
        <v>1201</v>
      </c>
      <c r="C116" t="s">
        <v>1266</v>
      </c>
      <c r="D116" t="s">
        <v>1718</v>
      </c>
      <c r="E116">
        <v>2026</v>
      </c>
      <c r="F116">
        <v>0</v>
      </c>
      <c r="G116">
        <v>0</v>
      </c>
      <c r="H116">
        <v>6838</v>
      </c>
      <c r="I116">
        <v>23</v>
      </c>
      <c r="J116">
        <v>8887</v>
      </c>
      <c r="K116">
        <f>COUNTIF(DF_Calculation!E:E,Table1[[#This Row],[ACS_CODE]])</f>
        <v>1</v>
      </c>
    </row>
    <row r="117" spans="1:11" x14ac:dyDescent="0.25">
      <c r="A117">
        <v>53167</v>
      </c>
      <c r="B117" t="s">
        <v>1201</v>
      </c>
      <c r="C117" t="s">
        <v>1266</v>
      </c>
      <c r="D117" t="s">
        <v>1719</v>
      </c>
      <c r="E117">
        <v>2016</v>
      </c>
      <c r="F117">
        <v>0</v>
      </c>
      <c r="G117">
        <v>0</v>
      </c>
      <c r="H117">
        <v>783</v>
      </c>
      <c r="I117">
        <v>17</v>
      </c>
      <c r="J117">
        <v>2816</v>
      </c>
      <c r="K117">
        <f>COUNTIF(DF_Calculation!E:E,Table1[[#This Row],[ACS_CODE]])</f>
        <v>1</v>
      </c>
    </row>
    <row r="118" spans="1:11" x14ac:dyDescent="0.25">
      <c r="A118">
        <v>22211</v>
      </c>
      <c r="B118" t="s">
        <v>916</v>
      </c>
      <c r="C118" t="s">
        <v>915</v>
      </c>
      <c r="D118" t="s">
        <v>938</v>
      </c>
      <c r="E118">
        <v>2003</v>
      </c>
      <c r="F118">
        <v>0</v>
      </c>
      <c r="G118">
        <v>0</v>
      </c>
      <c r="H118">
        <v>15068</v>
      </c>
      <c r="I118">
        <v>242</v>
      </c>
      <c r="J118">
        <v>17313</v>
      </c>
      <c r="K118">
        <f>COUNTIF(DF_Calculation!E:E,Table1[[#This Row],[ACS_CODE]])</f>
        <v>1</v>
      </c>
    </row>
    <row r="119" spans="1:11" x14ac:dyDescent="0.25">
      <c r="A119">
        <v>52171</v>
      </c>
      <c r="B119" t="s">
        <v>1260</v>
      </c>
      <c r="C119" t="s">
        <v>1323</v>
      </c>
      <c r="D119" t="s">
        <v>1720</v>
      </c>
      <c r="E119">
        <v>1964</v>
      </c>
      <c r="F119">
        <v>0</v>
      </c>
      <c r="G119">
        <v>0</v>
      </c>
      <c r="H119">
        <v>1606</v>
      </c>
      <c r="I119">
        <v>25</v>
      </c>
      <c r="J119">
        <v>3595</v>
      </c>
      <c r="K119">
        <f>COUNTIF(DF_Calculation!E:E,Table1[[#This Row],[ACS_CODE]])</f>
        <v>1</v>
      </c>
    </row>
    <row r="120" spans="1:11" x14ac:dyDescent="0.25">
      <c r="A120">
        <v>35237</v>
      </c>
      <c r="B120" t="s">
        <v>991</v>
      </c>
      <c r="C120" t="s">
        <v>991</v>
      </c>
      <c r="D120" t="s">
        <v>1721</v>
      </c>
      <c r="E120">
        <v>1941</v>
      </c>
      <c r="F120">
        <v>0</v>
      </c>
      <c r="G120">
        <v>0</v>
      </c>
      <c r="H120">
        <v>1136</v>
      </c>
      <c r="I120">
        <v>4</v>
      </c>
      <c r="J120">
        <v>3081</v>
      </c>
      <c r="K120">
        <f>COUNTIF(DF_Calculation!E:E,Table1[[#This Row],[ACS_CODE]])</f>
        <v>1</v>
      </c>
    </row>
    <row r="121" spans="1:11" x14ac:dyDescent="0.25">
      <c r="A121">
        <v>37311</v>
      </c>
      <c r="B121" t="s">
        <v>919</v>
      </c>
      <c r="C121" t="s">
        <v>918</v>
      </c>
      <c r="D121" t="s">
        <v>939</v>
      </c>
      <c r="E121">
        <v>1940</v>
      </c>
      <c r="F121">
        <v>0</v>
      </c>
      <c r="G121">
        <v>0</v>
      </c>
      <c r="H121">
        <v>4330</v>
      </c>
      <c r="I121">
        <v>17</v>
      </c>
      <c r="J121">
        <v>6287</v>
      </c>
      <c r="K121">
        <f>COUNTIF(DF_Calculation!E:E,Table1[[#This Row],[ACS_CODE]])</f>
        <v>1</v>
      </c>
    </row>
    <row r="122" spans="1:11" x14ac:dyDescent="0.25">
      <c r="A122">
        <v>35129</v>
      </c>
      <c r="B122" t="s">
        <v>991</v>
      </c>
      <c r="C122" t="s">
        <v>991</v>
      </c>
      <c r="D122" t="s">
        <v>1722</v>
      </c>
      <c r="E122">
        <v>1935</v>
      </c>
      <c r="F122">
        <v>0</v>
      </c>
      <c r="G122">
        <v>0</v>
      </c>
      <c r="H122">
        <v>4783</v>
      </c>
      <c r="I122">
        <v>38</v>
      </c>
      <c r="J122">
        <v>6756</v>
      </c>
      <c r="K122">
        <f>COUNTIF(DF_Calculation!E:E,Table1[[#This Row],[ACS_CODE]])</f>
        <v>1</v>
      </c>
    </row>
    <row r="123" spans="1:11" x14ac:dyDescent="0.25">
      <c r="A123">
        <v>52234</v>
      </c>
      <c r="B123" t="s">
        <v>1260</v>
      </c>
      <c r="C123" t="s">
        <v>1323</v>
      </c>
      <c r="D123" t="s">
        <v>1723</v>
      </c>
      <c r="E123">
        <v>1933</v>
      </c>
      <c r="F123">
        <v>0</v>
      </c>
      <c r="G123">
        <v>0</v>
      </c>
      <c r="H123">
        <v>441</v>
      </c>
      <c r="I123">
        <v>35</v>
      </c>
      <c r="J123">
        <v>2409</v>
      </c>
      <c r="K123">
        <f>COUNTIF(DF_Calculation!E:E,Table1[[#This Row],[ACS_CODE]])</f>
        <v>1</v>
      </c>
    </row>
    <row r="124" spans="1:11" x14ac:dyDescent="0.25">
      <c r="A124">
        <v>33271</v>
      </c>
      <c r="B124" t="s">
        <v>919</v>
      </c>
      <c r="C124" t="s">
        <v>1297</v>
      </c>
      <c r="D124" t="s">
        <v>1724</v>
      </c>
      <c r="E124">
        <v>1929</v>
      </c>
      <c r="F124">
        <v>0</v>
      </c>
      <c r="G124">
        <v>0</v>
      </c>
      <c r="H124">
        <v>3396</v>
      </c>
      <c r="I124">
        <v>8</v>
      </c>
      <c r="J124">
        <v>5333</v>
      </c>
      <c r="K124">
        <f>COUNTIF(DF_Calculation!E:E,Table1[[#This Row],[ACS_CODE]])</f>
        <v>1</v>
      </c>
    </row>
    <row r="125" spans="1:11" x14ac:dyDescent="0.25">
      <c r="A125">
        <v>31156</v>
      </c>
      <c r="B125" t="s">
        <v>919</v>
      </c>
      <c r="C125" t="s">
        <v>1255</v>
      </c>
      <c r="D125" t="s">
        <v>1725</v>
      </c>
      <c r="E125">
        <v>1922</v>
      </c>
      <c r="F125">
        <v>207</v>
      </c>
      <c r="G125">
        <v>0</v>
      </c>
      <c r="H125">
        <v>3023</v>
      </c>
      <c r="I125">
        <v>26</v>
      </c>
      <c r="J125">
        <v>5178</v>
      </c>
      <c r="K125">
        <f>COUNTIF(DF_Calculation!E:E,Table1[[#This Row],[ACS_CODE]])</f>
        <v>1</v>
      </c>
    </row>
    <row r="126" spans="1:11" x14ac:dyDescent="0.25">
      <c r="A126">
        <v>35417</v>
      </c>
      <c r="B126" t="s">
        <v>991</v>
      </c>
      <c r="C126" t="s">
        <v>991</v>
      </c>
      <c r="D126" t="s">
        <v>1726</v>
      </c>
      <c r="E126">
        <v>1898</v>
      </c>
      <c r="F126">
        <v>0</v>
      </c>
      <c r="G126">
        <v>0</v>
      </c>
      <c r="H126">
        <v>855</v>
      </c>
      <c r="I126">
        <v>3</v>
      </c>
      <c r="J126">
        <v>2756</v>
      </c>
      <c r="K126">
        <f>COUNTIF(DF_Calculation!E:E,Table1[[#This Row],[ACS_CODE]])</f>
        <v>1</v>
      </c>
    </row>
    <row r="127" spans="1:11" x14ac:dyDescent="0.25">
      <c r="A127">
        <v>35271</v>
      </c>
      <c r="B127" t="s">
        <v>991</v>
      </c>
      <c r="C127" t="s">
        <v>991</v>
      </c>
      <c r="D127" t="s">
        <v>1727</v>
      </c>
      <c r="E127">
        <v>1884</v>
      </c>
      <c r="F127">
        <v>0</v>
      </c>
      <c r="G127">
        <v>0</v>
      </c>
      <c r="H127">
        <v>1120</v>
      </c>
      <c r="J127">
        <v>3004</v>
      </c>
      <c r="K127">
        <f>COUNTIF(DF_Calculation!E:E,Table1[[#This Row],[ACS_CODE]])</f>
        <v>1</v>
      </c>
    </row>
    <row r="128" spans="1:11" x14ac:dyDescent="0.25">
      <c r="A128">
        <v>51224</v>
      </c>
      <c r="B128" t="s">
        <v>1260</v>
      </c>
      <c r="C128" t="s">
        <v>1259</v>
      </c>
      <c r="D128" t="s">
        <v>1728</v>
      </c>
      <c r="E128">
        <v>1883</v>
      </c>
      <c r="F128">
        <v>0</v>
      </c>
      <c r="G128">
        <v>0</v>
      </c>
      <c r="H128">
        <v>4928</v>
      </c>
      <c r="I128">
        <v>80</v>
      </c>
      <c r="J128">
        <v>6891</v>
      </c>
      <c r="K128">
        <f>COUNTIF(DF_Calculation!E:E,Table1[[#This Row],[ACS_CODE]])</f>
        <v>1</v>
      </c>
    </row>
    <row r="129" spans="1:11" x14ac:dyDescent="0.25">
      <c r="A129">
        <v>26141</v>
      </c>
      <c r="B129" t="s">
        <v>916</v>
      </c>
      <c r="C129" t="s">
        <v>1295</v>
      </c>
      <c r="D129" t="s">
        <v>1729</v>
      </c>
      <c r="E129">
        <v>1881</v>
      </c>
      <c r="F129">
        <v>0</v>
      </c>
      <c r="G129">
        <v>0</v>
      </c>
      <c r="H129">
        <v>19297</v>
      </c>
      <c r="I129">
        <v>435</v>
      </c>
      <c r="J129">
        <v>21613</v>
      </c>
      <c r="K129">
        <f>COUNTIF(DF_Calculation!E:E,Table1[[#This Row],[ACS_CODE]])</f>
        <v>1</v>
      </c>
    </row>
    <row r="130" spans="1:11" x14ac:dyDescent="0.25">
      <c r="A130">
        <v>53439</v>
      </c>
      <c r="B130" t="s">
        <v>1201</v>
      </c>
      <c r="C130" t="s">
        <v>1266</v>
      </c>
      <c r="D130" t="s">
        <v>1730</v>
      </c>
      <c r="E130">
        <v>1851</v>
      </c>
      <c r="F130">
        <v>0</v>
      </c>
      <c r="G130">
        <v>0</v>
      </c>
      <c r="H130">
        <v>1350</v>
      </c>
      <c r="I130">
        <v>32</v>
      </c>
      <c r="J130">
        <v>3233</v>
      </c>
      <c r="K130">
        <f>COUNTIF(DF_Calculation!E:E,Table1[[#This Row],[ACS_CODE]])</f>
        <v>1</v>
      </c>
    </row>
    <row r="131" spans="1:11" x14ac:dyDescent="0.25">
      <c r="A131">
        <v>53443</v>
      </c>
      <c r="B131" t="s">
        <v>1201</v>
      </c>
      <c r="C131" t="s">
        <v>1266</v>
      </c>
      <c r="D131" t="s">
        <v>1731</v>
      </c>
      <c r="E131">
        <v>1791</v>
      </c>
      <c r="F131">
        <v>0</v>
      </c>
      <c r="G131">
        <v>0</v>
      </c>
      <c r="H131">
        <v>2428</v>
      </c>
      <c r="I131">
        <v>10</v>
      </c>
      <c r="J131">
        <v>4229</v>
      </c>
      <c r="K131">
        <f>COUNTIF(DF_Calculation!E:E,Table1[[#This Row],[ACS_CODE]])</f>
        <v>1</v>
      </c>
    </row>
    <row r="132" spans="1:11" x14ac:dyDescent="0.25">
      <c r="A132">
        <v>31116</v>
      </c>
      <c r="B132" t="s">
        <v>919</v>
      </c>
      <c r="C132" t="s">
        <v>1255</v>
      </c>
      <c r="D132" t="s">
        <v>1732</v>
      </c>
      <c r="E132">
        <v>1774</v>
      </c>
      <c r="F132">
        <v>208</v>
      </c>
      <c r="G132">
        <v>0</v>
      </c>
      <c r="H132">
        <v>39544</v>
      </c>
      <c r="I132">
        <v>213</v>
      </c>
      <c r="J132">
        <v>41739</v>
      </c>
      <c r="K132">
        <f>COUNTIF(DF_Calculation!E:E,Table1[[#This Row],[ACS_CODE]])</f>
        <v>1</v>
      </c>
    </row>
    <row r="133" spans="1:11" x14ac:dyDescent="0.25">
      <c r="A133">
        <v>62241</v>
      </c>
      <c r="B133" t="s">
        <v>1270</v>
      </c>
      <c r="C133" t="s">
        <v>1269</v>
      </c>
      <c r="D133" t="s">
        <v>1733</v>
      </c>
      <c r="E133">
        <v>1738</v>
      </c>
      <c r="F133">
        <v>0</v>
      </c>
      <c r="G133">
        <v>0</v>
      </c>
      <c r="H133">
        <v>1948</v>
      </c>
      <c r="I133">
        <v>60</v>
      </c>
      <c r="J133">
        <v>3746</v>
      </c>
      <c r="K133">
        <f>COUNTIF(DF_Calculation!E:E,Table1[[#This Row],[ACS_CODE]])</f>
        <v>1</v>
      </c>
    </row>
    <row r="134" spans="1:11" x14ac:dyDescent="0.25">
      <c r="A134">
        <v>35213</v>
      </c>
      <c r="B134" t="s">
        <v>991</v>
      </c>
      <c r="C134" t="s">
        <v>991</v>
      </c>
      <c r="D134" t="s">
        <v>1734</v>
      </c>
      <c r="E134">
        <v>1728</v>
      </c>
      <c r="F134">
        <v>0</v>
      </c>
      <c r="G134">
        <v>0</v>
      </c>
      <c r="H134">
        <v>522</v>
      </c>
      <c r="I134">
        <v>5</v>
      </c>
      <c r="J134">
        <v>2255</v>
      </c>
      <c r="K134">
        <f>COUNTIF(DF_Calculation!E:E,Table1[[#This Row],[ACS_CODE]])</f>
        <v>1</v>
      </c>
    </row>
    <row r="135" spans="1:11" x14ac:dyDescent="0.25">
      <c r="A135">
        <v>35514</v>
      </c>
      <c r="B135" t="s">
        <v>991</v>
      </c>
      <c r="C135" t="s">
        <v>991</v>
      </c>
      <c r="D135" t="s">
        <v>1735</v>
      </c>
      <c r="E135">
        <v>1724</v>
      </c>
      <c r="F135">
        <v>0</v>
      </c>
      <c r="G135">
        <v>0</v>
      </c>
      <c r="H135">
        <v>477</v>
      </c>
      <c r="J135">
        <v>2201</v>
      </c>
      <c r="K135">
        <f>COUNTIF(DF_Calculation!E:E,Table1[[#This Row],[ACS_CODE]])</f>
        <v>1</v>
      </c>
    </row>
    <row r="136" spans="1:11" x14ac:dyDescent="0.25">
      <c r="A136">
        <v>51163</v>
      </c>
      <c r="B136" t="s">
        <v>1260</v>
      </c>
      <c r="C136" t="s">
        <v>1259</v>
      </c>
      <c r="D136" t="s">
        <v>1736</v>
      </c>
      <c r="E136">
        <v>1724</v>
      </c>
      <c r="F136">
        <v>0</v>
      </c>
      <c r="G136">
        <v>0</v>
      </c>
      <c r="H136">
        <v>3662</v>
      </c>
      <c r="I136">
        <v>35</v>
      </c>
      <c r="J136">
        <v>5421</v>
      </c>
      <c r="K136">
        <f>COUNTIF(DF_Calculation!E:E,Table1[[#This Row],[ACS_CODE]])</f>
        <v>1</v>
      </c>
    </row>
    <row r="137" spans="1:11" x14ac:dyDescent="0.25">
      <c r="A137">
        <v>61444</v>
      </c>
      <c r="B137" t="s">
        <v>1270</v>
      </c>
      <c r="C137" t="s">
        <v>1288</v>
      </c>
      <c r="D137" t="s">
        <v>1737</v>
      </c>
      <c r="E137">
        <v>1711</v>
      </c>
      <c r="F137">
        <v>0</v>
      </c>
      <c r="G137">
        <v>0</v>
      </c>
      <c r="H137">
        <v>2894</v>
      </c>
      <c r="I137">
        <v>244</v>
      </c>
      <c r="J137">
        <v>4849</v>
      </c>
      <c r="K137">
        <f>COUNTIF(DF_Calculation!E:E,Table1[[#This Row],[ACS_CODE]])</f>
        <v>1</v>
      </c>
    </row>
    <row r="138" spans="1:11" x14ac:dyDescent="0.25">
      <c r="A138">
        <v>61419</v>
      </c>
      <c r="B138" t="s">
        <v>1270</v>
      </c>
      <c r="C138" t="s">
        <v>1288</v>
      </c>
      <c r="D138" t="s">
        <v>1738</v>
      </c>
      <c r="E138">
        <v>1705</v>
      </c>
      <c r="F138">
        <v>0</v>
      </c>
      <c r="G138">
        <v>0</v>
      </c>
      <c r="H138">
        <v>3233</v>
      </c>
      <c r="I138">
        <v>120</v>
      </c>
      <c r="J138">
        <v>5058</v>
      </c>
      <c r="K138">
        <f>COUNTIF(DF_Calculation!E:E,Table1[[#This Row],[ACS_CODE]])</f>
        <v>1</v>
      </c>
    </row>
    <row r="139" spans="1:11" x14ac:dyDescent="0.25">
      <c r="A139">
        <v>21211</v>
      </c>
      <c r="B139" t="s">
        <v>916</v>
      </c>
      <c r="C139" t="s">
        <v>1275</v>
      </c>
      <c r="D139" t="s">
        <v>1275</v>
      </c>
      <c r="E139">
        <v>1689</v>
      </c>
      <c r="F139">
        <v>0</v>
      </c>
      <c r="G139">
        <v>23</v>
      </c>
      <c r="H139">
        <v>23842</v>
      </c>
      <c r="I139">
        <v>3828</v>
      </c>
      <c r="J139">
        <v>29382</v>
      </c>
      <c r="K139">
        <f>COUNTIF(DF_Calculation!E:E,Table1[[#This Row],[ACS_CODE]])</f>
        <v>1</v>
      </c>
    </row>
    <row r="140" spans="1:11" x14ac:dyDescent="0.25">
      <c r="A140">
        <v>25126</v>
      </c>
      <c r="B140" t="s">
        <v>916</v>
      </c>
      <c r="C140" t="s">
        <v>1307</v>
      </c>
      <c r="D140" t="s">
        <v>1739</v>
      </c>
      <c r="E140">
        <v>1680</v>
      </c>
      <c r="F140">
        <v>0</v>
      </c>
      <c r="G140">
        <v>0</v>
      </c>
      <c r="H140">
        <v>23787</v>
      </c>
      <c r="I140">
        <v>2255</v>
      </c>
      <c r="J140">
        <v>27722</v>
      </c>
      <c r="K140">
        <f>COUNTIF(DF_Calculation!E:E,Table1[[#This Row],[ACS_CODE]])</f>
        <v>1</v>
      </c>
    </row>
    <row r="141" spans="1:11" x14ac:dyDescent="0.25">
      <c r="A141">
        <v>53147</v>
      </c>
      <c r="B141" t="s">
        <v>1201</v>
      </c>
      <c r="C141" t="s">
        <v>1266</v>
      </c>
      <c r="D141" t="s">
        <v>1740</v>
      </c>
      <c r="E141">
        <v>1676</v>
      </c>
      <c r="F141">
        <v>0</v>
      </c>
      <c r="G141">
        <v>0</v>
      </c>
      <c r="H141">
        <v>767</v>
      </c>
      <c r="I141">
        <v>10</v>
      </c>
      <c r="J141">
        <v>2453</v>
      </c>
      <c r="K141">
        <f>COUNTIF(DF_Calculation!E:E,Table1[[#This Row],[ACS_CODE]])</f>
        <v>1</v>
      </c>
    </row>
    <row r="142" spans="1:11" x14ac:dyDescent="0.25">
      <c r="A142">
        <v>53127</v>
      </c>
      <c r="B142" t="s">
        <v>1201</v>
      </c>
      <c r="C142" t="s">
        <v>1266</v>
      </c>
      <c r="D142" t="s">
        <v>1265</v>
      </c>
      <c r="E142">
        <v>1617</v>
      </c>
      <c r="F142">
        <v>0</v>
      </c>
      <c r="G142">
        <v>0</v>
      </c>
      <c r="H142">
        <v>44</v>
      </c>
      <c r="J142">
        <v>1661</v>
      </c>
      <c r="K142">
        <f>COUNTIF(DF_Calculation!E:E,Table1[[#This Row],[ACS_CODE]])</f>
        <v>1</v>
      </c>
    </row>
    <row r="143" spans="1:11" x14ac:dyDescent="0.25">
      <c r="A143">
        <v>22411</v>
      </c>
      <c r="B143" t="s">
        <v>916</v>
      </c>
      <c r="C143" t="s">
        <v>915</v>
      </c>
      <c r="D143" t="s">
        <v>1741</v>
      </c>
      <c r="E143">
        <v>1609</v>
      </c>
      <c r="F143">
        <v>0</v>
      </c>
      <c r="G143">
        <v>0</v>
      </c>
      <c r="H143">
        <v>10156</v>
      </c>
      <c r="I143">
        <v>1031</v>
      </c>
      <c r="J143">
        <v>12796</v>
      </c>
      <c r="K143">
        <f>COUNTIF(DF_Calculation!E:E,Table1[[#This Row],[ACS_CODE]])</f>
        <v>1</v>
      </c>
    </row>
    <row r="144" spans="1:11" x14ac:dyDescent="0.25">
      <c r="A144">
        <v>52264</v>
      </c>
      <c r="B144" t="s">
        <v>1260</v>
      </c>
      <c r="C144" t="s">
        <v>1323</v>
      </c>
      <c r="D144" t="s">
        <v>1742</v>
      </c>
      <c r="E144">
        <v>1605</v>
      </c>
      <c r="F144">
        <v>0</v>
      </c>
      <c r="G144">
        <v>0</v>
      </c>
      <c r="H144">
        <v>3491</v>
      </c>
      <c r="I144">
        <v>8</v>
      </c>
      <c r="J144">
        <v>5104</v>
      </c>
      <c r="K144">
        <f>COUNTIF(DF_Calculation!E:E,Table1[[#This Row],[ACS_CODE]])</f>
        <v>1</v>
      </c>
    </row>
    <row r="145" spans="1:11" x14ac:dyDescent="0.25">
      <c r="A145">
        <v>32185</v>
      </c>
      <c r="B145" t="s">
        <v>919</v>
      </c>
      <c r="C145" t="s">
        <v>934</v>
      </c>
      <c r="D145" t="s">
        <v>940</v>
      </c>
      <c r="E145">
        <v>1578</v>
      </c>
      <c r="F145">
        <v>0</v>
      </c>
      <c r="G145">
        <v>0</v>
      </c>
      <c r="H145">
        <v>6106</v>
      </c>
      <c r="I145">
        <v>166</v>
      </c>
      <c r="J145">
        <v>7850</v>
      </c>
      <c r="K145">
        <f>COUNTIF(DF_Calculation!E:E,Table1[[#This Row],[ACS_CODE]])</f>
        <v>1</v>
      </c>
    </row>
    <row r="146" spans="1:11" x14ac:dyDescent="0.25">
      <c r="A146">
        <v>23321</v>
      </c>
      <c r="B146" t="s">
        <v>916</v>
      </c>
      <c r="C146" t="s">
        <v>921</v>
      </c>
      <c r="D146" t="s">
        <v>941</v>
      </c>
      <c r="E146">
        <v>1576</v>
      </c>
      <c r="F146">
        <v>513</v>
      </c>
      <c r="G146">
        <v>0</v>
      </c>
      <c r="H146">
        <v>3244</v>
      </c>
      <c r="I146">
        <v>107</v>
      </c>
      <c r="J146">
        <v>5440</v>
      </c>
      <c r="K146">
        <f>COUNTIF(DF_Calculation!E:E,Table1[[#This Row],[ACS_CODE]])</f>
        <v>1</v>
      </c>
    </row>
    <row r="147" spans="1:11" x14ac:dyDescent="0.25">
      <c r="A147">
        <v>31121</v>
      </c>
      <c r="B147" t="s">
        <v>919</v>
      </c>
      <c r="C147" t="s">
        <v>1255</v>
      </c>
      <c r="D147" t="s">
        <v>1743</v>
      </c>
      <c r="E147">
        <v>1559</v>
      </c>
      <c r="F147">
        <v>208</v>
      </c>
      <c r="G147">
        <v>0</v>
      </c>
      <c r="H147">
        <v>43610</v>
      </c>
      <c r="I147">
        <v>225</v>
      </c>
      <c r="J147">
        <v>45602</v>
      </c>
      <c r="K147">
        <f>COUNTIF(DF_Calculation!E:E,Table1[[#This Row],[ACS_CODE]])</f>
        <v>1</v>
      </c>
    </row>
    <row r="148" spans="1:11" x14ac:dyDescent="0.25">
      <c r="A148">
        <v>53415</v>
      </c>
      <c r="B148" t="s">
        <v>1201</v>
      </c>
      <c r="C148" t="s">
        <v>1266</v>
      </c>
      <c r="D148" t="s">
        <v>1744</v>
      </c>
      <c r="E148">
        <v>1546</v>
      </c>
      <c r="F148">
        <v>0</v>
      </c>
      <c r="G148">
        <v>0</v>
      </c>
      <c r="H148">
        <v>2834</v>
      </c>
      <c r="I148">
        <v>30</v>
      </c>
      <c r="J148">
        <v>4410</v>
      </c>
      <c r="K148">
        <f>COUNTIF(DF_Calculation!E:E,Table1[[#This Row],[ACS_CODE]])</f>
        <v>1</v>
      </c>
    </row>
    <row r="149" spans="1:11" x14ac:dyDescent="0.25">
      <c r="A149">
        <v>51217</v>
      </c>
      <c r="B149" t="s">
        <v>1260</v>
      </c>
      <c r="C149" t="s">
        <v>1259</v>
      </c>
      <c r="D149" t="s">
        <v>1745</v>
      </c>
      <c r="E149">
        <v>1499</v>
      </c>
      <c r="F149">
        <v>0</v>
      </c>
      <c r="G149">
        <v>0</v>
      </c>
      <c r="H149">
        <v>1838</v>
      </c>
      <c r="I149">
        <v>30</v>
      </c>
      <c r="J149">
        <v>3367</v>
      </c>
      <c r="K149">
        <f>COUNTIF(DF_Calculation!E:E,Table1[[#This Row],[ACS_CODE]])</f>
        <v>1</v>
      </c>
    </row>
    <row r="150" spans="1:11" x14ac:dyDescent="0.25">
      <c r="A150">
        <v>23623</v>
      </c>
      <c r="B150" t="s">
        <v>916</v>
      </c>
      <c r="C150" t="s">
        <v>921</v>
      </c>
      <c r="D150" t="s">
        <v>1267</v>
      </c>
      <c r="E150">
        <v>1498</v>
      </c>
      <c r="F150">
        <v>0</v>
      </c>
      <c r="G150">
        <v>0</v>
      </c>
      <c r="H150">
        <v>6279</v>
      </c>
      <c r="I150">
        <v>365</v>
      </c>
      <c r="J150">
        <v>8142</v>
      </c>
      <c r="K150">
        <f>COUNTIF(DF_Calculation!E:E,Table1[[#This Row],[ACS_CODE]])</f>
        <v>1</v>
      </c>
    </row>
    <row r="151" spans="1:11" x14ac:dyDescent="0.25">
      <c r="A151">
        <v>71155</v>
      </c>
      <c r="B151" t="s">
        <v>937</v>
      </c>
      <c r="C151" t="s">
        <v>937</v>
      </c>
      <c r="D151" t="s">
        <v>942</v>
      </c>
      <c r="E151">
        <v>1481</v>
      </c>
      <c r="F151">
        <v>0</v>
      </c>
      <c r="G151">
        <v>0</v>
      </c>
      <c r="H151">
        <v>10943</v>
      </c>
      <c r="I151">
        <v>58</v>
      </c>
      <c r="J151">
        <v>12482</v>
      </c>
      <c r="K151">
        <f>COUNTIF(DF_Calculation!E:E,Table1[[#This Row],[ACS_CODE]])</f>
        <v>1</v>
      </c>
    </row>
    <row r="152" spans="1:11" x14ac:dyDescent="0.25">
      <c r="A152">
        <v>71324</v>
      </c>
      <c r="B152" t="s">
        <v>937</v>
      </c>
      <c r="C152" t="s">
        <v>937</v>
      </c>
      <c r="D152" t="s">
        <v>943</v>
      </c>
      <c r="E152">
        <v>1465</v>
      </c>
      <c r="F152">
        <v>0</v>
      </c>
      <c r="G152">
        <v>0</v>
      </c>
      <c r="H152">
        <v>2163</v>
      </c>
      <c r="I152">
        <v>113</v>
      </c>
      <c r="J152">
        <v>3741</v>
      </c>
      <c r="K152">
        <f>COUNTIF(DF_Calculation!E:E,Table1[[#This Row],[ACS_CODE]])</f>
        <v>1</v>
      </c>
    </row>
    <row r="153" spans="1:11" x14ac:dyDescent="0.25">
      <c r="A153">
        <v>35234</v>
      </c>
      <c r="B153" t="s">
        <v>991</v>
      </c>
      <c r="C153" t="s">
        <v>991</v>
      </c>
      <c r="D153" t="s">
        <v>1746</v>
      </c>
      <c r="E153">
        <v>1457</v>
      </c>
      <c r="F153">
        <v>0</v>
      </c>
      <c r="G153">
        <v>0</v>
      </c>
      <c r="H153">
        <v>280</v>
      </c>
      <c r="J153">
        <v>1737</v>
      </c>
      <c r="K153">
        <f>COUNTIF(DF_Calculation!E:E,Table1[[#This Row],[ACS_CODE]])</f>
        <v>1</v>
      </c>
    </row>
    <row r="154" spans="1:11" x14ac:dyDescent="0.25">
      <c r="A154">
        <v>61159</v>
      </c>
      <c r="B154" t="s">
        <v>1270</v>
      </c>
      <c r="C154" t="s">
        <v>1288</v>
      </c>
      <c r="D154" t="s">
        <v>1747</v>
      </c>
      <c r="E154">
        <v>1447</v>
      </c>
      <c r="F154">
        <v>539</v>
      </c>
      <c r="G154">
        <v>0</v>
      </c>
      <c r="H154">
        <v>12374</v>
      </c>
      <c r="I154">
        <v>362</v>
      </c>
      <c r="J154">
        <v>14722</v>
      </c>
      <c r="K154">
        <f>COUNTIF(DF_Calculation!E:E,Table1[[#This Row],[ACS_CODE]])</f>
        <v>1</v>
      </c>
    </row>
    <row r="155" spans="1:11" x14ac:dyDescent="0.25">
      <c r="A155">
        <v>32179</v>
      </c>
      <c r="B155" t="s">
        <v>919</v>
      </c>
      <c r="C155" t="s">
        <v>934</v>
      </c>
      <c r="D155" t="s">
        <v>944</v>
      </c>
      <c r="E155">
        <v>1446</v>
      </c>
      <c r="F155">
        <v>0</v>
      </c>
      <c r="G155">
        <v>0</v>
      </c>
      <c r="H155">
        <v>5113</v>
      </c>
      <c r="I155">
        <v>35</v>
      </c>
      <c r="J155">
        <v>6594</v>
      </c>
      <c r="K155">
        <f>COUNTIF(DF_Calculation!E:E,Table1[[#This Row],[ACS_CODE]])</f>
        <v>1</v>
      </c>
    </row>
    <row r="156" spans="1:11" x14ac:dyDescent="0.25">
      <c r="A156">
        <v>71133</v>
      </c>
      <c r="B156" t="s">
        <v>937</v>
      </c>
      <c r="C156" t="s">
        <v>937</v>
      </c>
      <c r="D156" t="s">
        <v>945</v>
      </c>
      <c r="E156">
        <v>1418</v>
      </c>
      <c r="F156">
        <v>783</v>
      </c>
      <c r="G156">
        <v>0</v>
      </c>
      <c r="H156">
        <v>5467</v>
      </c>
      <c r="I156">
        <v>158</v>
      </c>
      <c r="J156">
        <v>7826</v>
      </c>
      <c r="K156">
        <f>COUNTIF(DF_Calculation!E:E,Table1[[#This Row],[ACS_CODE]])</f>
        <v>1</v>
      </c>
    </row>
    <row r="157" spans="1:11" x14ac:dyDescent="0.25">
      <c r="A157">
        <v>62243</v>
      </c>
      <c r="B157" t="s">
        <v>1270</v>
      </c>
      <c r="C157" t="s">
        <v>1269</v>
      </c>
      <c r="D157" t="s">
        <v>1268</v>
      </c>
      <c r="E157">
        <v>1413</v>
      </c>
      <c r="F157">
        <v>261</v>
      </c>
      <c r="G157">
        <v>0</v>
      </c>
      <c r="H157">
        <v>3917</v>
      </c>
      <c r="I157">
        <v>150</v>
      </c>
      <c r="J157">
        <v>5741</v>
      </c>
      <c r="K157">
        <f>COUNTIF(DF_Calculation!E:E,Table1[[#This Row],[ACS_CODE]])</f>
        <v>1</v>
      </c>
    </row>
    <row r="158" spans="1:11" x14ac:dyDescent="0.25">
      <c r="A158">
        <v>32181</v>
      </c>
      <c r="B158" t="s">
        <v>919</v>
      </c>
      <c r="C158" t="s">
        <v>934</v>
      </c>
      <c r="D158" t="s">
        <v>946</v>
      </c>
      <c r="E158">
        <v>1396</v>
      </c>
      <c r="F158">
        <v>0</v>
      </c>
      <c r="G158">
        <v>0</v>
      </c>
      <c r="H158">
        <v>7141</v>
      </c>
      <c r="I158">
        <v>144</v>
      </c>
      <c r="J158">
        <v>8681</v>
      </c>
      <c r="K158">
        <f>COUNTIF(DF_Calculation!E:E,Table1[[#This Row],[ACS_CODE]])</f>
        <v>1</v>
      </c>
    </row>
    <row r="159" spans="1:11" x14ac:dyDescent="0.25">
      <c r="A159">
        <v>52237</v>
      </c>
      <c r="B159" t="s">
        <v>1260</v>
      </c>
      <c r="C159" t="s">
        <v>1323</v>
      </c>
      <c r="D159" t="s">
        <v>1748</v>
      </c>
      <c r="E159">
        <v>1393</v>
      </c>
      <c r="F159">
        <v>338</v>
      </c>
      <c r="G159">
        <v>716</v>
      </c>
      <c r="H159">
        <v>4338</v>
      </c>
      <c r="I159">
        <v>294</v>
      </c>
      <c r="J159">
        <v>7079</v>
      </c>
      <c r="K159">
        <f>COUNTIF(DF_Calculation!E:E,Table1[[#This Row],[ACS_CODE]])</f>
        <v>1</v>
      </c>
    </row>
    <row r="160" spans="1:11" x14ac:dyDescent="0.25">
      <c r="A160">
        <v>35439</v>
      </c>
      <c r="B160" t="s">
        <v>991</v>
      </c>
      <c r="C160" t="s">
        <v>991</v>
      </c>
      <c r="D160" t="s">
        <v>1749</v>
      </c>
      <c r="E160">
        <v>1382</v>
      </c>
      <c r="F160">
        <v>0</v>
      </c>
      <c r="G160">
        <v>0</v>
      </c>
      <c r="H160">
        <v>1195</v>
      </c>
      <c r="I160">
        <v>6</v>
      </c>
      <c r="J160">
        <v>2583</v>
      </c>
      <c r="K160">
        <f>COUNTIF(DF_Calculation!E:E,Table1[[#This Row],[ACS_CODE]])</f>
        <v>1</v>
      </c>
    </row>
    <row r="161" spans="1:11" x14ac:dyDescent="0.25">
      <c r="A161">
        <v>21411</v>
      </c>
      <c r="B161" t="s">
        <v>916</v>
      </c>
      <c r="C161" t="s">
        <v>1275</v>
      </c>
      <c r="D161" t="s">
        <v>1750</v>
      </c>
      <c r="E161">
        <v>1369</v>
      </c>
      <c r="F161">
        <v>0</v>
      </c>
      <c r="G161">
        <v>0</v>
      </c>
      <c r="H161">
        <v>2130</v>
      </c>
      <c r="I161">
        <v>81</v>
      </c>
      <c r="J161">
        <v>3580</v>
      </c>
      <c r="K161">
        <f>COUNTIF(DF_Calculation!E:E,Table1[[#This Row],[ACS_CODE]])</f>
        <v>1</v>
      </c>
    </row>
    <row r="162" spans="1:11" x14ac:dyDescent="0.25">
      <c r="A162">
        <v>35459</v>
      </c>
      <c r="B162" t="s">
        <v>991</v>
      </c>
      <c r="C162" t="s">
        <v>991</v>
      </c>
      <c r="D162" t="s">
        <v>1751</v>
      </c>
      <c r="E162">
        <v>1361</v>
      </c>
      <c r="F162">
        <v>0</v>
      </c>
      <c r="G162">
        <v>0</v>
      </c>
      <c r="H162">
        <v>1695</v>
      </c>
      <c r="I162">
        <v>3</v>
      </c>
      <c r="J162">
        <v>3059</v>
      </c>
      <c r="K162">
        <f>COUNTIF(DF_Calculation!E:E,Table1[[#This Row],[ACS_CODE]])</f>
        <v>1</v>
      </c>
    </row>
    <row r="163" spans="1:11" x14ac:dyDescent="0.25">
      <c r="A163">
        <v>31166</v>
      </c>
      <c r="B163" t="s">
        <v>919</v>
      </c>
      <c r="C163" t="s">
        <v>1255</v>
      </c>
      <c r="D163" t="s">
        <v>1752</v>
      </c>
      <c r="E163">
        <v>1359</v>
      </c>
      <c r="F163">
        <v>207</v>
      </c>
      <c r="G163">
        <v>545</v>
      </c>
      <c r="H163">
        <v>1681</v>
      </c>
      <c r="I163">
        <v>966</v>
      </c>
      <c r="J163">
        <v>4758</v>
      </c>
      <c r="K163">
        <f>COUNTIF(DF_Calculation!E:E,Table1[[#This Row],[ACS_CODE]])</f>
        <v>1</v>
      </c>
    </row>
    <row r="164" spans="1:11" x14ac:dyDescent="0.25">
      <c r="A164">
        <v>71361</v>
      </c>
      <c r="B164" t="s">
        <v>937</v>
      </c>
      <c r="C164" t="s">
        <v>937</v>
      </c>
      <c r="D164" t="s">
        <v>1753</v>
      </c>
      <c r="E164">
        <v>1354</v>
      </c>
      <c r="F164">
        <v>783</v>
      </c>
      <c r="G164">
        <v>0</v>
      </c>
      <c r="H164">
        <v>10020</v>
      </c>
      <c r="I164">
        <v>181</v>
      </c>
      <c r="J164">
        <v>12338</v>
      </c>
      <c r="K164">
        <f>COUNTIF(DF_Calculation!E:E,Table1[[#This Row],[ACS_CODE]])</f>
        <v>1</v>
      </c>
    </row>
    <row r="165" spans="1:11" x14ac:dyDescent="0.25">
      <c r="A165">
        <v>35191</v>
      </c>
      <c r="B165" t="s">
        <v>991</v>
      </c>
      <c r="C165" t="s">
        <v>991</v>
      </c>
      <c r="D165" t="s">
        <v>1754</v>
      </c>
      <c r="E165">
        <v>1344</v>
      </c>
      <c r="F165">
        <v>0</v>
      </c>
      <c r="G165">
        <v>0</v>
      </c>
      <c r="H165">
        <v>8788</v>
      </c>
      <c r="I165">
        <v>15</v>
      </c>
      <c r="J165">
        <v>10147</v>
      </c>
      <c r="K165">
        <f>COUNTIF(DF_Calculation!E:E,Table1[[#This Row],[ACS_CODE]])</f>
        <v>1</v>
      </c>
    </row>
    <row r="166" spans="1:11" x14ac:dyDescent="0.25">
      <c r="A166">
        <v>53435</v>
      </c>
      <c r="B166" t="s">
        <v>1201</v>
      </c>
      <c r="C166" t="s">
        <v>1266</v>
      </c>
      <c r="D166" t="s">
        <v>1755</v>
      </c>
      <c r="E166">
        <v>1334</v>
      </c>
      <c r="F166">
        <v>0</v>
      </c>
      <c r="G166">
        <v>0</v>
      </c>
      <c r="H166">
        <v>3433</v>
      </c>
      <c r="I166">
        <v>25</v>
      </c>
      <c r="J166">
        <v>4792</v>
      </c>
      <c r="K166">
        <f>COUNTIF(DF_Calculation!E:E,Table1[[#This Row],[ACS_CODE]])</f>
        <v>1</v>
      </c>
    </row>
    <row r="167" spans="1:11" x14ac:dyDescent="0.25">
      <c r="A167">
        <v>35515</v>
      </c>
      <c r="B167" t="s">
        <v>991</v>
      </c>
      <c r="C167" t="s">
        <v>991</v>
      </c>
      <c r="D167" t="s">
        <v>1271</v>
      </c>
      <c r="E167">
        <v>1318</v>
      </c>
      <c r="F167">
        <v>0</v>
      </c>
      <c r="G167">
        <v>0</v>
      </c>
      <c r="H167">
        <v>485</v>
      </c>
      <c r="J167">
        <v>1803</v>
      </c>
      <c r="K167">
        <f>COUNTIF(DF_Calculation!E:E,Table1[[#This Row],[ACS_CODE]])</f>
        <v>1</v>
      </c>
    </row>
    <row r="168" spans="1:11" x14ac:dyDescent="0.25">
      <c r="A168">
        <v>53413</v>
      </c>
      <c r="B168" t="s">
        <v>1201</v>
      </c>
      <c r="C168" t="s">
        <v>1266</v>
      </c>
      <c r="D168" t="s">
        <v>1756</v>
      </c>
      <c r="E168">
        <v>1309</v>
      </c>
      <c r="F168">
        <v>0</v>
      </c>
      <c r="G168">
        <v>0</v>
      </c>
      <c r="H168">
        <v>2950</v>
      </c>
      <c r="I168">
        <v>110</v>
      </c>
      <c r="J168">
        <v>4369</v>
      </c>
      <c r="K168">
        <f>COUNTIF(DF_Calculation!E:E,Table1[[#This Row],[ACS_CODE]])</f>
        <v>1</v>
      </c>
    </row>
    <row r="169" spans="1:11" x14ac:dyDescent="0.25">
      <c r="A169">
        <v>24337</v>
      </c>
      <c r="B169" t="s">
        <v>916</v>
      </c>
      <c r="C169" t="s">
        <v>1282</v>
      </c>
      <c r="D169" t="s">
        <v>1757</v>
      </c>
      <c r="E169">
        <v>1294</v>
      </c>
      <c r="F169">
        <v>0</v>
      </c>
      <c r="G169">
        <v>0</v>
      </c>
      <c r="H169">
        <v>2038</v>
      </c>
      <c r="I169">
        <v>24</v>
      </c>
      <c r="J169">
        <v>3356</v>
      </c>
      <c r="K169">
        <f>COUNTIF(DF_Calculation!E:E,Table1[[#This Row],[ACS_CODE]])</f>
        <v>1</v>
      </c>
    </row>
    <row r="170" spans="1:11" x14ac:dyDescent="0.25">
      <c r="A170">
        <v>25111</v>
      </c>
      <c r="B170" t="s">
        <v>916</v>
      </c>
      <c r="C170" t="s">
        <v>1307</v>
      </c>
      <c r="D170" t="s">
        <v>1758</v>
      </c>
      <c r="E170">
        <v>1264</v>
      </c>
      <c r="F170">
        <v>126</v>
      </c>
      <c r="G170">
        <v>82</v>
      </c>
      <c r="H170">
        <v>20973</v>
      </c>
      <c r="I170">
        <v>1488</v>
      </c>
      <c r="J170">
        <v>23933</v>
      </c>
      <c r="K170">
        <f>COUNTIF(DF_Calculation!E:E,Table1[[#This Row],[ACS_CODE]])</f>
        <v>1</v>
      </c>
    </row>
    <row r="171" spans="1:11" x14ac:dyDescent="0.25">
      <c r="A171">
        <v>23511</v>
      </c>
      <c r="B171" t="s">
        <v>916</v>
      </c>
      <c r="C171" t="s">
        <v>921</v>
      </c>
      <c r="D171" t="s">
        <v>947</v>
      </c>
      <c r="E171">
        <v>1258</v>
      </c>
      <c r="F171">
        <v>0</v>
      </c>
      <c r="G171">
        <v>0</v>
      </c>
      <c r="H171">
        <v>9843</v>
      </c>
      <c r="I171">
        <v>489</v>
      </c>
      <c r="J171">
        <v>11590</v>
      </c>
      <c r="K171">
        <f>COUNTIF(DF_Calculation!E:E,Table1[[#This Row],[ACS_CODE]])</f>
        <v>1</v>
      </c>
    </row>
    <row r="172" spans="1:11" x14ac:dyDescent="0.25">
      <c r="A172">
        <v>35137</v>
      </c>
      <c r="B172" t="s">
        <v>991</v>
      </c>
      <c r="C172" t="s">
        <v>991</v>
      </c>
      <c r="D172" t="s">
        <v>1759</v>
      </c>
      <c r="E172">
        <v>1256</v>
      </c>
      <c r="F172">
        <v>0</v>
      </c>
      <c r="G172">
        <v>0</v>
      </c>
      <c r="H172">
        <v>4117</v>
      </c>
      <c r="I172">
        <v>10</v>
      </c>
      <c r="J172">
        <v>5383</v>
      </c>
      <c r="K172">
        <f>COUNTIF(DF_Calculation!E:E,Table1[[#This Row],[ACS_CODE]])</f>
        <v>1</v>
      </c>
    </row>
    <row r="173" spans="1:11" x14ac:dyDescent="0.25">
      <c r="A173">
        <v>37391</v>
      </c>
      <c r="B173" t="s">
        <v>919</v>
      </c>
      <c r="C173" t="s">
        <v>918</v>
      </c>
      <c r="D173" t="s">
        <v>948</v>
      </c>
      <c r="E173">
        <v>1228</v>
      </c>
      <c r="F173">
        <v>0</v>
      </c>
      <c r="G173">
        <v>0</v>
      </c>
      <c r="H173">
        <v>9135</v>
      </c>
      <c r="I173">
        <v>109</v>
      </c>
      <c r="J173">
        <v>10472</v>
      </c>
      <c r="K173">
        <f>COUNTIF(DF_Calculation!E:E,Table1[[#This Row],[ACS_CODE]])</f>
        <v>1</v>
      </c>
    </row>
    <row r="174" spans="1:11" x14ac:dyDescent="0.25">
      <c r="A174">
        <v>26171</v>
      </c>
      <c r="B174" t="s">
        <v>916</v>
      </c>
      <c r="C174" t="s">
        <v>1295</v>
      </c>
      <c r="D174" t="s">
        <v>1760</v>
      </c>
      <c r="E174">
        <v>1224</v>
      </c>
      <c r="F174">
        <v>0</v>
      </c>
      <c r="G174">
        <v>0</v>
      </c>
      <c r="H174">
        <v>3572</v>
      </c>
      <c r="I174">
        <v>272</v>
      </c>
      <c r="J174">
        <v>5068</v>
      </c>
      <c r="K174">
        <f>COUNTIF(DF_Calculation!E:E,Table1[[#This Row],[ACS_CODE]])</f>
        <v>1</v>
      </c>
    </row>
    <row r="175" spans="1:11" x14ac:dyDescent="0.25">
      <c r="A175">
        <v>61434</v>
      </c>
      <c r="B175" t="s">
        <v>1270</v>
      </c>
      <c r="C175" t="s">
        <v>1288</v>
      </c>
      <c r="D175" t="s">
        <v>1761</v>
      </c>
      <c r="E175">
        <v>1207</v>
      </c>
      <c r="F175">
        <v>141</v>
      </c>
      <c r="G175">
        <v>156</v>
      </c>
      <c r="H175">
        <v>5174</v>
      </c>
      <c r="I175">
        <v>130</v>
      </c>
      <c r="J175">
        <v>6808</v>
      </c>
      <c r="K175">
        <f>COUNTIF(DF_Calculation!E:E,Table1[[#This Row],[ACS_CODE]])</f>
        <v>1</v>
      </c>
    </row>
    <row r="176" spans="1:11" x14ac:dyDescent="0.25">
      <c r="A176">
        <v>23231</v>
      </c>
      <c r="B176" t="s">
        <v>916</v>
      </c>
      <c r="C176" t="s">
        <v>921</v>
      </c>
      <c r="D176" t="s">
        <v>949</v>
      </c>
      <c r="E176">
        <v>1203</v>
      </c>
      <c r="F176">
        <v>514</v>
      </c>
      <c r="G176">
        <v>0</v>
      </c>
      <c r="H176">
        <v>5410</v>
      </c>
      <c r="I176">
        <v>16</v>
      </c>
      <c r="J176">
        <v>7143</v>
      </c>
      <c r="K176">
        <f>COUNTIF(DF_Calculation!E:E,Table1[[#This Row],[ACS_CODE]])</f>
        <v>1</v>
      </c>
    </row>
    <row r="177" spans="1:11" x14ac:dyDescent="0.25">
      <c r="A177">
        <v>37241</v>
      </c>
      <c r="B177" t="s">
        <v>919</v>
      </c>
      <c r="C177" t="s">
        <v>918</v>
      </c>
      <c r="D177" t="s">
        <v>950</v>
      </c>
      <c r="E177">
        <v>1201</v>
      </c>
      <c r="F177">
        <v>0</v>
      </c>
      <c r="G177">
        <v>0</v>
      </c>
      <c r="H177">
        <v>5008</v>
      </c>
      <c r="I177">
        <v>34</v>
      </c>
      <c r="J177">
        <v>6243</v>
      </c>
      <c r="K177">
        <f>COUNTIF(DF_Calculation!E:E,Table1[[#This Row],[ACS_CODE]])</f>
        <v>1</v>
      </c>
    </row>
    <row r="178" spans="1:11" x14ac:dyDescent="0.25">
      <c r="A178">
        <v>71166</v>
      </c>
      <c r="B178" t="s">
        <v>937</v>
      </c>
      <c r="C178" t="s">
        <v>937</v>
      </c>
      <c r="D178" t="s">
        <v>951</v>
      </c>
      <c r="E178">
        <v>1200</v>
      </c>
      <c r="F178">
        <v>0</v>
      </c>
      <c r="G178">
        <v>0</v>
      </c>
      <c r="H178">
        <v>4943</v>
      </c>
      <c r="I178">
        <v>13</v>
      </c>
      <c r="J178">
        <v>6156</v>
      </c>
      <c r="K178">
        <f>COUNTIF(DF_Calculation!E:E,Table1[[#This Row],[ACS_CODE]])</f>
        <v>1</v>
      </c>
    </row>
    <row r="179" spans="1:11" x14ac:dyDescent="0.25">
      <c r="A179">
        <v>35231</v>
      </c>
      <c r="B179" t="s">
        <v>991</v>
      </c>
      <c r="C179" t="s">
        <v>991</v>
      </c>
      <c r="D179" t="s">
        <v>1272</v>
      </c>
      <c r="E179">
        <v>1190</v>
      </c>
      <c r="F179">
        <v>0</v>
      </c>
      <c r="G179">
        <v>0</v>
      </c>
      <c r="H179">
        <v>2036</v>
      </c>
      <c r="J179">
        <v>3226</v>
      </c>
      <c r="K179">
        <f>COUNTIF(DF_Calculation!E:E,Table1[[#This Row],[ACS_CODE]])</f>
        <v>1</v>
      </c>
    </row>
    <row r="180" spans="1:11" x14ac:dyDescent="0.25">
      <c r="A180">
        <v>26147</v>
      </c>
      <c r="B180" t="s">
        <v>916</v>
      </c>
      <c r="C180" t="s">
        <v>1295</v>
      </c>
      <c r="D180" t="s">
        <v>1762</v>
      </c>
      <c r="E180">
        <v>1187</v>
      </c>
      <c r="F180">
        <v>0</v>
      </c>
      <c r="G180">
        <v>0</v>
      </c>
      <c r="H180">
        <v>7919</v>
      </c>
      <c r="I180">
        <v>616</v>
      </c>
      <c r="J180">
        <v>9722</v>
      </c>
      <c r="K180">
        <f>COUNTIF(DF_Calculation!E:E,Table1[[#This Row],[ACS_CODE]])</f>
        <v>1</v>
      </c>
    </row>
    <row r="181" spans="1:11" x14ac:dyDescent="0.25">
      <c r="A181">
        <v>35227</v>
      </c>
      <c r="B181" t="s">
        <v>991</v>
      </c>
      <c r="C181" t="s">
        <v>991</v>
      </c>
      <c r="D181" t="s">
        <v>1763</v>
      </c>
      <c r="E181">
        <v>1185</v>
      </c>
      <c r="F181">
        <v>0</v>
      </c>
      <c r="G181">
        <v>0</v>
      </c>
      <c r="H181">
        <v>1059</v>
      </c>
      <c r="I181">
        <v>28</v>
      </c>
      <c r="J181">
        <v>2272</v>
      </c>
      <c r="K181">
        <f>COUNTIF(DF_Calculation!E:E,Table1[[#This Row],[ACS_CODE]])</f>
        <v>1</v>
      </c>
    </row>
    <row r="182" spans="1:11" x14ac:dyDescent="0.25">
      <c r="A182">
        <v>23227</v>
      </c>
      <c r="B182" t="s">
        <v>916</v>
      </c>
      <c r="C182" t="s">
        <v>921</v>
      </c>
      <c r="D182" t="s">
        <v>1273</v>
      </c>
      <c r="E182">
        <v>1178</v>
      </c>
      <c r="F182">
        <v>513</v>
      </c>
      <c r="G182">
        <v>0</v>
      </c>
      <c r="H182">
        <v>3936</v>
      </c>
      <c r="I182">
        <v>109</v>
      </c>
      <c r="J182">
        <v>5736</v>
      </c>
      <c r="K182">
        <f>COUNTIF(DF_Calculation!E:E,Table1[[#This Row],[ACS_CODE]])</f>
        <v>1</v>
      </c>
    </row>
    <row r="183" spans="1:11" x14ac:dyDescent="0.25">
      <c r="A183">
        <v>62246</v>
      </c>
      <c r="B183" t="s">
        <v>1270</v>
      </c>
      <c r="C183" t="s">
        <v>1269</v>
      </c>
      <c r="D183" t="s">
        <v>1764</v>
      </c>
      <c r="E183">
        <v>1156</v>
      </c>
      <c r="F183">
        <v>261</v>
      </c>
      <c r="G183">
        <v>0</v>
      </c>
      <c r="H183">
        <v>4882</v>
      </c>
      <c r="I183">
        <v>161</v>
      </c>
      <c r="J183">
        <v>6460</v>
      </c>
      <c r="K183">
        <f>COUNTIF(DF_Calculation!E:E,Table1[[#This Row],[ACS_CODE]])</f>
        <v>1</v>
      </c>
    </row>
    <row r="184" spans="1:11" x14ac:dyDescent="0.25">
      <c r="A184">
        <v>73159</v>
      </c>
      <c r="B184" t="s">
        <v>937</v>
      </c>
      <c r="C184" t="s">
        <v>1278</v>
      </c>
      <c r="D184" t="s">
        <v>1765</v>
      </c>
      <c r="E184">
        <v>1146</v>
      </c>
      <c r="F184">
        <v>0</v>
      </c>
      <c r="G184">
        <v>0</v>
      </c>
      <c r="H184">
        <v>2954</v>
      </c>
      <c r="I184">
        <v>15</v>
      </c>
      <c r="J184">
        <v>4115</v>
      </c>
      <c r="K184">
        <f>COUNTIF(DF_Calculation!E:E,Table1[[#This Row],[ACS_CODE]])</f>
        <v>1</v>
      </c>
    </row>
    <row r="185" spans="1:11" x14ac:dyDescent="0.25">
      <c r="A185">
        <v>21133</v>
      </c>
      <c r="B185" t="s">
        <v>916</v>
      </c>
      <c r="C185" t="s">
        <v>1275</v>
      </c>
      <c r="D185" t="s">
        <v>1274</v>
      </c>
      <c r="E185">
        <v>1138</v>
      </c>
      <c r="F185">
        <v>0</v>
      </c>
      <c r="G185">
        <v>24</v>
      </c>
      <c r="H185">
        <v>10206</v>
      </c>
      <c r="I185">
        <v>853</v>
      </c>
      <c r="J185">
        <v>12221</v>
      </c>
      <c r="K185">
        <f>COUNTIF(DF_Calculation!E:E,Table1[[#This Row],[ACS_CODE]])</f>
        <v>1</v>
      </c>
    </row>
    <row r="186" spans="1:11" x14ac:dyDescent="0.25">
      <c r="A186">
        <v>25311</v>
      </c>
      <c r="B186" t="s">
        <v>916</v>
      </c>
      <c r="C186" t="s">
        <v>1307</v>
      </c>
      <c r="D186" t="s">
        <v>1766</v>
      </c>
      <c r="E186">
        <v>1135</v>
      </c>
      <c r="F186">
        <v>0</v>
      </c>
      <c r="G186">
        <v>0</v>
      </c>
      <c r="H186">
        <v>9145</v>
      </c>
      <c r="I186">
        <v>890</v>
      </c>
      <c r="J186">
        <v>11170</v>
      </c>
      <c r="K186">
        <f>COUNTIF(DF_Calculation!E:E,Table1[[#This Row],[ACS_CODE]])</f>
        <v>1</v>
      </c>
    </row>
    <row r="187" spans="1:11" x14ac:dyDescent="0.25">
      <c r="A187">
        <v>52151</v>
      </c>
      <c r="B187" t="s">
        <v>1260</v>
      </c>
      <c r="C187" t="s">
        <v>1323</v>
      </c>
      <c r="D187" t="s">
        <v>1767</v>
      </c>
      <c r="E187">
        <v>1134</v>
      </c>
      <c r="F187">
        <v>0</v>
      </c>
      <c r="G187">
        <v>0</v>
      </c>
      <c r="H187">
        <v>3014</v>
      </c>
      <c r="I187">
        <v>58</v>
      </c>
      <c r="J187">
        <v>4206</v>
      </c>
      <c r="K187">
        <f>COUNTIF(DF_Calculation!E:E,Table1[[#This Row],[ACS_CODE]])</f>
        <v>1</v>
      </c>
    </row>
    <row r="188" spans="1:11" x14ac:dyDescent="0.25">
      <c r="A188">
        <v>25423</v>
      </c>
      <c r="B188" t="s">
        <v>916</v>
      </c>
      <c r="C188" t="s">
        <v>1307</v>
      </c>
      <c r="D188" t="s">
        <v>1768</v>
      </c>
      <c r="E188">
        <v>1131</v>
      </c>
      <c r="F188">
        <v>0</v>
      </c>
      <c r="G188">
        <v>0</v>
      </c>
      <c r="H188">
        <v>5406</v>
      </c>
      <c r="I188">
        <v>178</v>
      </c>
      <c r="J188">
        <v>6715</v>
      </c>
      <c r="K188">
        <f>COUNTIF(DF_Calculation!E:E,Table1[[#This Row],[ACS_CODE]])</f>
        <v>1</v>
      </c>
    </row>
    <row r="189" spans="1:11" x14ac:dyDescent="0.25">
      <c r="A189">
        <v>35233</v>
      </c>
      <c r="B189" t="s">
        <v>991</v>
      </c>
      <c r="C189" t="s">
        <v>991</v>
      </c>
      <c r="D189" t="s">
        <v>1276</v>
      </c>
      <c r="E189">
        <v>1109</v>
      </c>
      <c r="F189">
        <v>0</v>
      </c>
      <c r="G189">
        <v>0</v>
      </c>
      <c r="H189">
        <v>1272</v>
      </c>
      <c r="I189">
        <v>12</v>
      </c>
      <c r="J189">
        <v>2393</v>
      </c>
      <c r="K189">
        <f>COUNTIF(DF_Calculation!E:E,Table1[[#This Row],[ACS_CODE]])</f>
        <v>1</v>
      </c>
    </row>
    <row r="190" spans="1:11" x14ac:dyDescent="0.25">
      <c r="A190">
        <v>24343</v>
      </c>
      <c r="B190" t="s">
        <v>916</v>
      </c>
      <c r="C190" t="s">
        <v>1282</v>
      </c>
      <c r="D190" t="s">
        <v>1769</v>
      </c>
      <c r="E190">
        <v>1109</v>
      </c>
      <c r="F190">
        <v>0</v>
      </c>
      <c r="G190">
        <v>0</v>
      </c>
      <c r="H190">
        <v>8303</v>
      </c>
      <c r="I190">
        <v>104</v>
      </c>
      <c r="J190">
        <v>9516</v>
      </c>
      <c r="K190">
        <f>COUNTIF(DF_Calculation!E:E,Table1[[#This Row],[ACS_CODE]])</f>
        <v>1</v>
      </c>
    </row>
    <row r="191" spans="1:11" x14ac:dyDescent="0.25">
      <c r="A191">
        <v>35219</v>
      </c>
      <c r="B191" t="s">
        <v>991</v>
      </c>
      <c r="C191" t="s">
        <v>991</v>
      </c>
      <c r="D191" t="s">
        <v>1277</v>
      </c>
      <c r="E191">
        <v>1102</v>
      </c>
      <c r="F191">
        <v>0</v>
      </c>
      <c r="G191">
        <v>0</v>
      </c>
      <c r="H191">
        <v>1105</v>
      </c>
      <c r="J191">
        <v>2207</v>
      </c>
      <c r="K191">
        <f>COUNTIF(DF_Calculation!E:E,Table1[[#This Row],[ACS_CODE]])</f>
        <v>1</v>
      </c>
    </row>
    <row r="192" spans="1:11" x14ac:dyDescent="0.25">
      <c r="A192">
        <v>61183</v>
      </c>
      <c r="B192" t="s">
        <v>1270</v>
      </c>
      <c r="C192" t="s">
        <v>1288</v>
      </c>
      <c r="D192" t="s">
        <v>1770</v>
      </c>
      <c r="E192">
        <v>1079</v>
      </c>
      <c r="F192">
        <v>7799</v>
      </c>
      <c r="G192">
        <v>261</v>
      </c>
      <c r="H192">
        <v>21548</v>
      </c>
      <c r="I192">
        <v>21</v>
      </c>
      <c r="J192">
        <v>30708</v>
      </c>
      <c r="K192">
        <f>COUNTIF(DF_Calculation!E:E,Table1[[#This Row],[ACS_CODE]])</f>
        <v>1</v>
      </c>
    </row>
    <row r="193" spans="1:11" x14ac:dyDescent="0.25">
      <c r="A193">
        <v>71334</v>
      </c>
      <c r="B193" t="s">
        <v>937</v>
      </c>
      <c r="C193" t="s">
        <v>937</v>
      </c>
      <c r="D193" t="s">
        <v>952</v>
      </c>
      <c r="E193">
        <v>1073</v>
      </c>
      <c r="F193">
        <v>0</v>
      </c>
      <c r="G193">
        <v>0</v>
      </c>
      <c r="H193">
        <v>10174</v>
      </c>
      <c r="I193">
        <v>138</v>
      </c>
      <c r="J193">
        <v>11385</v>
      </c>
      <c r="K193">
        <f>COUNTIF(DF_Calculation!E:E,Table1[[#This Row],[ACS_CODE]])</f>
        <v>1</v>
      </c>
    </row>
    <row r="194" spans="1:11" x14ac:dyDescent="0.25">
      <c r="A194">
        <v>61436</v>
      </c>
      <c r="B194" t="s">
        <v>1270</v>
      </c>
      <c r="C194" t="s">
        <v>1288</v>
      </c>
      <c r="D194" t="s">
        <v>1771</v>
      </c>
      <c r="E194">
        <v>1072</v>
      </c>
      <c r="F194">
        <v>141</v>
      </c>
      <c r="G194">
        <v>0</v>
      </c>
      <c r="H194">
        <v>3105</v>
      </c>
      <c r="I194">
        <v>35</v>
      </c>
      <c r="J194">
        <v>4353</v>
      </c>
      <c r="K194">
        <f>COUNTIF(DF_Calculation!E:E,Table1[[#This Row],[ACS_CODE]])</f>
        <v>1</v>
      </c>
    </row>
    <row r="195" spans="1:11" x14ac:dyDescent="0.25">
      <c r="A195">
        <v>25475</v>
      </c>
      <c r="B195" t="s">
        <v>916</v>
      </c>
      <c r="C195" t="s">
        <v>1307</v>
      </c>
      <c r="D195" t="s">
        <v>1772</v>
      </c>
      <c r="E195">
        <v>1057</v>
      </c>
      <c r="F195">
        <v>0</v>
      </c>
      <c r="G195">
        <v>0</v>
      </c>
      <c r="H195">
        <v>3467</v>
      </c>
      <c r="I195">
        <v>53</v>
      </c>
      <c r="J195">
        <v>4577</v>
      </c>
      <c r="K195">
        <f>COUNTIF(DF_Calculation!E:E,Table1[[#This Row],[ACS_CODE]])</f>
        <v>1</v>
      </c>
    </row>
    <row r="196" spans="1:11" x14ac:dyDescent="0.25">
      <c r="A196">
        <v>22754</v>
      </c>
      <c r="B196" t="s">
        <v>916</v>
      </c>
      <c r="C196" t="s">
        <v>915</v>
      </c>
      <c r="D196" t="s">
        <v>953</v>
      </c>
      <c r="E196">
        <v>1052</v>
      </c>
      <c r="F196">
        <v>0</v>
      </c>
      <c r="G196">
        <v>0</v>
      </c>
      <c r="H196">
        <v>2180</v>
      </c>
      <c r="I196">
        <v>127</v>
      </c>
      <c r="J196">
        <v>3359</v>
      </c>
      <c r="K196">
        <f>COUNTIF(DF_Calculation!E:E,Table1[[#This Row],[ACS_CODE]])</f>
        <v>1</v>
      </c>
    </row>
    <row r="197" spans="1:11" x14ac:dyDescent="0.25">
      <c r="A197">
        <v>73111</v>
      </c>
      <c r="B197" t="s">
        <v>937</v>
      </c>
      <c r="C197" t="s">
        <v>1278</v>
      </c>
      <c r="D197" t="s">
        <v>1278</v>
      </c>
      <c r="E197">
        <v>1047</v>
      </c>
      <c r="F197">
        <v>124</v>
      </c>
      <c r="G197">
        <v>24</v>
      </c>
      <c r="H197">
        <v>1931</v>
      </c>
      <c r="I197">
        <v>11</v>
      </c>
      <c r="J197">
        <v>3137</v>
      </c>
      <c r="K197">
        <f>COUNTIF(DF_Calculation!E:E,Table1[[#This Row],[ACS_CODE]])</f>
        <v>1</v>
      </c>
    </row>
    <row r="198" spans="1:11" x14ac:dyDescent="0.25">
      <c r="A198">
        <v>53211</v>
      </c>
      <c r="B198" t="s">
        <v>1201</v>
      </c>
      <c r="C198" t="s">
        <v>1266</v>
      </c>
      <c r="D198" t="s">
        <v>1773</v>
      </c>
      <c r="E198">
        <v>1044</v>
      </c>
      <c r="F198">
        <v>0</v>
      </c>
      <c r="G198">
        <v>0</v>
      </c>
      <c r="H198">
        <v>3545</v>
      </c>
      <c r="I198">
        <v>121</v>
      </c>
      <c r="J198">
        <v>4710</v>
      </c>
      <c r="K198">
        <f>COUNTIF(DF_Calculation!E:E,Table1[[#This Row],[ACS_CODE]])</f>
        <v>1</v>
      </c>
    </row>
    <row r="199" spans="1:11" x14ac:dyDescent="0.25">
      <c r="A199">
        <v>25116</v>
      </c>
      <c r="B199" t="s">
        <v>916</v>
      </c>
      <c r="C199" t="s">
        <v>1307</v>
      </c>
      <c r="D199" t="s">
        <v>1774</v>
      </c>
      <c r="E199">
        <v>1034</v>
      </c>
      <c r="F199">
        <v>0</v>
      </c>
      <c r="G199">
        <v>0</v>
      </c>
      <c r="H199">
        <v>26858</v>
      </c>
      <c r="I199">
        <v>1120</v>
      </c>
      <c r="J199">
        <v>29012</v>
      </c>
      <c r="K199">
        <f>COUNTIF(DF_Calculation!E:E,Table1[[#This Row],[ACS_CODE]])</f>
        <v>1</v>
      </c>
    </row>
    <row r="200" spans="1:11" x14ac:dyDescent="0.25">
      <c r="A200">
        <v>71113</v>
      </c>
      <c r="B200" t="s">
        <v>937</v>
      </c>
      <c r="C200" t="s">
        <v>937</v>
      </c>
      <c r="D200" t="s">
        <v>954</v>
      </c>
      <c r="E200">
        <v>1019</v>
      </c>
      <c r="F200">
        <v>0</v>
      </c>
      <c r="G200">
        <v>0</v>
      </c>
      <c r="H200">
        <v>7142</v>
      </c>
      <c r="J200">
        <v>8161</v>
      </c>
      <c r="K200">
        <f>COUNTIF(DF_Calculation!E:E,Table1[[#This Row],[ACS_CODE]])</f>
        <v>1</v>
      </c>
    </row>
    <row r="201" spans="1:11" x14ac:dyDescent="0.25">
      <c r="A201">
        <v>35486</v>
      </c>
      <c r="B201" t="s">
        <v>991</v>
      </c>
      <c r="C201" t="s">
        <v>991</v>
      </c>
      <c r="D201" t="s">
        <v>1775</v>
      </c>
      <c r="E201">
        <v>1003</v>
      </c>
      <c r="F201">
        <v>0</v>
      </c>
      <c r="G201">
        <v>0</v>
      </c>
      <c r="H201">
        <v>2309</v>
      </c>
      <c r="J201">
        <v>3312</v>
      </c>
      <c r="K201">
        <f>COUNTIF(DF_Calculation!E:E,Table1[[#This Row],[ACS_CODE]])</f>
        <v>1</v>
      </c>
    </row>
    <row r="202" spans="1:11" x14ac:dyDescent="0.25">
      <c r="A202">
        <v>22311</v>
      </c>
      <c r="B202" t="s">
        <v>916</v>
      </c>
      <c r="C202" t="s">
        <v>915</v>
      </c>
      <c r="D202" t="s">
        <v>955</v>
      </c>
      <c r="E202">
        <v>995</v>
      </c>
      <c r="F202">
        <v>0</v>
      </c>
      <c r="G202">
        <v>0</v>
      </c>
      <c r="H202">
        <v>12245</v>
      </c>
      <c r="I202">
        <v>1564</v>
      </c>
      <c r="J202">
        <v>14804</v>
      </c>
      <c r="K202">
        <f>COUNTIF(DF_Calculation!E:E,Table1[[#This Row],[ACS_CODE]])</f>
        <v>1</v>
      </c>
    </row>
    <row r="203" spans="1:11" x14ac:dyDescent="0.25">
      <c r="A203">
        <v>22511</v>
      </c>
      <c r="B203" t="s">
        <v>916</v>
      </c>
      <c r="C203" t="s">
        <v>915</v>
      </c>
      <c r="D203" t="s">
        <v>956</v>
      </c>
      <c r="E203">
        <v>987</v>
      </c>
      <c r="F203">
        <v>0</v>
      </c>
      <c r="G203">
        <v>0</v>
      </c>
      <c r="H203">
        <v>2663</v>
      </c>
      <c r="I203">
        <v>295</v>
      </c>
      <c r="J203">
        <v>3945</v>
      </c>
      <c r="K203">
        <f>COUNTIF(DF_Calculation!E:E,Table1[[#This Row],[ACS_CODE]])</f>
        <v>1</v>
      </c>
    </row>
    <row r="204" spans="1:11" x14ac:dyDescent="0.25">
      <c r="A204">
        <v>71311</v>
      </c>
      <c r="B204" t="s">
        <v>937</v>
      </c>
      <c r="C204" t="s">
        <v>937</v>
      </c>
      <c r="D204" t="s">
        <v>957</v>
      </c>
      <c r="E204">
        <v>986</v>
      </c>
      <c r="F204">
        <v>0</v>
      </c>
      <c r="G204">
        <v>0</v>
      </c>
      <c r="H204">
        <v>7576</v>
      </c>
      <c r="I204">
        <v>128</v>
      </c>
      <c r="J204">
        <v>8690</v>
      </c>
      <c r="K204">
        <f>COUNTIF(DF_Calculation!E:E,Table1[[#This Row],[ACS_CODE]])</f>
        <v>1</v>
      </c>
    </row>
    <row r="205" spans="1:11" x14ac:dyDescent="0.25">
      <c r="A205">
        <v>35217</v>
      </c>
      <c r="B205" t="s">
        <v>991</v>
      </c>
      <c r="C205" t="s">
        <v>991</v>
      </c>
      <c r="D205" t="s">
        <v>1776</v>
      </c>
      <c r="E205">
        <v>980</v>
      </c>
      <c r="F205">
        <v>0</v>
      </c>
      <c r="G205">
        <v>0</v>
      </c>
      <c r="H205">
        <v>212</v>
      </c>
      <c r="J205">
        <v>1192</v>
      </c>
      <c r="K205">
        <f>COUNTIF(DF_Calculation!E:E,Table1[[#This Row],[ACS_CODE]])</f>
        <v>1</v>
      </c>
    </row>
    <row r="206" spans="1:11" x14ac:dyDescent="0.25">
      <c r="A206">
        <v>22611</v>
      </c>
      <c r="B206" t="s">
        <v>916</v>
      </c>
      <c r="C206" t="s">
        <v>915</v>
      </c>
      <c r="D206" t="s">
        <v>958</v>
      </c>
      <c r="E206">
        <v>980</v>
      </c>
      <c r="F206">
        <v>0</v>
      </c>
      <c r="G206">
        <v>0</v>
      </c>
      <c r="H206">
        <v>7299</v>
      </c>
      <c r="I206">
        <v>483</v>
      </c>
      <c r="J206">
        <v>8762</v>
      </c>
      <c r="K206">
        <f>COUNTIF(DF_Calculation!E:E,Table1[[#This Row],[ACS_CODE]])</f>
        <v>1</v>
      </c>
    </row>
    <row r="207" spans="1:11" x14ac:dyDescent="0.25">
      <c r="A207">
        <v>61244</v>
      </c>
      <c r="B207" t="s">
        <v>1270</v>
      </c>
      <c r="C207" t="s">
        <v>1288</v>
      </c>
      <c r="D207" t="s">
        <v>1777</v>
      </c>
      <c r="E207">
        <v>977</v>
      </c>
      <c r="F207">
        <v>539</v>
      </c>
      <c r="G207">
        <v>0</v>
      </c>
      <c r="H207">
        <v>8407</v>
      </c>
      <c r="I207">
        <v>311</v>
      </c>
      <c r="J207">
        <v>10234</v>
      </c>
      <c r="K207">
        <f>COUNTIF(DF_Calculation!E:E,Table1[[#This Row],[ACS_CODE]])</f>
        <v>1</v>
      </c>
    </row>
    <row r="208" spans="1:11" x14ac:dyDescent="0.25">
      <c r="A208">
        <v>52111</v>
      </c>
      <c r="B208" t="s">
        <v>1260</v>
      </c>
      <c r="C208" t="s">
        <v>1323</v>
      </c>
      <c r="D208" t="s">
        <v>1778</v>
      </c>
      <c r="E208">
        <v>971</v>
      </c>
      <c r="F208">
        <v>0</v>
      </c>
      <c r="G208">
        <v>0</v>
      </c>
      <c r="H208">
        <v>7002</v>
      </c>
      <c r="I208">
        <v>200</v>
      </c>
      <c r="J208">
        <v>8173</v>
      </c>
      <c r="K208">
        <f>COUNTIF(DF_Calculation!E:E,Table1[[#This Row],[ACS_CODE]])</f>
        <v>1</v>
      </c>
    </row>
    <row r="209" spans="1:11" x14ac:dyDescent="0.25">
      <c r="A209">
        <v>25471</v>
      </c>
      <c r="B209" t="s">
        <v>916</v>
      </c>
      <c r="C209" t="s">
        <v>1307</v>
      </c>
      <c r="D209" t="s">
        <v>1779</v>
      </c>
      <c r="E209">
        <v>958</v>
      </c>
      <c r="F209">
        <v>0</v>
      </c>
      <c r="G209">
        <v>0</v>
      </c>
      <c r="H209">
        <v>4052</v>
      </c>
      <c r="I209">
        <v>417</v>
      </c>
      <c r="J209">
        <v>5427</v>
      </c>
      <c r="K209">
        <f>COUNTIF(DF_Calculation!E:E,Table1[[#This Row],[ACS_CODE]])</f>
        <v>1</v>
      </c>
    </row>
    <row r="210" spans="1:11" x14ac:dyDescent="0.25">
      <c r="A210">
        <v>74141</v>
      </c>
      <c r="B210" t="s">
        <v>937</v>
      </c>
      <c r="C210" t="s">
        <v>1280</v>
      </c>
      <c r="D210" t="s">
        <v>1279</v>
      </c>
      <c r="E210">
        <v>947</v>
      </c>
      <c r="F210">
        <v>0</v>
      </c>
      <c r="G210">
        <v>0</v>
      </c>
      <c r="H210">
        <v>138</v>
      </c>
      <c r="J210">
        <v>1085</v>
      </c>
      <c r="K210">
        <f>COUNTIF(DF_Calculation!E:E,Table1[[#This Row],[ACS_CODE]])</f>
        <v>1</v>
      </c>
    </row>
    <row r="211" spans="1:11" x14ac:dyDescent="0.25">
      <c r="A211">
        <v>61427</v>
      </c>
      <c r="B211" t="s">
        <v>1270</v>
      </c>
      <c r="C211" t="s">
        <v>1288</v>
      </c>
      <c r="D211" t="s">
        <v>1780</v>
      </c>
      <c r="E211">
        <v>939</v>
      </c>
      <c r="F211">
        <v>0</v>
      </c>
      <c r="G211">
        <v>0</v>
      </c>
      <c r="H211">
        <v>4634</v>
      </c>
      <c r="I211">
        <v>350</v>
      </c>
      <c r="J211">
        <v>5923</v>
      </c>
      <c r="K211">
        <f>COUNTIF(DF_Calculation!E:E,Table1[[#This Row],[ACS_CODE]])</f>
        <v>1</v>
      </c>
    </row>
    <row r="212" spans="1:11" x14ac:dyDescent="0.25">
      <c r="A212">
        <v>21188</v>
      </c>
      <c r="B212" t="s">
        <v>916</v>
      </c>
      <c r="C212" t="s">
        <v>1275</v>
      </c>
      <c r="D212" t="s">
        <v>1781</v>
      </c>
      <c r="E212">
        <v>936</v>
      </c>
      <c r="F212">
        <v>597</v>
      </c>
      <c r="G212">
        <v>0</v>
      </c>
      <c r="H212">
        <v>6089</v>
      </c>
      <c r="I212">
        <v>85</v>
      </c>
      <c r="J212">
        <v>7707</v>
      </c>
      <c r="K212">
        <f>COUNTIF(DF_Calculation!E:E,Table1[[#This Row],[ACS_CODE]])</f>
        <v>1</v>
      </c>
    </row>
    <row r="213" spans="1:11" x14ac:dyDescent="0.25">
      <c r="A213">
        <v>72111</v>
      </c>
      <c r="B213" t="s">
        <v>937</v>
      </c>
      <c r="C213" t="s">
        <v>1514</v>
      </c>
      <c r="D213" t="s">
        <v>1782</v>
      </c>
      <c r="E213">
        <v>936</v>
      </c>
      <c r="F213">
        <v>184</v>
      </c>
      <c r="G213">
        <v>48</v>
      </c>
      <c r="H213">
        <v>8138</v>
      </c>
      <c r="I213">
        <v>69</v>
      </c>
      <c r="J213">
        <v>9375</v>
      </c>
      <c r="K213">
        <f>COUNTIF(DF_Calculation!E:E,Table1[[#This Row],[ACS_CODE]])</f>
        <v>1</v>
      </c>
    </row>
    <row r="214" spans="1:11" x14ac:dyDescent="0.25">
      <c r="A214">
        <v>24427</v>
      </c>
      <c r="B214" t="s">
        <v>916</v>
      </c>
      <c r="C214" t="s">
        <v>1282</v>
      </c>
      <c r="D214" t="s">
        <v>1783</v>
      </c>
      <c r="E214">
        <v>934</v>
      </c>
      <c r="F214">
        <v>0</v>
      </c>
      <c r="G214">
        <v>0</v>
      </c>
      <c r="H214">
        <v>1848</v>
      </c>
      <c r="I214">
        <v>13</v>
      </c>
      <c r="J214">
        <v>2795</v>
      </c>
      <c r="K214">
        <f>COUNTIF(DF_Calculation!E:E,Table1[[#This Row],[ACS_CODE]])</f>
        <v>1</v>
      </c>
    </row>
    <row r="215" spans="1:11" x14ac:dyDescent="0.25">
      <c r="A215">
        <v>34155</v>
      </c>
      <c r="B215" t="s">
        <v>919</v>
      </c>
      <c r="C215" t="s">
        <v>931</v>
      </c>
      <c r="D215" t="s">
        <v>959</v>
      </c>
      <c r="E215">
        <v>931</v>
      </c>
      <c r="F215">
        <v>0</v>
      </c>
      <c r="G215">
        <v>0</v>
      </c>
      <c r="H215">
        <v>982</v>
      </c>
      <c r="I215">
        <v>10</v>
      </c>
      <c r="J215">
        <v>1923</v>
      </c>
      <c r="K215">
        <f>COUNTIF(DF_Calculation!E:E,Table1[[#This Row],[ACS_CODE]])</f>
        <v>1</v>
      </c>
    </row>
    <row r="216" spans="1:11" x14ac:dyDescent="0.25">
      <c r="A216">
        <v>32111</v>
      </c>
      <c r="B216" t="s">
        <v>919</v>
      </c>
      <c r="C216" t="s">
        <v>934</v>
      </c>
      <c r="D216" t="s">
        <v>960</v>
      </c>
      <c r="E216">
        <v>925</v>
      </c>
      <c r="F216">
        <v>0</v>
      </c>
      <c r="G216">
        <v>0</v>
      </c>
      <c r="H216">
        <v>6176</v>
      </c>
      <c r="I216">
        <v>71</v>
      </c>
      <c r="J216">
        <v>7172</v>
      </c>
      <c r="K216">
        <f>COUNTIF(DF_Calculation!E:E,Table1[[#This Row],[ACS_CODE]])</f>
        <v>1</v>
      </c>
    </row>
    <row r="217" spans="1:11" x14ac:dyDescent="0.25">
      <c r="A217">
        <v>24414</v>
      </c>
      <c r="B217" t="s">
        <v>916</v>
      </c>
      <c r="C217" t="s">
        <v>1282</v>
      </c>
      <c r="D217" t="s">
        <v>1281</v>
      </c>
      <c r="E217">
        <v>905</v>
      </c>
      <c r="F217">
        <v>0</v>
      </c>
      <c r="G217">
        <v>0</v>
      </c>
      <c r="H217">
        <v>587</v>
      </c>
      <c r="I217">
        <v>110</v>
      </c>
      <c r="J217">
        <v>1602</v>
      </c>
      <c r="K217">
        <f>COUNTIF(DF_Calculation!E:E,Table1[[#This Row],[ACS_CODE]])</f>
        <v>1</v>
      </c>
    </row>
    <row r="218" spans="1:11" x14ac:dyDescent="0.25">
      <c r="A218">
        <v>61119</v>
      </c>
      <c r="B218" t="s">
        <v>1270</v>
      </c>
      <c r="C218" t="s">
        <v>1288</v>
      </c>
      <c r="D218" t="s">
        <v>1784</v>
      </c>
      <c r="E218">
        <v>897</v>
      </c>
      <c r="F218">
        <v>29329</v>
      </c>
      <c r="G218">
        <v>3557</v>
      </c>
      <c r="H218">
        <v>56168</v>
      </c>
      <c r="I218">
        <v>384</v>
      </c>
      <c r="J218">
        <v>90335</v>
      </c>
      <c r="K218">
        <f>COUNTIF(DF_Calculation!E:E,Table1[[#This Row],[ACS_CODE]])</f>
        <v>1</v>
      </c>
    </row>
    <row r="219" spans="1:11" x14ac:dyDescent="0.25">
      <c r="A219">
        <v>22659</v>
      </c>
      <c r="B219" t="s">
        <v>916</v>
      </c>
      <c r="C219" t="s">
        <v>915</v>
      </c>
      <c r="D219" t="s">
        <v>961</v>
      </c>
      <c r="E219">
        <v>894</v>
      </c>
      <c r="F219">
        <v>0</v>
      </c>
      <c r="G219">
        <v>0</v>
      </c>
      <c r="H219">
        <v>4901</v>
      </c>
      <c r="I219">
        <v>474</v>
      </c>
      <c r="J219">
        <v>6269</v>
      </c>
      <c r="K219">
        <f>COUNTIF(DF_Calculation!E:E,Table1[[#This Row],[ACS_CODE]])</f>
        <v>1</v>
      </c>
    </row>
    <row r="220" spans="1:11" x14ac:dyDescent="0.25">
      <c r="A220">
        <v>35487</v>
      </c>
      <c r="B220" t="s">
        <v>991</v>
      </c>
      <c r="C220" t="s">
        <v>991</v>
      </c>
      <c r="D220" t="s">
        <v>1785</v>
      </c>
      <c r="E220">
        <v>892</v>
      </c>
      <c r="F220">
        <v>0</v>
      </c>
      <c r="G220">
        <v>0</v>
      </c>
      <c r="H220">
        <v>7524</v>
      </c>
      <c r="I220">
        <v>64</v>
      </c>
      <c r="J220">
        <v>8480</v>
      </c>
      <c r="K220">
        <f>COUNTIF(DF_Calculation!E:E,Table1[[#This Row],[ACS_CODE]])</f>
        <v>1</v>
      </c>
    </row>
    <row r="221" spans="1:11" x14ac:dyDescent="0.25">
      <c r="A221">
        <v>52267</v>
      </c>
      <c r="B221" t="s">
        <v>1260</v>
      </c>
      <c r="C221" t="s">
        <v>1323</v>
      </c>
      <c r="D221" t="s">
        <v>1786</v>
      </c>
      <c r="E221">
        <v>890</v>
      </c>
      <c r="F221">
        <v>0</v>
      </c>
      <c r="G221">
        <v>0</v>
      </c>
      <c r="H221">
        <v>4117</v>
      </c>
      <c r="I221">
        <v>90</v>
      </c>
      <c r="J221">
        <v>5097</v>
      </c>
      <c r="K221">
        <f>COUNTIF(DF_Calculation!E:E,Table1[[#This Row],[ACS_CODE]])</f>
        <v>1</v>
      </c>
    </row>
    <row r="222" spans="1:11" x14ac:dyDescent="0.25">
      <c r="A222">
        <v>35215</v>
      </c>
      <c r="B222" t="s">
        <v>991</v>
      </c>
      <c r="C222" t="s">
        <v>991</v>
      </c>
      <c r="D222" t="s">
        <v>1787</v>
      </c>
      <c r="E222">
        <v>882</v>
      </c>
      <c r="F222">
        <v>0</v>
      </c>
      <c r="G222">
        <v>0</v>
      </c>
      <c r="H222">
        <v>1083</v>
      </c>
      <c r="I222">
        <v>20</v>
      </c>
      <c r="J222">
        <v>1985</v>
      </c>
      <c r="K222">
        <f>COUNTIF(DF_Calculation!E:E,Table1[[#This Row],[ACS_CODE]])</f>
        <v>1</v>
      </c>
    </row>
    <row r="223" spans="1:11" x14ac:dyDescent="0.25">
      <c r="A223">
        <v>35357</v>
      </c>
      <c r="B223" t="s">
        <v>991</v>
      </c>
      <c r="C223" t="s">
        <v>991</v>
      </c>
      <c r="D223" t="s">
        <v>1788</v>
      </c>
      <c r="E223">
        <v>876</v>
      </c>
      <c r="F223">
        <v>0</v>
      </c>
      <c r="G223">
        <v>0</v>
      </c>
      <c r="H223">
        <v>7168</v>
      </c>
      <c r="I223">
        <v>176</v>
      </c>
      <c r="J223">
        <v>8220</v>
      </c>
      <c r="K223">
        <f>COUNTIF(DF_Calculation!E:E,Table1[[#This Row],[ACS_CODE]])</f>
        <v>1</v>
      </c>
    </row>
    <row r="224" spans="1:11" x14ac:dyDescent="0.25">
      <c r="A224">
        <v>53139</v>
      </c>
      <c r="B224" t="s">
        <v>1201</v>
      </c>
      <c r="C224" t="s">
        <v>1266</v>
      </c>
      <c r="D224" t="s">
        <v>1789</v>
      </c>
      <c r="E224">
        <v>873</v>
      </c>
      <c r="F224">
        <v>0</v>
      </c>
      <c r="G224">
        <v>0</v>
      </c>
      <c r="H224">
        <v>600</v>
      </c>
      <c r="J224">
        <v>1473</v>
      </c>
      <c r="K224">
        <f>COUNTIF(DF_Calculation!E:E,Table1[[#This Row],[ACS_CODE]])</f>
        <v>1</v>
      </c>
    </row>
    <row r="225" spans="1:11" x14ac:dyDescent="0.25">
      <c r="A225">
        <v>21251</v>
      </c>
      <c r="B225" t="s">
        <v>916</v>
      </c>
      <c r="C225" t="s">
        <v>1275</v>
      </c>
      <c r="D225" t="s">
        <v>1790</v>
      </c>
      <c r="E225">
        <v>870</v>
      </c>
      <c r="F225">
        <v>0</v>
      </c>
      <c r="G225">
        <v>0</v>
      </c>
      <c r="H225">
        <v>5126</v>
      </c>
      <c r="I225">
        <v>240</v>
      </c>
      <c r="J225">
        <v>6236</v>
      </c>
      <c r="K225">
        <f>COUNTIF(DF_Calculation!E:E,Table1[[#This Row],[ACS_CODE]])</f>
        <v>1</v>
      </c>
    </row>
    <row r="226" spans="1:11" x14ac:dyDescent="0.25">
      <c r="A226">
        <v>37381</v>
      </c>
      <c r="B226" t="s">
        <v>919</v>
      </c>
      <c r="C226" t="s">
        <v>918</v>
      </c>
      <c r="D226" t="s">
        <v>962</v>
      </c>
      <c r="E226">
        <v>860</v>
      </c>
      <c r="F226">
        <v>0</v>
      </c>
      <c r="G226">
        <v>0</v>
      </c>
      <c r="H226">
        <v>1674</v>
      </c>
      <c r="J226">
        <v>2534</v>
      </c>
      <c r="K226">
        <f>COUNTIF(DF_Calculation!E:E,Table1[[#This Row],[ACS_CODE]])</f>
        <v>1</v>
      </c>
    </row>
    <row r="227" spans="1:11" x14ac:dyDescent="0.25">
      <c r="A227">
        <v>26129</v>
      </c>
      <c r="B227" t="s">
        <v>916</v>
      </c>
      <c r="C227" t="s">
        <v>1295</v>
      </c>
      <c r="D227" t="s">
        <v>1791</v>
      </c>
      <c r="E227">
        <v>859</v>
      </c>
      <c r="F227">
        <v>0</v>
      </c>
      <c r="G227">
        <v>0</v>
      </c>
      <c r="H227">
        <v>12571</v>
      </c>
      <c r="I227">
        <v>302</v>
      </c>
      <c r="J227">
        <v>13732</v>
      </c>
      <c r="K227">
        <f>COUNTIF(DF_Calculation!E:E,Table1[[#This Row],[ACS_CODE]])</f>
        <v>1</v>
      </c>
    </row>
    <row r="228" spans="1:11" x14ac:dyDescent="0.25">
      <c r="A228">
        <v>23259</v>
      </c>
      <c r="B228" t="s">
        <v>916</v>
      </c>
      <c r="C228" t="s">
        <v>921</v>
      </c>
      <c r="D228" t="s">
        <v>963</v>
      </c>
      <c r="E228">
        <v>853</v>
      </c>
      <c r="F228">
        <v>0</v>
      </c>
      <c r="G228">
        <v>0</v>
      </c>
      <c r="H228">
        <v>608</v>
      </c>
      <c r="I228">
        <v>325</v>
      </c>
      <c r="J228">
        <v>1786</v>
      </c>
      <c r="K228">
        <f>COUNTIF(DF_Calculation!E:E,Table1[[#This Row],[ACS_CODE]])</f>
        <v>1</v>
      </c>
    </row>
    <row r="229" spans="1:11" x14ac:dyDescent="0.25">
      <c r="A229">
        <v>32113</v>
      </c>
      <c r="B229" t="s">
        <v>919</v>
      </c>
      <c r="C229" t="s">
        <v>934</v>
      </c>
      <c r="D229" t="s">
        <v>964</v>
      </c>
      <c r="E229">
        <v>846</v>
      </c>
      <c r="F229">
        <v>0</v>
      </c>
      <c r="G229">
        <v>0</v>
      </c>
      <c r="H229">
        <v>4275</v>
      </c>
      <c r="I229">
        <v>40</v>
      </c>
      <c r="J229">
        <v>5161</v>
      </c>
      <c r="K229">
        <f>COUNTIF(DF_Calculation!E:E,Table1[[#This Row],[ACS_CODE]])</f>
        <v>1</v>
      </c>
    </row>
    <row r="230" spans="1:11" x14ac:dyDescent="0.25">
      <c r="A230">
        <v>24411</v>
      </c>
      <c r="B230" t="s">
        <v>916</v>
      </c>
      <c r="C230" t="s">
        <v>1282</v>
      </c>
      <c r="D230" t="s">
        <v>1792</v>
      </c>
      <c r="E230">
        <v>844</v>
      </c>
      <c r="F230">
        <v>0</v>
      </c>
      <c r="G230">
        <v>0</v>
      </c>
      <c r="H230">
        <v>733</v>
      </c>
      <c r="I230">
        <v>6</v>
      </c>
      <c r="J230">
        <v>1583</v>
      </c>
      <c r="K230">
        <f>COUNTIF(DF_Calculation!E:E,Table1[[#This Row],[ACS_CODE]])</f>
        <v>1</v>
      </c>
    </row>
    <row r="231" spans="1:11" x14ac:dyDescent="0.25">
      <c r="A231">
        <v>32191</v>
      </c>
      <c r="B231" t="s">
        <v>919</v>
      </c>
      <c r="C231" t="s">
        <v>934</v>
      </c>
      <c r="D231" t="s">
        <v>965</v>
      </c>
      <c r="E231">
        <v>844</v>
      </c>
      <c r="F231">
        <v>0</v>
      </c>
      <c r="G231">
        <v>0</v>
      </c>
      <c r="H231">
        <v>2148</v>
      </c>
      <c r="I231">
        <v>162</v>
      </c>
      <c r="J231">
        <v>3154</v>
      </c>
      <c r="K231">
        <f>COUNTIF(DF_Calculation!E:E,Table1[[#This Row],[ACS_CODE]])</f>
        <v>1</v>
      </c>
    </row>
    <row r="232" spans="1:11" x14ac:dyDescent="0.25">
      <c r="A232">
        <v>35498</v>
      </c>
      <c r="B232" t="s">
        <v>991</v>
      </c>
      <c r="C232" t="s">
        <v>991</v>
      </c>
      <c r="D232" t="s">
        <v>1793</v>
      </c>
      <c r="E232">
        <v>843</v>
      </c>
      <c r="F232">
        <v>0</v>
      </c>
      <c r="G232">
        <v>0</v>
      </c>
      <c r="H232">
        <v>3557</v>
      </c>
      <c r="I232">
        <v>12</v>
      </c>
      <c r="J232">
        <v>4412</v>
      </c>
      <c r="K232">
        <f>COUNTIF(DF_Calculation!E:E,Table1[[#This Row],[ACS_CODE]])</f>
        <v>1</v>
      </c>
    </row>
    <row r="233" spans="1:11" x14ac:dyDescent="0.25">
      <c r="A233">
        <v>10410</v>
      </c>
      <c r="B233" t="s">
        <v>1315</v>
      </c>
      <c r="C233" t="s">
        <v>1315</v>
      </c>
      <c r="D233" t="s">
        <v>1794</v>
      </c>
      <c r="E233">
        <v>842</v>
      </c>
      <c r="F233">
        <v>0</v>
      </c>
      <c r="G233">
        <v>0</v>
      </c>
      <c r="H233">
        <v>9160</v>
      </c>
      <c r="I233">
        <v>656</v>
      </c>
      <c r="J233">
        <v>10658</v>
      </c>
      <c r="K233">
        <f>COUNTIF(DF_Calculation!E:E,Table1[[#This Row],[ACS_CODE]])</f>
        <v>1</v>
      </c>
    </row>
    <row r="234" spans="1:11" x14ac:dyDescent="0.25">
      <c r="A234">
        <v>32137</v>
      </c>
      <c r="B234" t="s">
        <v>919</v>
      </c>
      <c r="C234" t="s">
        <v>934</v>
      </c>
      <c r="D234" t="s">
        <v>966</v>
      </c>
      <c r="E234">
        <v>840</v>
      </c>
      <c r="F234">
        <v>0</v>
      </c>
      <c r="G234">
        <v>0</v>
      </c>
      <c r="H234">
        <v>5515</v>
      </c>
      <c r="I234">
        <v>67</v>
      </c>
      <c r="J234">
        <v>6422</v>
      </c>
      <c r="K234">
        <f>COUNTIF(DF_Calculation!E:E,Table1[[#This Row],[ACS_CODE]])</f>
        <v>1</v>
      </c>
    </row>
    <row r="235" spans="1:11" x14ac:dyDescent="0.25">
      <c r="A235">
        <v>22757</v>
      </c>
      <c r="B235" t="s">
        <v>916</v>
      </c>
      <c r="C235" t="s">
        <v>915</v>
      </c>
      <c r="D235" t="s">
        <v>967</v>
      </c>
      <c r="E235">
        <v>834</v>
      </c>
      <c r="F235">
        <v>0</v>
      </c>
      <c r="G235">
        <v>0</v>
      </c>
      <c r="H235">
        <v>2410</v>
      </c>
      <c r="I235">
        <v>172</v>
      </c>
      <c r="J235">
        <v>3416</v>
      </c>
      <c r="K235">
        <f>COUNTIF(DF_Calculation!E:E,Table1[[#This Row],[ACS_CODE]])</f>
        <v>1</v>
      </c>
    </row>
    <row r="236" spans="1:11" x14ac:dyDescent="0.25">
      <c r="A236">
        <v>35351</v>
      </c>
      <c r="B236" t="s">
        <v>991</v>
      </c>
      <c r="C236" t="s">
        <v>991</v>
      </c>
      <c r="D236" t="s">
        <v>1795</v>
      </c>
      <c r="E236">
        <v>830</v>
      </c>
      <c r="F236">
        <v>0</v>
      </c>
      <c r="G236">
        <v>0</v>
      </c>
      <c r="H236">
        <v>5776</v>
      </c>
      <c r="I236">
        <v>16</v>
      </c>
      <c r="J236">
        <v>6622</v>
      </c>
      <c r="K236">
        <f>COUNTIF(DF_Calculation!E:E,Table1[[#This Row],[ACS_CODE]])</f>
        <v>1</v>
      </c>
    </row>
    <row r="237" spans="1:11" x14ac:dyDescent="0.25">
      <c r="A237">
        <v>62231</v>
      </c>
      <c r="B237" t="s">
        <v>1270</v>
      </c>
      <c r="C237" t="s">
        <v>1269</v>
      </c>
      <c r="D237" t="s">
        <v>1796</v>
      </c>
      <c r="E237">
        <v>824</v>
      </c>
      <c r="F237">
        <v>261</v>
      </c>
      <c r="G237">
        <v>17</v>
      </c>
      <c r="H237">
        <v>6409</v>
      </c>
      <c r="I237">
        <v>974</v>
      </c>
      <c r="J237">
        <v>8485</v>
      </c>
      <c r="K237">
        <f>COUNTIF(DF_Calculation!E:E,Table1[[#This Row],[ACS_CODE]])</f>
        <v>1</v>
      </c>
    </row>
    <row r="238" spans="1:11" x14ac:dyDescent="0.25">
      <c r="A238">
        <v>53417</v>
      </c>
      <c r="B238" t="s">
        <v>1201</v>
      </c>
      <c r="C238" t="s">
        <v>1266</v>
      </c>
      <c r="D238" t="s">
        <v>1797</v>
      </c>
      <c r="E238">
        <v>823</v>
      </c>
      <c r="F238">
        <v>0</v>
      </c>
      <c r="G238">
        <v>0</v>
      </c>
      <c r="H238">
        <v>1794</v>
      </c>
      <c r="I238">
        <v>28</v>
      </c>
      <c r="J238">
        <v>2645</v>
      </c>
      <c r="K238">
        <f>COUNTIF(DF_Calculation!E:E,Table1[[#This Row],[ACS_CODE]])</f>
        <v>1</v>
      </c>
    </row>
    <row r="239" spans="1:11" x14ac:dyDescent="0.25">
      <c r="A239">
        <v>61147</v>
      </c>
      <c r="B239" t="s">
        <v>1270</v>
      </c>
      <c r="C239" t="s">
        <v>1288</v>
      </c>
      <c r="D239" t="s">
        <v>1798</v>
      </c>
      <c r="E239">
        <v>818</v>
      </c>
      <c r="F239">
        <v>539</v>
      </c>
      <c r="G239">
        <v>0</v>
      </c>
      <c r="H239">
        <v>11073</v>
      </c>
      <c r="I239">
        <v>367</v>
      </c>
      <c r="J239">
        <v>12797</v>
      </c>
      <c r="K239">
        <f>COUNTIF(DF_Calculation!E:E,Table1[[#This Row],[ACS_CODE]])</f>
        <v>1</v>
      </c>
    </row>
    <row r="240" spans="1:11" x14ac:dyDescent="0.25">
      <c r="A240">
        <v>61466</v>
      </c>
      <c r="B240" t="s">
        <v>1270</v>
      </c>
      <c r="C240" t="s">
        <v>1288</v>
      </c>
      <c r="D240" t="s">
        <v>1799</v>
      </c>
      <c r="E240">
        <v>817</v>
      </c>
      <c r="F240">
        <v>0</v>
      </c>
      <c r="G240">
        <v>0</v>
      </c>
      <c r="H240">
        <v>662</v>
      </c>
      <c r="I240">
        <v>2</v>
      </c>
      <c r="J240">
        <v>1481</v>
      </c>
      <c r="K240">
        <f>COUNTIF(DF_Calculation!E:E,Table1[[#This Row],[ACS_CODE]])</f>
        <v>1</v>
      </c>
    </row>
    <row r="241" spans="1:11" x14ac:dyDescent="0.25">
      <c r="A241">
        <v>23215</v>
      </c>
      <c r="B241" t="s">
        <v>916</v>
      </c>
      <c r="C241" t="s">
        <v>921</v>
      </c>
      <c r="D241" t="s">
        <v>968</v>
      </c>
      <c r="E241">
        <v>806</v>
      </c>
      <c r="F241">
        <v>513</v>
      </c>
      <c r="G241">
        <v>0</v>
      </c>
      <c r="H241">
        <v>3591</v>
      </c>
      <c r="I241">
        <v>98</v>
      </c>
      <c r="J241">
        <v>5008</v>
      </c>
      <c r="K241">
        <f>COUNTIF(DF_Calculation!E:E,Table1[[#This Row],[ACS_CODE]])</f>
        <v>1</v>
      </c>
    </row>
    <row r="242" spans="1:11" x14ac:dyDescent="0.25">
      <c r="A242">
        <v>62266</v>
      </c>
      <c r="B242" t="s">
        <v>1270</v>
      </c>
      <c r="C242" t="s">
        <v>1269</v>
      </c>
      <c r="D242" t="s">
        <v>1800</v>
      </c>
      <c r="E242">
        <v>806</v>
      </c>
      <c r="F242">
        <v>0</v>
      </c>
      <c r="G242">
        <v>0</v>
      </c>
      <c r="H242">
        <v>3107</v>
      </c>
      <c r="I242">
        <v>45</v>
      </c>
      <c r="J242">
        <v>3958</v>
      </c>
      <c r="K242">
        <f>COUNTIF(DF_Calculation!E:E,Table1[[#This Row],[ACS_CODE]])</f>
        <v>1</v>
      </c>
    </row>
    <row r="243" spans="1:11" x14ac:dyDescent="0.25">
      <c r="A243">
        <v>25439</v>
      </c>
      <c r="B243" t="s">
        <v>916</v>
      </c>
      <c r="C243" t="s">
        <v>1307</v>
      </c>
      <c r="D243" t="s">
        <v>1801</v>
      </c>
      <c r="E243">
        <v>801</v>
      </c>
      <c r="F243">
        <v>0</v>
      </c>
      <c r="G243">
        <v>0</v>
      </c>
      <c r="H243">
        <v>10939</v>
      </c>
      <c r="I243">
        <v>269</v>
      </c>
      <c r="J243">
        <v>12009</v>
      </c>
      <c r="K243">
        <f>COUNTIF(DF_Calculation!E:E,Table1[[#This Row],[ACS_CODE]])</f>
        <v>1</v>
      </c>
    </row>
    <row r="244" spans="1:11" x14ac:dyDescent="0.25">
      <c r="A244">
        <v>51359</v>
      </c>
      <c r="B244" t="s">
        <v>1260</v>
      </c>
      <c r="C244" t="s">
        <v>1259</v>
      </c>
      <c r="D244" t="s">
        <v>1802</v>
      </c>
      <c r="E244">
        <v>796</v>
      </c>
      <c r="F244">
        <v>0</v>
      </c>
      <c r="G244">
        <v>0</v>
      </c>
      <c r="H244">
        <v>3086</v>
      </c>
      <c r="I244">
        <v>15</v>
      </c>
      <c r="J244">
        <v>3897</v>
      </c>
      <c r="K244">
        <f>COUNTIF(DF_Calculation!E:E,Table1[[#This Row],[ACS_CODE]])</f>
        <v>1</v>
      </c>
    </row>
    <row r="245" spans="1:11" x14ac:dyDescent="0.25">
      <c r="A245">
        <v>35253</v>
      </c>
      <c r="B245" t="s">
        <v>991</v>
      </c>
      <c r="C245" t="s">
        <v>991</v>
      </c>
      <c r="D245" t="s">
        <v>1803</v>
      </c>
      <c r="E245">
        <v>795</v>
      </c>
      <c r="F245">
        <v>0</v>
      </c>
      <c r="G245">
        <v>0</v>
      </c>
      <c r="H245">
        <v>401</v>
      </c>
      <c r="J245">
        <v>1196</v>
      </c>
      <c r="K245">
        <f>COUNTIF(DF_Calculation!E:E,Table1[[#This Row],[ACS_CODE]])</f>
        <v>1</v>
      </c>
    </row>
    <row r="246" spans="1:11" x14ac:dyDescent="0.25">
      <c r="A246">
        <v>53467</v>
      </c>
      <c r="B246" t="s">
        <v>1201</v>
      </c>
      <c r="C246" t="s">
        <v>1266</v>
      </c>
      <c r="D246" t="s">
        <v>1804</v>
      </c>
      <c r="E246">
        <v>785</v>
      </c>
      <c r="F246">
        <v>0</v>
      </c>
      <c r="G246">
        <v>0</v>
      </c>
      <c r="H246">
        <v>1005</v>
      </c>
      <c r="I246">
        <v>17</v>
      </c>
      <c r="J246">
        <v>1807</v>
      </c>
      <c r="K246">
        <f>COUNTIF(DF_Calculation!E:E,Table1[[#This Row],[ACS_CODE]])</f>
        <v>1</v>
      </c>
    </row>
    <row r="247" spans="1:11" x14ac:dyDescent="0.25">
      <c r="A247">
        <v>35449</v>
      </c>
      <c r="B247" t="s">
        <v>991</v>
      </c>
      <c r="C247" t="s">
        <v>991</v>
      </c>
      <c r="D247" t="s">
        <v>1805</v>
      </c>
      <c r="E247">
        <v>770</v>
      </c>
      <c r="F247">
        <v>0</v>
      </c>
      <c r="G247">
        <v>0</v>
      </c>
      <c r="H247">
        <v>795</v>
      </c>
      <c r="J247">
        <v>1565</v>
      </c>
      <c r="K247">
        <f>COUNTIF(DF_Calculation!E:E,Table1[[#This Row],[ACS_CODE]])</f>
        <v>1</v>
      </c>
    </row>
    <row r="248" spans="1:11" x14ac:dyDescent="0.25">
      <c r="A248">
        <v>37365</v>
      </c>
      <c r="B248" t="s">
        <v>919</v>
      </c>
      <c r="C248" t="s">
        <v>918</v>
      </c>
      <c r="D248" t="s">
        <v>969</v>
      </c>
      <c r="E248">
        <v>763</v>
      </c>
      <c r="F248">
        <v>0</v>
      </c>
      <c r="G248">
        <v>0</v>
      </c>
      <c r="H248">
        <v>2472</v>
      </c>
      <c r="I248">
        <v>18</v>
      </c>
      <c r="J248">
        <v>3253</v>
      </c>
      <c r="K248">
        <f>COUNTIF(DF_Calculation!E:E,Table1[[#This Row],[ACS_CODE]])</f>
        <v>1</v>
      </c>
    </row>
    <row r="249" spans="1:11" x14ac:dyDescent="0.25">
      <c r="A249">
        <v>35225</v>
      </c>
      <c r="B249" t="s">
        <v>991</v>
      </c>
      <c r="C249" t="s">
        <v>991</v>
      </c>
      <c r="D249" t="s">
        <v>1806</v>
      </c>
      <c r="E249">
        <v>760</v>
      </c>
      <c r="F249">
        <v>0</v>
      </c>
      <c r="G249">
        <v>0</v>
      </c>
      <c r="H249">
        <v>355</v>
      </c>
      <c r="I249">
        <v>1</v>
      </c>
      <c r="J249">
        <v>1116</v>
      </c>
      <c r="K249">
        <f>COUNTIF(DF_Calculation!E:E,Table1[[#This Row],[ACS_CODE]])</f>
        <v>1</v>
      </c>
    </row>
    <row r="250" spans="1:11" x14ac:dyDescent="0.25">
      <c r="A250">
        <v>22375</v>
      </c>
      <c r="B250" t="s">
        <v>916</v>
      </c>
      <c r="C250" t="s">
        <v>915</v>
      </c>
      <c r="D250" t="s">
        <v>970</v>
      </c>
      <c r="E250">
        <v>760</v>
      </c>
      <c r="F250">
        <v>0</v>
      </c>
      <c r="G250">
        <v>0</v>
      </c>
      <c r="H250">
        <v>2306</v>
      </c>
      <c r="I250">
        <v>1930</v>
      </c>
      <c r="J250">
        <v>4996</v>
      </c>
      <c r="K250">
        <f>COUNTIF(DF_Calculation!E:E,Table1[[#This Row],[ACS_CODE]])</f>
        <v>1</v>
      </c>
    </row>
    <row r="251" spans="1:11" x14ac:dyDescent="0.25">
      <c r="A251">
        <v>61266</v>
      </c>
      <c r="B251" t="s">
        <v>1270</v>
      </c>
      <c r="C251" t="s">
        <v>1288</v>
      </c>
      <c r="D251" t="s">
        <v>1807</v>
      </c>
      <c r="E251">
        <v>760</v>
      </c>
      <c r="F251">
        <v>539</v>
      </c>
      <c r="G251">
        <v>0</v>
      </c>
      <c r="H251">
        <v>100</v>
      </c>
      <c r="I251">
        <v>95</v>
      </c>
      <c r="J251">
        <v>1494</v>
      </c>
      <c r="K251">
        <f>COUNTIF(DF_Calculation!E:E,Table1[[#This Row],[ACS_CODE]])</f>
        <v>1</v>
      </c>
    </row>
    <row r="252" spans="1:11" x14ac:dyDescent="0.25">
      <c r="A252">
        <v>24367</v>
      </c>
      <c r="B252" t="s">
        <v>916</v>
      </c>
      <c r="C252" t="s">
        <v>1282</v>
      </c>
      <c r="D252" t="s">
        <v>1808</v>
      </c>
      <c r="E252">
        <v>755</v>
      </c>
      <c r="F252">
        <v>0</v>
      </c>
      <c r="G252">
        <v>0</v>
      </c>
      <c r="H252">
        <v>1540</v>
      </c>
      <c r="I252">
        <v>238</v>
      </c>
      <c r="J252">
        <v>2533</v>
      </c>
      <c r="K252">
        <f>COUNTIF(DF_Calculation!E:E,Table1[[#This Row],[ACS_CODE]])</f>
        <v>1</v>
      </c>
    </row>
    <row r="253" spans="1:11" x14ac:dyDescent="0.25">
      <c r="A253">
        <v>23331</v>
      </c>
      <c r="B253" t="s">
        <v>916</v>
      </c>
      <c r="C253" t="s">
        <v>921</v>
      </c>
      <c r="D253" t="s">
        <v>971</v>
      </c>
      <c r="E253">
        <v>754</v>
      </c>
      <c r="F253">
        <v>513</v>
      </c>
      <c r="G253">
        <v>0</v>
      </c>
      <c r="H253">
        <v>3054</v>
      </c>
      <c r="I253">
        <v>92</v>
      </c>
      <c r="J253">
        <v>4413</v>
      </c>
      <c r="K253">
        <f>COUNTIF(DF_Calculation!E:E,Table1[[#This Row],[ACS_CODE]])</f>
        <v>1</v>
      </c>
    </row>
    <row r="254" spans="1:11" x14ac:dyDescent="0.25">
      <c r="A254">
        <v>53183</v>
      </c>
      <c r="B254" t="s">
        <v>1201</v>
      </c>
      <c r="C254" t="s">
        <v>1266</v>
      </c>
      <c r="D254" t="s">
        <v>1283</v>
      </c>
      <c r="E254">
        <v>753</v>
      </c>
      <c r="F254">
        <v>0</v>
      </c>
      <c r="G254">
        <v>0</v>
      </c>
      <c r="H254">
        <v>2466</v>
      </c>
      <c r="I254">
        <v>22</v>
      </c>
      <c r="J254">
        <v>3241</v>
      </c>
      <c r="K254">
        <f>COUNTIF(DF_Calculation!E:E,Table1[[#This Row],[ACS_CODE]])</f>
        <v>1</v>
      </c>
    </row>
    <row r="255" spans="1:11" x14ac:dyDescent="0.25">
      <c r="A255">
        <v>31186</v>
      </c>
      <c r="B255" t="s">
        <v>919</v>
      </c>
      <c r="C255" t="s">
        <v>1255</v>
      </c>
      <c r="D255" t="s">
        <v>1284</v>
      </c>
      <c r="E255">
        <v>752</v>
      </c>
      <c r="F255">
        <v>207</v>
      </c>
      <c r="G255">
        <v>0</v>
      </c>
      <c r="H255">
        <v>11786</v>
      </c>
      <c r="I255">
        <v>61</v>
      </c>
      <c r="J255">
        <v>12806</v>
      </c>
      <c r="K255">
        <f>COUNTIF(DF_Calculation!E:E,Table1[[#This Row],[ACS_CODE]])</f>
        <v>1</v>
      </c>
    </row>
    <row r="256" spans="1:11" x14ac:dyDescent="0.25">
      <c r="A256">
        <v>51127</v>
      </c>
      <c r="B256" t="s">
        <v>1260</v>
      </c>
      <c r="C256" t="s">
        <v>1259</v>
      </c>
      <c r="D256" t="s">
        <v>1809</v>
      </c>
      <c r="E256">
        <v>750</v>
      </c>
      <c r="F256">
        <v>0</v>
      </c>
      <c r="G256">
        <v>0</v>
      </c>
      <c r="H256">
        <v>3376</v>
      </c>
      <c r="I256">
        <v>39</v>
      </c>
      <c r="J256">
        <v>4165</v>
      </c>
      <c r="K256">
        <f>COUNTIF(DF_Calculation!E:E,Table1[[#This Row],[ACS_CODE]])</f>
        <v>1</v>
      </c>
    </row>
    <row r="257" spans="1:11" x14ac:dyDescent="0.25">
      <c r="A257">
        <v>24259</v>
      </c>
      <c r="B257" t="s">
        <v>916</v>
      </c>
      <c r="C257" t="s">
        <v>1282</v>
      </c>
      <c r="D257" t="s">
        <v>1810</v>
      </c>
      <c r="E257">
        <v>746</v>
      </c>
      <c r="F257">
        <v>298</v>
      </c>
      <c r="G257">
        <v>0</v>
      </c>
      <c r="H257">
        <v>2789</v>
      </c>
      <c r="I257">
        <v>51</v>
      </c>
      <c r="J257">
        <v>3884</v>
      </c>
      <c r="K257">
        <f>COUNTIF(DF_Calculation!E:E,Table1[[#This Row],[ACS_CODE]])</f>
        <v>1</v>
      </c>
    </row>
    <row r="258" spans="1:11" x14ac:dyDescent="0.25">
      <c r="A258">
        <v>35353</v>
      </c>
      <c r="B258" t="s">
        <v>991</v>
      </c>
      <c r="C258" t="s">
        <v>991</v>
      </c>
      <c r="D258" t="s">
        <v>1811</v>
      </c>
      <c r="E258">
        <v>742</v>
      </c>
      <c r="F258">
        <v>0</v>
      </c>
      <c r="G258">
        <v>0</v>
      </c>
      <c r="H258">
        <v>11378</v>
      </c>
      <c r="I258">
        <v>52</v>
      </c>
      <c r="J258">
        <v>12172</v>
      </c>
      <c r="K258">
        <f>COUNTIF(DF_Calculation!E:E,Table1[[#This Row],[ACS_CODE]])</f>
        <v>1</v>
      </c>
    </row>
    <row r="259" spans="1:11" x14ac:dyDescent="0.25">
      <c r="A259">
        <v>34336</v>
      </c>
      <c r="B259" t="s">
        <v>919</v>
      </c>
      <c r="C259" t="s">
        <v>931</v>
      </c>
      <c r="D259" t="s">
        <v>1285</v>
      </c>
      <c r="E259">
        <v>736</v>
      </c>
      <c r="F259">
        <v>0</v>
      </c>
      <c r="G259">
        <v>0</v>
      </c>
      <c r="H259">
        <v>586</v>
      </c>
      <c r="I259">
        <v>10</v>
      </c>
      <c r="J259">
        <v>1332</v>
      </c>
      <c r="K259">
        <f>COUNTIF(DF_Calculation!E:E,Table1[[#This Row],[ACS_CODE]])</f>
        <v>1</v>
      </c>
    </row>
    <row r="260" spans="1:11" x14ac:dyDescent="0.25">
      <c r="A260">
        <v>53388</v>
      </c>
      <c r="B260" t="s">
        <v>1201</v>
      </c>
      <c r="C260" t="s">
        <v>1266</v>
      </c>
      <c r="D260" t="s">
        <v>1812</v>
      </c>
      <c r="E260">
        <v>716</v>
      </c>
      <c r="F260">
        <v>0</v>
      </c>
      <c r="G260">
        <v>0</v>
      </c>
      <c r="H260">
        <v>961</v>
      </c>
      <c r="I260">
        <v>15</v>
      </c>
      <c r="J260">
        <v>1692</v>
      </c>
      <c r="K260">
        <f>COUNTIF(DF_Calculation!E:E,Table1[[#This Row],[ACS_CODE]])</f>
        <v>1</v>
      </c>
    </row>
    <row r="261" spans="1:11" x14ac:dyDescent="0.25">
      <c r="A261">
        <v>74111</v>
      </c>
      <c r="B261" t="s">
        <v>937</v>
      </c>
      <c r="C261" t="s">
        <v>1280</v>
      </c>
      <c r="D261" t="s">
        <v>1286</v>
      </c>
      <c r="E261">
        <v>715</v>
      </c>
      <c r="F261">
        <v>0</v>
      </c>
      <c r="G261">
        <v>0</v>
      </c>
      <c r="H261">
        <v>6250</v>
      </c>
      <c r="I261">
        <v>36</v>
      </c>
      <c r="J261">
        <v>7001</v>
      </c>
      <c r="K261">
        <f>COUNTIF(DF_Calculation!E:E,Table1[[#This Row],[ACS_CODE]])</f>
        <v>1</v>
      </c>
    </row>
    <row r="262" spans="1:11" x14ac:dyDescent="0.25">
      <c r="A262">
        <v>72229</v>
      </c>
      <c r="B262" t="s">
        <v>937</v>
      </c>
      <c r="C262" t="s">
        <v>1514</v>
      </c>
      <c r="D262" t="s">
        <v>1813</v>
      </c>
      <c r="E262">
        <v>711</v>
      </c>
      <c r="F262">
        <v>0</v>
      </c>
      <c r="G262">
        <v>0</v>
      </c>
      <c r="H262">
        <v>3600</v>
      </c>
      <c r="I262">
        <v>79</v>
      </c>
      <c r="J262">
        <v>4390</v>
      </c>
      <c r="K262">
        <f>COUNTIF(DF_Calculation!E:E,Table1[[#This Row],[ACS_CODE]])</f>
        <v>1</v>
      </c>
    </row>
    <row r="263" spans="1:11" x14ac:dyDescent="0.25">
      <c r="A263">
        <v>22327</v>
      </c>
      <c r="B263" t="s">
        <v>916</v>
      </c>
      <c r="C263" t="s">
        <v>915</v>
      </c>
      <c r="D263" t="s">
        <v>972</v>
      </c>
      <c r="E263">
        <v>711</v>
      </c>
      <c r="F263">
        <v>0</v>
      </c>
      <c r="G263">
        <v>0</v>
      </c>
      <c r="H263">
        <v>8638</v>
      </c>
      <c r="I263">
        <v>1158</v>
      </c>
      <c r="J263">
        <v>10507</v>
      </c>
      <c r="K263">
        <f>COUNTIF(DF_Calculation!E:E,Table1[[#This Row],[ACS_CODE]])</f>
        <v>1</v>
      </c>
    </row>
    <row r="264" spans="1:11" x14ac:dyDescent="0.25">
      <c r="A264">
        <v>23243</v>
      </c>
      <c r="B264" t="s">
        <v>916</v>
      </c>
      <c r="C264" t="s">
        <v>921</v>
      </c>
      <c r="D264" t="s">
        <v>973</v>
      </c>
      <c r="E264">
        <v>695</v>
      </c>
      <c r="F264">
        <v>514</v>
      </c>
      <c r="G264">
        <v>0</v>
      </c>
      <c r="H264">
        <v>7102</v>
      </c>
      <c r="I264">
        <v>155</v>
      </c>
      <c r="J264">
        <v>8466</v>
      </c>
      <c r="K264">
        <f>COUNTIF(DF_Calculation!E:E,Table1[[#This Row],[ACS_CODE]])</f>
        <v>1</v>
      </c>
    </row>
    <row r="265" spans="1:11" x14ac:dyDescent="0.25">
      <c r="A265">
        <v>71144</v>
      </c>
      <c r="B265" t="s">
        <v>937</v>
      </c>
      <c r="C265" t="s">
        <v>937</v>
      </c>
      <c r="D265" t="s">
        <v>974</v>
      </c>
      <c r="E265">
        <v>689</v>
      </c>
      <c r="F265">
        <v>0</v>
      </c>
      <c r="G265">
        <v>0</v>
      </c>
      <c r="H265">
        <v>895</v>
      </c>
      <c r="I265">
        <v>50</v>
      </c>
      <c r="J265">
        <v>1634</v>
      </c>
      <c r="K265">
        <f>COUNTIF(DF_Calculation!E:E,Table1[[#This Row],[ACS_CODE]])</f>
        <v>1</v>
      </c>
    </row>
    <row r="266" spans="1:11" x14ac:dyDescent="0.25">
      <c r="A266">
        <v>21456</v>
      </c>
      <c r="B266" t="s">
        <v>916</v>
      </c>
      <c r="C266" t="s">
        <v>1275</v>
      </c>
      <c r="D266" t="s">
        <v>1814</v>
      </c>
      <c r="E266">
        <v>688</v>
      </c>
      <c r="F266">
        <v>0</v>
      </c>
      <c r="G266">
        <v>0</v>
      </c>
      <c r="H266">
        <v>2106</v>
      </c>
      <c r="I266">
        <v>115</v>
      </c>
      <c r="J266">
        <v>2909</v>
      </c>
      <c r="K266">
        <f>COUNTIF(DF_Calculation!E:E,Table1[[#This Row],[ACS_CODE]])</f>
        <v>1</v>
      </c>
    </row>
    <row r="267" spans="1:11" x14ac:dyDescent="0.25">
      <c r="A267">
        <v>61496</v>
      </c>
      <c r="B267" t="s">
        <v>1270</v>
      </c>
      <c r="C267" t="s">
        <v>1288</v>
      </c>
      <c r="D267" t="s">
        <v>1287</v>
      </c>
      <c r="E267">
        <v>687</v>
      </c>
      <c r="F267">
        <v>0</v>
      </c>
      <c r="G267">
        <v>0</v>
      </c>
      <c r="H267">
        <v>1381</v>
      </c>
      <c r="I267">
        <v>10</v>
      </c>
      <c r="J267">
        <v>2078</v>
      </c>
      <c r="K267">
        <f>COUNTIF(DF_Calculation!E:E,Table1[[#This Row],[ACS_CODE]])</f>
        <v>1</v>
      </c>
    </row>
    <row r="268" spans="1:11" x14ac:dyDescent="0.25">
      <c r="A268">
        <v>62234</v>
      </c>
      <c r="B268" t="s">
        <v>1270</v>
      </c>
      <c r="C268" t="s">
        <v>1269</v>
      </c>
      <c r="D268" t="s">
        <v>1815</v>
      </c>
      <c r="E268">
        <v>686</v>
      </c>
      <c r="F268">
        <v>0</v>
      </c>
      <c r="G268">
        <v>0</v>
      </c>
      <c r="H268">
        <v>1632</v>
      </c>
      <c r="I268">
        <v>30</v>
      </c>
      <c r="J268">
        <v>2348</v>
      </c>
      <c r="K268">
        <f>COUNTIF(DF_Calculation!E:E,Table1[[#This Row],[ACS_CODE]])</f>
        <v>1</v>
      </c>
    </row>
    <row r="269" spans="1:11" x14ac:dyDescent="0.25">
      <c r="A269">
        <v>33117</v>
      </c>
      <c r="B269" t="s">
        <v>919</v>
      </c>
      <c r="C269" t="s">
        <v>1297</v>
      </c>
      <c r="D269" t="s">
        <v>1816</v>
      </c>
      <c r="E269">
        <v>686</v>
      </c>
      <c r="F269">
        <v>0</v>
      </c>
      <c r="G269">
        <v>0</v>
      </c>
      <c r="H269">
        <v>4759</v>
      </c>
      <c r="I269">
        <v>50</v>
      </c>
      <c r="J269">
        <v>5495</v>
      </c>
      <c r="K269">
        <f>COUNTIF(DF_Calculation!E:E,Table1[[#This Row],[ACS_CODE]])</f>
        <v>1</v>
      </c>
    </row>
    <row r="270" spans="1:11" x14ac:dyDescent="0.25">
      <c r="A270">
        <v>71281</v>
      </c>
      <c r="B270" t="s">
        <v>937</v>
      </c>
      <c r="C270" t="s">
        <v>937</v>
      </c>
      <c r="D270" t="s">
        <v>975</v>
      </c>
      <c r="E270">
        <v>673</v>
      </c>
      <c r="F270">
        <v>0</v>
      </c>
      <c r="G270">
        <v>0</v>
      </c>
      <c r="H270">
        <v>3693</v>
      </c>
      <c r="I270">
        <v>46</v>
      </c>
      <c r="J270">
        <v>4412</v>
      </c>
      <c r="K270">
        <f>COUNTIF(DF_Calculation!E:E,Table1[[#This Row],[ACS_CODE]])</f>
        <v>1</v>
      </c>
    </row>
    <row r="271" spans="1:11" x14ac:dyDescent="0.25">
      <c r="A271">
        <v>25166</v>
      </c>
      <c r="B271" t="s">
        <v>916</v>
      </c>
      <c r="C271" t="s">
        <v>1307</v>
      </c>
      <c r="D271" t="s">
        <v>1817</v>
      </c>
      <c r="E271">
        <v>673</v>
      </c>
      <c r="F271">
        <v>0</v>
      </c>
      <c r="G271">
        <v>0</v>
      </c>
      <c r="H271">
        <v>3525</v>
      </c>
      <c r="I271">
        <v>277</v>
      </c>
      <c r="J271">
        <v>4475</v>
      </c>
      <c r="K271">
        <f>COUNTIF(DF_Calculation!E:E,Table1[[#This Row],[ACS_CODE]])</f>
        <v>1</v>
      </c>
    </row>
    <row r="272" spans="1:11" x14ac:dyDescent="0.25">
      <c r="A272">
        <v>33133</v>
      </c>
      <c r="B272" t="s">
        <v>919</v>
      </c>
      <c r="C272" t="s">
        <v>1297</v>
      </c>
      <c r="D272" t="s">
        <v>1818</v>
      </c>
      <c r="E272">
        <v>666</v>
      </c>
      <c r="F272">
        <v>0</v>
      </c>
      <c r="G272">
        <v>0</v>
      </c>
      <c r="H272">
        <v>1891</v>
      </c>
      <c r="J272">
        <v>2557</v>
      </c>
      <c r="K272">
        <f>COUNTIF(DF_Calculation!E:E,Table1[[#This Row],[ACS_CODE]])</f>
        <v>1</v>
      </c>
    </row>
    <row r="273" spans="1:11" x14ac:dyDescent="0.25">
      <c r="A273">
        <v>25161</v>
      </c>
      <c r="B273" t="s">
        <v>916</v>
      </c>
      <c r="C273" t="s">
        <v>1307</v>
      </c>
      <c r="D273" t="s">
        <v>1819</v>
      </c>
      <c r="E273">
        <v>665</v>
      </c>
      <c r="F273">
        <v>0</v>
      </c>
      <c r="G273">
        <v>0</v>
      </c>
      <c r="H273">
        <v>4127</v>
      </c>
      <c r="I273">
        <v>193</v>
      </c>
      <c r="J273">
        <v>4985</v>
      </c>
      <c r="K273">
        <f>COUNTIF(DF_Calculation!E:E,Table1[[#This Row],[ACS_CODE]])</f>
        <v>1</v>
      </c>
    </row>
    <row r="274" spans="1:11" x14ac:dyDescent="0.25">
      <c r="A274">
        <v>21351</v>
      </c>
      <c r="B274" t="s">
        <v>916</v>
      </c>
      <c r="C274" t="s">
        <v>1275</v>
      </c>
      <c r="D274" t="s">
        <v>1820</v>
      </c>
      <c r="E274">
        <v>658</v>
      </c>
      <c r="F274">
        <v>0</v>
      </c>
      <c r="G274">
        <v>0</v>
      </c>
      <c r="H274">
        <v>3380</v>
      </c>
      <c r="I274">
        <v>183</v>
      </c>
      <c r="J274">
        <v>4221</v>
      </c>
      <c r="K274">
        <f>COUNTIF(DF_Calculation!E:E,Table1[[#This Row],[ACS_CODE]])</f>
        <v>1</v>
      </c>
    </row>
    <row r="275" spans="1:11" x14ac:dyDescent="0.25">
      <c r="A275">
        <v>37377</v>
      </c>
      <c r="B275" t="s">
        <v>919</v>
      </c>
      <c r="C275" t="s">
        <v>918</v>
      </c>
      <c r="D275" t="s">
        <v>976</v>
      </c>
      <c r="E275">
        <v>655</v>
      </c>
      <c r="F275">
        <v>0</v>
      </c>
      <c r="G275">
        <v>0</v>
      </c>
      <c r="H275">
        <v>1046</v>
      </c>
      <c r="I275">
        <v>3</v>
      </c>
      <c r="J275">
        <v>1704</v>
      </c>
      <c r="K275">
        <f>COUNTIF(DF_Calculation!E:E,Table1[[#This Row],[ACS_CODE]])</f>
        <v>1</v>
      </c>
    </row>
    <row r="276" spans="1:11" x14ac:dyDescent="0.25">
      <c r="A276">
        <v>35113</v>
      </c>
      <c r="B276" t="s">
        <v>991</v>
      </c>
      <c r="C276" t="s">
        <v>991</v>
      </c>
      <c r="D276" t="s">
        <v>1821</v>
      </c>
      <c r="E276">
        <v>654</v>
      </c>
      <c r="F276">
        <v>0</v>
      </c>
      <c r="G276">
        <v>0</v>
      </c>
      <c r="H276">
        <v>2484</v>
      </c>
      <c r="I276">
        <v>4</v>
      </c>
      <c r="J276">
        <v>3142</v>
      </c>
      <c r="K276">
        <f>COUNTIF(DF_Calculation!E:E,Table1[[#This Row],[ACS_CODE]])</f>
        <v>1</v>
      </c>
    </row>
    <row r="277" spans="1:11" x14ac:dyDescent="0.25">
      <c r="A277">
        <v>35475</v>
      </c>
      <c r="B277" t="s">
        <v>991</v>
      </c>
      <c r="C277" t="s">
        <v>991</v>
      </c>
      <c r="D277" t="s">
        <v>1822</v>
      </c>
      <c r="E277">
        <v>652</v>
      </c>
      <c r="F277">
        <v>0</v>
      </c>
      <c r="G277">
        <v>0</v>
      </c>
      <c r="H277">
        <v>311</v>
      </c>
      <c r="J277">
        <v>963</v>
      </c>
      <c r="K277">
        <f>COUNTIF(DF_Calculation!E:E,Table1[[#This Row],[ACS_CODE]])</f>
        <v>1</v>
      </c>
    </row>
    <row r="278" spans="1:11" x14ac:dyDescent="0.25">
      <c r="A278">
        <v>71122</v>
      </c>
      <c r="B278" t="s">
        <v>937</v>
      </c>
      <c r="C278" t="s">
        <v>937</v>
      </c>
      <c r="D278" t="s">
        <v>1289</v>
      </c>
      <c r="E278">
        <v>651</v>
      </c>
      <c r="F278">
        <v>0</v>
      </c>
      <c r="G278">
        <v>0</v>
      </c>
      <c r="H278">
        <v>5956</v>
      </c>
      <c r="I278">
        <v>81</v>
      </c>
      <c r="J278">
        <v>6688</v>
      </c>
      <c r="K278">
        <f>COUNTIF(DF_Calculation!E:E,Table1[[#This Row],[ACS_CODE]])</f>
        <v>1</v>
      </c>
    </row>
    <row r="279" spans="1:11" x14ac:dyDescent="0.25">
      <c r="A279">
        <v>55111</v>
      </c>
      <c r="B279" t="s">
        <v>1260</v>
      </c>
      <c r="C279" t="s">
        <v>1291</v>
      </c>
      <c r="D279" t="s">
        <v>1290</v>
      </c>
      <c r="E279">
        <v>650</v>
      </c>
      <c r="F279">
        <v>0</v>
      </c>
      <c r="G279">
        <v>0</v>
      </c>
      <c r="H279">
        <v>5144</v>
      </c>
      <c r="I279">
        <v>23</v>
      </c>
      <c r="J279">
        <v>5817</v>
      </c>
      <c r="K279">
        <f>COUNTIF(DF_Calculation!E:E,Table1[[#This Row],[ACS_CODE]])</f>
        <v>1</v>
      </c>
    </row>
    <row r="280" spans="1:11" x14ac:dyDescent="0.25">
      <c r="A280">
        <v>62229</v>
      </c>
      <c r="B280" t="s">
        <v>1270</v>
      </c>
      <c r="C280" t="s">
        <v>1269</v>
      </c>
      <c r="D280" t="s">
        <v>1823</v>
      </c>
      <c r="E280">
        <v>648</v>
      </c>
      <c r="F280">
        <v>261</v>
      </c>
      <c r="G280">
        <v>86</v>
      </c>
      <c r="H280">
        <v>4482</v>
      </c>
      <c r="I280">
        <v>110</v>
      </c>
      <c r="J280">
        <v>5587</v>
      </c>
      <c r="K280">
        <f>COUNTIF(DF_Calculation!E:E,Table1[[#This Row],[ACS_CODE]])</f>
        <v>1</v>
      </c>
    </row>
    <row r="281" spans="1:11" x14ac:dyDescent="0.25">
      <c r="A281">
        <v>23336</v>
      </c>
      <c r="B281" t="s">
        <v>916</v>
      </c>
      <c r="C281" t="s">
        <v>921</v>
      </c>
      <c r="D281" t="s">
        <v>977</v>
      </c>
      <c r="E281">
        <v>647</v>
      </c>
      <c r="F281">
        <v>0</v>
      </c>
      <c r="G281">
        <v>0</v>
      </c>
      <c r="H281">
        <v>3172</v>
      </c>
      <c r="I281">
        <v>179</v>
      </c>
      <c r="J281">
        <v>3998</v>
      </c>
      <c r="K281">
        <f>COUNTIF(DF_Calculation!E:E,Table1[[#This Row],[ACS_CODE]])</f>
        <v>1</v>
      </c>
    </row>
    <row r="282" spans="1:11" x14ac:dyDescent="0.25">
      <c r="A282">
        <v>52214</v>
      </c>
      <c r="B282" t="s">
        <v>1260</v>
      </c>
      <c r="C282" t="s">
        <v>1323</v>
      </c>
      <c r="D282" t="s">
        <v>1824</v>
      </c>
      <c r="E282">
        <v>632</v>
      </c>
      <c r="F282">
        <v>0</v>
      </c>
      <c r="G282">
        <v>0</v>
      </c>
      <c r="H282">
        <v>2419</v>
      </c>
      <c r="I282">
        <v>113</v>
      </c>
      <c r="J282">
        <v>3164</v>
      </c>
      <c r="K282">
        <f>COUNTIF(DF_Calculation!E:E,Table1[[#This Row],[ACS_CODE]])</f>
        <v>1</v>
      </c>
    </row>
    <row r="283" spans="1:11" x14ac:dyDescent="0.25">
      <c r="A283">
        <v>62253</v>
      </c>
      <c r="B283" t="s">
        <v>1270</v>
      </c>
      <c r="C283" t="s">
        <v>1269</v>
      </c>
      <c r="D283" t="s">
        <v>1825</v>
      </c>
      <c r="E283">
        <v>627</v>
      </c>
      <c r="F283">
        <v>261</v>
      </c>
      <c r="G283">
        <v>0</v>
      </c>
      <c r="H283">
        <v>3275</v>
      </c>
      <c r="I283">
        <v>41</v>
      </c>
      <c r="J283">
        <v>4204</v>
      </c>
      <c r="K283">
        <f>COUNTIF(DF_Calculation!E:E,Table1[[#This Row],[ACS_CODE]])</f>
        <v>1</v>
      </c>
    </row>
    <row r="284" spans="1:11" x14ac:dyDescent="0.25">
      <c r="A284">
        <v>61233</v>
      </c>
      <c r="B284" t="s">
        <v>1270</v>
      </c>
      <c r="C284" t="s">
        <v>1288</v>
      </c>
      <c r="D284" t="s">
        <v>1826</v>
      </c>
      <c r="E284">
        <v>623</v>
      </c>
      <c r="F284">
        <v>539</v>
      </c>
      <c r="G284">
        <v>0</v>
      </c>
      <c r="H284">
        <v>1460</v>
      </c>
      <c r="I284">
        <v>66</v>
      </c>
      <c r="J284">
        <v>2688</v>
      </c>
      <c r="K284">
        <f>COUNTIF(DF_Calculation!E:E,Table1[[#This Row],[ACS_CODE]])</f>
        <v>1</v>
      </c>
    </row>
    <row r="285" spans="1:11" x14ac:dyDescent="0.25">
      <c r="A285">
        <v>22351</v>
      </c>
      <c r="B285" t="s">
        <v>916</v>
      </c>
      <c r="C285" t="s">
        <v>915</v>
      </c>
      <c r="D285" t="s">
        <v>978</v>
      </c>
      <c r="E285">
        <v>615</v>
      </c>
      <c r="F285">
        <v>0</v>
      </c>
      <c r="G285">
        <v>0</v>
      </c>
      <c r="H285">
        <v>12272</v>
      </c>
      <c r="I285">
        <v>1190</v>
      </c>
      <c r="J285">
        <v>14077</v>
      </c>
      <c r="K285">
        <f>COUNTIF(DF_Calculation!E:E,Table1[[#This Row],[ACS_CODE]])</f>
        <v>1</v>
      </c>
    </row>
    <row r="286" spans="1:11" x14ac:dyDescent="0.25">
      <c r="A286">
        <v>22475</v>
      </c>
      <c r="B286" t="s">
        <v>916</v>
      </c>
      <c r="C286" t="s">
        <v>915</v>
      </c>
      <c r="D286" t="s">
        <v>979</v>
      </c>
      <c r="E286">
        <v>614</v>
      </c>
      <c r="F286">
        <v>0</v>
      </c>
      <c r="G286">
        <v>0</v>
      </c>
      <c r="H286">
        <v>4912</v>
      </c>
      <c r="I286">
        <v>889</v>
      </c>
      <c r="J286">
        <v>6415</v>
      </c>
      <c r="K286">
        <f>COUNTIF(DF_Calculation!E:E,Table1[[#This Row],[ACS_CODE]])</f>
        <v>1</v>
      </c>
    </row>
    <row r="287" spans="1:11" x14ac:dyDescent="0.25">
      <c r="A287">
        <v>62254</v>
      </c>
      <c r="B287" t="s">
        <v>1270</v>
      </c>
      <c r="C287" t="s">
        <v>1269</v>
      </c>
      <c r="D287" t="s">
        <v>1827</v>
      </c>
      <c r="E287">
        <v>612</v>
      </c>
      <c r="F287">
        <v>0</v>
      </c>
      <c r="G287">
        <v>0</v>
      </c>
      <c r="H287">
        <v>4755</v>
      </c>
      <c r="I287">
        <v>65</v>
      </c>
      <c r="J287">
        <v>5432</v>
      </c>
      <c r="K287">
        <f>COUNTIF(DF_Calculation!E:E,Table1[[#This Row],[ACS_CODE]])</f>
        <v>1</v>
      </c>
    </row>
    <row r="288" spans="1:11" x14ac:dyDescent="0.25">
      <c r="A288">
        <v>53465</v>
      </c>
      <c r="B288" t="s">
        <v>1201</v>
      </c>
      <c r="C288" t="s">
        <v>1266</v>
      </c>
      <c r="D288" t="s">
        <v>1828</v>
      </c>
      <c r="E288">
        <v>611</v>
      </c>
      <c r="F288">
        <v>0</v>
      </c>
      <c r="G288">
        <v>0</v>
      </c>
      <c r="H288">
        <v>0</v>
      </c>
      <c r="J288">
        <v>611</v>
      </c>
      <c r="K288">
        <f>COUNTIF(DF_Calculation!E:E,Table1[[#This Row],[ACS_CODE]])</f>
        <v>1</v>
      </c>
    </row>
    <row r="289" spans="1:11" x14ac:dyDescent="0.25">
      <c r="A289">
        <v>53143</v>
      </c>
      <c r="B289" t="s">
        <v>1201</v>
      </c>
      <c r="C289" t="s">
        <v>1266</v>
      </c>
      <c r="D289" t="s">
        <v>1829</v>
      </c>
      <c r="E289">
        <v>610</v>
      </c>
      <c r="F289">
        <v>0</v>
      </c>
      <c r="G289">
        <v>0</v>
      </c>
      <c r="H289">
        <v>2333</v>
      </c>
      <c r="I289">
        <v>8</v>
      </c>
      <c r="J289">
        <v>2951</v>
      </c>
      <c r="K289">
        <f>COUNTIF(DF_Calculation!E:E,Table1[[#This Row],[ACS_CODE]])</f>
        <v>1</v>
      </c>
    </row>
    <row r="290" spans="1:11" x14ac:dyDescent="0.25">
      <c r="A290">
        <v>52295</v>
      </c>
      <c r="B290" t="s">
        <v>1260</v>
      </c>
      <c r="C290" t="s">
        <v>1323</v>
      </c>
      <c r="D290" t="s">
        <v>1830</v>
      </c>
      <c r="E290">
        <v>608</v>
      </c>
      <c r="F290">
        <v>0</v>
      </c>
      <c r="G290">
        <v>0</v>
      </c>
      <c r="H290">
        <v>704</v>
      </c>
      <c r="I290">
        <v>5</v>
      </c>
      <c r="J290">
        <v>1317</v>
      </c>
      <c r="K290">
        <f>COUNTIF(DF_Calculation!E:E,Table1[[#This Row],[ACS_CODE]])</f>
        <v>1</v>
      </c>
    </row>
    <row r="291" spans="1:11" x14ac:dyDescent="0.25">
      <c r="A291">
        <v>61417</v>
      </c>
      <c r="B291" t="s">
        <v>1270</v>
      </c>
      <c r="C291" t="s">
        <v>1288</v>
      </c>
      <c r="D291" t="s">
        <v>1831</v>
      </c>
      <c r="E291">
        <v>604</v>
      </c>
      <c r="F291">
        <v>0</v>
      </c>
      <c r="G291">
        <v>0</v>
      </c>
      <c r="H291">
        <v>1682</v>
      </c>
      <c r="I291">
        <v>47</v>
      </c>
      <c r="J291">
        <v>2333</v>
      </c>
      <c r="K291">
        <f>COUNTIF(DF_Calculation!E:E,Table1[[#This Row],[ACS_CODE]])</f>
        <v>1</v>
      </c>
    </row>
    <row r="292" spans="1:11" x14ac:dyDescent="0.25">
      <c r="A292">
        <v>55157</v>
      </c>
      <c r="B292" t="s">
        <v>1260</v>
      </c>
      <c r="C292" t="s">
        <v>1291</v>
      </c>
      <c r="D292" t="s">
        <v>1832</v>
      </c>
      <c r="E292">
        <v>603</v>
      </c>
      <c r="F292">
        <v>0</v>
      </c>
      <c r="G292">
        <v>0</v>
      </c>
      <c r="H292">
        <v>2095</v>
      </c>
      <c r="I292">
        <v>85</v>
      </c>
      <c r="J292">
        <v>2783</v>
      </c>
      <c r="K292">
        <f>COUNTIF(DF_Calculation!E:E,Table1[[#This Row],[ACS_CODE]])</f>
        <v>1</v>
      </c>
    </row>
    <row r="293" spans="1:11" x14ac:dyDescent="0.25">
      <c r="A293">
        <v>34386</v>
      </c>
      <c r="B293" t="s">
        <v>919</v>
      </c>
      <c r="C293" t="s">
        <v>931</v>
      </c>
      <c r="D293" t="s">
        <v>980</v>
      </c>
      <c r="E293">
        <v>598</v>
      </c>
      <c r="F293">
        <v>0</v>
      </c>
      <c r="G293">
        <v>0</v>
      </c>
      <c r="H293">
        <v>1891</v>
      </c>
      <c r="I293">
        <v>40</v>
      </c>
      <c r="J293">
        <v>2529</v>
      </c>
      <c r="K293">
        <f>COUNTIF(DF_Calculation!E:E,Table1[[#This Row],[ACS_CODE]])</f>
        <v>1</v>
      </c>
    </row>
    <row r="294" spans="1:11" x14ac:dyDescent="0.25">
      <c r="A294">
        <v>71256</v>
      </c>
      <c r="B294" t="s">
        <v>937</v>
      </c>
      <c r="C294" t="s">
        <v>937</v>
      </c>
      <c r="D294" t="s">
        <v>981</v>
      </c>
      <c r="E294">
        <v>597</v>
      </c>
      <c r="F294">
        <v>0</v>
      </c>
      <c r="G294">
        <v>0</v>
      </c>
      <c r="H294">
        <v>6624</v>
      </c>
      <c r="I294">
        <v>208</v>
      </c>
      <c r="J294">
        <v>7429</v>
      </c>
      <c r="K294">
        <f>COUNTIF(DF_Calculation!E:E,Table1[[#This Row],[ACS_CODE]])</f>
        <v>1</v>
      </c>
    </row>
    <row r="295" spans="1:11" x14ac:dyDescent="0.25">
      <c r="A295">
        <v>24377</v>
      </c>
      <c r="B295" t="s">
        <v>916</v>
      </c>
      <c r="C295" t="s">
        <v>1282</v>
      </c>
      <c r="D295" t="s">
        <v>1833</v>
      </c>
      <c r="E295">
        <v>589</v>
      </c>
      <c r="F295">
        <v>0</v>
      </c>
      <c r="G295">
        <v>0</v>
      </c>
      <c r="H295">
        <v>2617</v>
      </c>
      <c r="J295">
        <v>3206</v>
      </c>
      <c r="K295">
        <f>COUNTIF(DF_Calculation!E:E,Table1[[#This Row],[ACS_CODE]])</f>
        <v>1</v>
      </c>
    </row>
    <row r="296" spans="1:11" x14ac:dyDescent="0.25">
      <c r="A296">
        <v>53151</v>
      </c>
      <c r="B296" t="s">
        <v>1201</v>
      </c>
      <c r="C296" t="s">
        <v>1266</v>
      </c>
      <c r="D296" t="s">
        <v>1834</v>
      </c>
      <c r="E296">
        <v>588</v>
      </c>
      <c r="F296">
        <v>0</v>
      </c>
      <c r="G296">
        <v>0</v>
      </c>
      <c r="H296">
        <v>223</v>
      </c>
      <c r="I296">
        <v>1</v>
      </c>
      <c r="J296">
        <v>812</v>
      </c>
      <c r="K296">
        <f>COUNTIF(DF_Calculation!E:E,Table1[[#This Row],[ACS_CODE]])</f>
        <v>1</v>
      </c>
    </row>
    <row r="297" spans="1:11" x14ac:dyDescent="0.25">
      <c r="A297">
        <v>25151</v>
      </c>
      <c r="B297" t="s">
        <v>916</v>
      </c>
      <c r="C297" t="s">
        <v>1307</v>
      </c>
      <c r="D297" t="s">
        <v>1835</v>
      </c>
      <c r="E297">
        <v>587</v>
      </c>
      <c r="F297">
        <v>0</v>
      </c>
      <c r="G297">
        <v>0</v>
      </c>
      <c r="H297">
        <v>695</v>
      </c>
      <c r="I297">
        <v>88</v>
      </c>
      <c r="J297">
        <v>1370</v>
      </c>
      <c r="K297">
        <f>COUNTIF(DF_Calculation!E:E,Table1[[#This Row],[ACS_CODE]])</f>
        <v>1</v>
      </c>
    </row>
    <row r="298" spans="1:11" x14ac:dyDescent="0.25">
      <c r="A298">
        <v>53155</v>
      </c>
      <c r="B298" t="s">
        <v>1201</v>
      </c>
      <c r="C298" t="s">
        <v>1266</v>
      </c>
      <c r="D298" t="s">
        <v>1836</v>
      </c>
      <c r="E298">
        <v>586</v>
      </c>
      <c r="F298">
        <v>0</v>
      </c>
      <c r="G298">
        <v>0</v>
      </c>
      <c r="H298">
        <v>1733</v>
      </c>
      <c r="I298">
        <v>29</v>
      </c>
      <c r="J298">
        <v>2348</v>
      </c>
      <c r="K298">
        <f>COUNTIF(DF_Calculation!E:E,Table1[[#This Row],[ACS_CODE]])</f>
        <v>1</v>
      </c>
    </row>
    <row r="299" spans="1:11" x14ac:dyDescent="0.25">
      <c r="A299">
        <v>62179</v>
      </c>
      <c r="B299" t="s">
        <v>1270</v>
      </c>
      <c r="C299" t="s">
        <v>1269</v>
      </c>
      <c r="D299" t="s">
        <v>1837</v>
      </c>
      <c r="E299">
        <v>580</v>
      </c>
      <c r="F299">
        <v>261</v>
      </c>
      <c r="G299">
        <v>0</v>
      </c>
      <c r="H299">
        <v>3628</v>
      </c>
      <c r="I299">
        <v>72</v>
      </c>
      <c r="J299">
        <v>4541</v>
      </c>
      <c r="K299">
        <f>COUNTIF(DF_Calculation!E:E,Table1[[#This Row],[ACS_CODE]])</f>
        <v>1</v>
      </c>
    </row>
    <row r="300" spans="1:11" x14ac:dyDescent="0.25">
      <c r="A300">
        <v>31171</v>
      </c>
      <c r="B300" t="s">
        <v>919</v>
      </c>
      <c r="C300" t="s">
        <v>1255</v>
      </c>
      <c r="D300" t="s">
        <v>1838</v>
      </c>
      <c r="E300">
        <v>580</v>
      </c>
      <c r="F300">
        <v>207</v>
      </c>
      <c r="G300">
        <v>0</v>
      </c>
      <c r="H300">
        <v>7664</v>
      </c>
      <c r="I300">
        <v>68</v>
      </c>
      <c r="J300">
        <v>8519</v>
      </c>
      <c r="K300">
        <f>COUNTIF(DF_Calculation!E:E,Table1[[#This Row],[ACS_CODE]])</f>
        <v>1</v>
      </c>
    </row>
    <row r="301" spans="1:11" x14ac:dyDescent="0.25">
      <c r="A301">
        <v>55124</v>
      </c>
      <c r="B301" t="s">
        <v>1260</v>
      </c>
      <c r="C301" t="s">
        <v>1291</v>
      </c>
      <c r="D301" t="s">
        <v>1839</v>
      </c>
      <c r="E301">
        <v>577</v>
      </c>
      <c r="F301">
        <v>0</v>
      </c>
      <c r="G301">
        <v>0</v>
      </c>
      <c r="H301">
        <v>1329</v>
      </c>
      <c r="I301">
        <v>11</v>
      </c>
      <c r="J301">
        <v>1917</v>
      </c>
      <c r="K301">
        <f>COUNTIF(DF_Calculation!E:E,Table1[[#This Row],[ACS_CODE]])</f>
        <v>1</v>
      </c>
    </row>
    <row r="302" spans="1:11" x14ac:dyDescent="0.25">
      <c r="A302">
        <v>32123</v>
      </c>
      <c r="B302" t="s">
        <v>919</v>
      </c>
      <c r="C302" t="s">
        <v>934</v>
      </c>
      <c r="D302" t="s">
        <v>1292</v>
      </c>
      <c r="E302">
        <v>574</v>
      </c>
      <c r="F302">
        <v>0</v>
      </c>
      <c r="G302">
        <v>0</v>
      </c>
      <c r="H302">
        <v>2550</v>
      </c>
      <c r="I302">
        <v>50</v>
      </c>
      <c r="J302">
        <v>3174</v>
      </c>
      <c r="K302">
        <f>COUNTIF(DF_Calculation!E:E,Table1[[#This Row],[ACS_CODE]])</f>
        <v>1</v>
      </c>
    </row>
    <row r="303" spans="1:11" x14ac:dyDescent="0.25">
      <c r="A303">
        <v>53451</v>
      </c>
      <c r="B303" t="s">
        <v>1201</v>
      </c>
      <c r="C303" t="s">
        <v>1266</v>
      </c>
      <c r="D303" t="s">
        <v>1840</v>
      </c>
      <c r="E303">
        <v>573</v>
      </c>
      <c r="F303">
        <v>0</v>
      </c>
      <c r="G303">
        <v>0</v>
      </c>
      <c r="H303">
        <v>2900</v>
      </c>
      <c r="I303">
        <v>31</v>
      </c>
      <c r="J303">
        <v>3504</v>
      </c>
      <c r="K303">
        <f>COUNTIF(DF_Calculation!E:E,Table1[[#This Row],[ACS_CODE]])</f>
        <v>1</v>
      </c>
    </row>
    <row r="304" spans="1:11" x14ac:dyDescent="0.25">
      <c r="A304">
        <v>36111</v>
      </c>
      <c r="B304" t="s">
        <v>919</v>
      </c>
      <c r="C304" t="s">
        <v>982</v>
      </c>
      <c r="D304" t="s">
        <v>982</v>
      </c>
      <c r="E304">
        <v>569</v>
      </c>
      <c r="F304">
        <v>0</v>
      </c>
      <c r="G304">
        <v>0</v>
      </c>
      <c r="H304">
        <v>366</v>
      </c>
      <c r="I304">
        <v>107</v>
      </c>
      <c r="J304">
        <v>1042</v>
      </c>
      <c r="K304">
        <f>COUNTIF(DF_Calculation!E:E,Table1[[#This Row],[ACS_CODE]])</f>
        <v>1</v>
      </c>
    </row>
    <row r="305" spans="1:11" x14ac:dyDescent="0.25">
      <c r="A305">
        <v>37317</v>
      </c>
      <c r="B305" t="s">
        <v>919</v>
      </c>
      <c r="C305" t="s">
        <v>918</v>
      </c>
      <c r="D305" t="s">
        <v>983</v>
      </c>
      <c r="E305">
        <v>569</v>
      </c>
      <c r="F305">
        <v>0</v>
      </c>
      <c r="G305">
        <v>0</v>
      </c>
      <c r="H305">
        <v>2098</v>
      </c>
      <c r="I305">
        <v>3</v>
      </c>
      <c r="J305">
        <v>2670</v>
      </c>
      <c r="K305">
        <f>COUNTIF(DF_Calculation!E:E,Table1[[#This Row],[ACS_CODE]])</f>
        <v>1</v>
      </c>
    </row>
    <row r="306" spans="1:11" x14ac:dyDescent="0.25">
      <c r="A306">
        <v>22667</v>
      </c>
      <c r="B306" t="s">
        <v>916</v>
      </c>
      <c r="C306" t="s">
        <v>915</v>
      </c>
      <c r="D306" t="s">
        <v>984</v>
      </c>
      <c r="E306">
        <v>562</v>
      </c>
      <c r="F306">
        <v>0</v>
      </c>
      <c r="G306">
        <v>0</v>
      </c>
      <c r="H306">
        <v>7991</v>
      </c>
      <c r="I306">
        <v>1933</v>
      </c>
      <c r="J306">
        <v>10486</v>
      </c>
      <c r="K306">
        <f>COUNTIF(DF_Calculation!E:E,Table1[[#This Row],[ACS_CODE]])</f>
        <v>1</v>
      </c>
    </row>
    <row r="307" spans="1:11" x14ac:dyDescent="0.25">
      <c r="A307">
        <v>35328</v>
      </c>
      <c r="B307" t="s">
        <v>991</v>
      </c>
      <c r="C307" t="s">
        <v>991</v>
      </c>
      <c r="D307" t="s">
        <v>1841</v>
      </c>
      <c r="E307">
        <v>558</v>
      </c>
      <c r="F307">
        <v>0</v>
      </c>
      <c r="G307">
        <v>0</v>
      </c>
      <c r="H307">
        <v>3596</v>
      </c>
      <c r="I307">
        <v>18</v>
      </c>
      <c r="J307">
        <v>4172</v>
      </c>
      <c r="K307">
        <f>COUNTIF(DF_Calculation!E:E,Table1[[#This Row],[ACS_CODE]])</f>
        <v>1</v>
      </c>
    </row>
    <row r="308" spans="1:11" x14ac:dyDescent="0.25">
      <c r="A308">
        <v>32187</v>
      </c>
      <c r="B308" t="s">
        <v>919</v>
      </c>
      <c r="C308" t="s">
        <v>934</v>
      </c>
      <c r="D308" t="s">
        <v>1842</v>
      </c>
      <c r="E308">
        <v>558</v>
      </c>
      <c r="F308">
        <v>0</v>
      </c>
      <c r="G308">
        <v>0</v>
      </c>
      <c r="H308">
        <v>2606</v>
      </c>
      <c r="I308">
        <v>30</v>
      </c>
      <c r="J308">
        <v>3194</v>
      </c>
      <c r="K308">
        <f>COUNTIF(DF_Calculation!E:E,Table1[[#This Row],[ACS_CODE]])</f>
        <v>1</v>
      </c>
    </row>
    <row r="309" spans="1:11" x14ac:dyDescent="0.25">
      <c r="A309">
        <v>51184</v>
      </c>
      <c r="B309" t="s">
        <v>1260</v>
      </c>
      <c r="C309" t="s">
        <v>1259</v>
      </c>
      <c r="D309" t="s">
        <v>1293</v>
      </c>
      <c r="E309">
        <v>557</v>
      </c>
      <c r="F309">
        <v>0</v>
      </c>
      <c r="G309">
        <v>0</v>
      </c>
      <c r="H309">
        <v>791</v>
      </c>
      <c r="I309">
        <v>269</v>
      </c>
      <c r="J309">
        <v>1617</v>
      </c>
      <c r="K309">
        <f>COUNTIF(DF_Calculation!E:E,Table1[[#This Row],[ACS_CODE]])</f>
        <v>1</v>
      </c>
    </row>
    <row r="310" spans="1:11" x14ac:dyDescent="0.25">
      <c r="A310">
        <v>61489</v>
      </c>
      <c r="B310" t="s">
        <v>1270</v>
      </c>
      <c r="C310" t="s">
        <v>1288</v>
      </c>
      <c r="D310" t="s">
        <v>1843</v>
      </c>
      <c r="E310">
        <v>555</v>
      </c>
      <c r="F310">
        <v>1221</v>
      </c>
      <c r="G310">
        <v>0</v>
      </c>
      <c r="H310">
        <v>4412</v>
      </c>
      <c r="I310">
        <v>149</v>
      </c>
      <c r="J310">
        <v>6337</v>
      </c>
      <c r="K310">
        <f>COUNTIF(DF_Calculation!E:E,Table1[[#This Row],[ACS_CODE]])</f>
        <v>1</v>
      </c>
    </row>
    <row r="311" spans="1:11" x14ac:dyDescent="0.25">
      <c r="A311">
        <v>22797</v>
      </c>
      <c r="B311" t="s">
        <v>916</v>
      </c>
      <c r="C311" t="s">
        <v>915</v>
      </c>
      <c r="D311" t="s">
        <v>985</v>
      </c>
      <c r="E311">
        <v>553</v>
      </c>
      <c r="F311">
        <v>0</v>
      </c>
      <c r="G311">
        <v>0</v>
      </c>
      <c r="H311">
        <v>3746</v>
      </c>
      <c r="I311">
        <v>97</v>
      </c>
      <c r="J311">
        <v>4396</v>
      </c>
      <c r="K311">
        <f>COUNTIF(DF_Calculation!E:E,Table1[[#This Row],[ACS_CODE]])</f>
        <v>1</v>
      </c>
    </row>
    <row r="312" spans="1:11" x14ac:dyDescent="0.25">
      <c r="A312">
        <v>33123</v>
      </c>
      <c r="B312" t="s">
        <v>919</v>
      </c>
      <c r="C312" t="s">
        <v>1297</v>
      </c>
      <c r="D312" t="s">
        <v>1844</v>
      </c>
      <c r="E312">
        <v>553</v>
      </c>
      <c r="F312">
        <v>0</v>
      </c>
      <c r="G312">
        <v>0</v>
      </c>
      <c r="H312">
        <v>5398</v>
      </c>
      <c r="I312">
        <v>18</v>
      </c>
      <c r="J312">
        <v>5969</v>
      </c>
      <c r="K312">
        <f>COUNTIF(DF_Calculation!E:E,Table1[[#This Row],[ACS_CODE]])</f>
        <v>1</v>
      </c>
    </row>
    <row r="313" spans="1:11" x14ac:dyDescent="0.25">
      <c r="A313">
        <v>61461</v>
      </c>
      <c r="B313" t="s">
        <v>1270</v>
      </c>
      <c r="C313" t="s">
        <v>1288</v>
      </c>
      <c r="D313" t="s">
        <v>1845</v>
      </c>
      <c r="E313">
        <v>550</v>
      </c>
      <c r="F313">
        <v>0</v>
      </c>
      <c r="G313">
        <v>0</v>
      </c>
      <c r="H313">
        <v>4894</v>
      </c>
      <c r="I313">
        <v>105</v>
      </c>
      <c r="J313">
        <v>5549</v>
      </c>
      <c r="K313">
        <f>COUNTIF(DF_Calculation!E:E,Table1[[#This Row],[ACS_CODE]])</f>
        <v>1</v>
      </c>
    </row>
    <row r="314" spans="1:11" x14ac:dyDescent="0.25">
      <c r="A314">
        <v>26117</v>
      </c>
      <c r="B314" t="s">
        <v>916</v>
      </c>
      <c r="C314" t="s">
        <v>1295</v>
      </c>
      <c r="D314" t="s">
        <v>1294</v>
      </c>
      <c r="E314">
        <v>549</v>
      </c>
      <c r="F314">
        <v>0</v>
      </c>
      <c r="G314">
        <v>0</v>
      </c>
      <c r="H314">
        <v>351</v>
      </c>
      <c r="I314">
        <v>218</v>
      </c>
      <c r="J314">
        <v>1118</v>
      </c>
      <c r="K314">
        <f>COUNTIF(DF_Calculation!E:E,Table1[[#This Row],[ACS_CODE]])</f>
        <v>1</v>
      </c>
    </row>
    <row r="315" spans="1:11" x14ac:dyDescent="0.25">
      <c r="A315">
        <v>24315</v>
      </c>
      <c r="B315" t="s">
        <v>916</v>
      </c>
      <c r="C315" t="s">
        <v>1282</v>
      </c>
      <c r="D315" t="s">
        <v>1846</v>
      </c>
      <c r="E315">
        <v>547</v>
      </c>
      <c r="F315">
        <v>0</v>
      </c>
      <c r="G315">
        <v>0</v>
      </c>
      <c r="H315">
        <v>4756</v>
      </c>
      <c r="I315">
        <v>55</v>
      </c>
      <c r="J315">
        <v>5358</v>
      </c>
      <c r="K315">
        <f>COUNTIF(DF_Calculation!E:E,Table1[[#This Row],[ACS_CODE]])</f>
        <v>1</v>
      </c>
    </row>
    <row r="316" spans="1:11" x14ac:dyDescent="0.25">
      <c r="A316">
        <v>23439</v>
      </c>
      <c r="B316" t="s">
        <v>916</v>
      </c>
      <c r="C316" t="s">
        <v>921</v>
      </c>
      <c r="D316" t="s">
        <v>986</v>
      </c>
      <c r="E316">
        <v>543</v>
      </c>
      <c r="F316">
        <v>0</v>
      </c>
      <c r="G316">
        <v>0</v>
      </c>
      <c r="H316">
        <v>2826</v>
      </c>
      <c r="I316">
        <v>92</v>
      </c>
      <c r="J316">
        <v>3461</v>
      </c>
      <c r="K316">
        <f>COUNTIF(DF_Calculation!E:E,Table1[[#This Row],[ACS_CODE]])</f>
        <v>1</v>
      </c>
    </row>
    <row r="317" spans="1:11" x14ac:dyDescent="0.25">
      <c r="A317">
        <v>37363</v>
      </c>
      <c r="B317" t="s">
        <v>919</v>
      </c>
      <c r="C317" t="s">
        <v>918</v>
      </c>
      <c r="D317" t="s">
        <v>987</v>
      </c>
      <c r="E317">
        <v>543</v>
      </c>
      <c r="F317">
        <v>0</v>
      </c>
      <c r="G317">
        <v>0</v>
      </c>
      <c r="H317">
        <v>1381</v>
      </c>
      <c r="I317">
        <v>5</v>
      </c>
      <c r="J317">
        <v>1929</v>
      </c>
      <c r="K317">
        <f>COUNTIF(DF_Calculation!E:E,Table1[[#This Row],[ACS_CODE]])</f>
        <v>1</v>
      </c>
    </row>
    <row r="318" spans="1:11" x14ac:dyDescent="0.25">
      <c r="A318">
        <v>73282</v>
      </c>
      <c r="B318" t="s">
        <v>937</v>
      </c>
      <c r="C318" t="s">
        <v>1278</v>
      </c>
      <c r="D318" t="s">
        <v>1847</v>
      </c>
      <c r="E318">
        <v>543</v>
      </c>
      <c r="F318">
        <v>0</v>
      </c>
      <c r="G318">
        <v>0</v>
      </c>
      <c r="H318">
        <v>1087</v>
      </c>
      <c r="I318">
        <v>13</v>
      </c>
      <c r="J318">
        <v>1643</v>
      </c>
      <c r="K318">
        <f>COUNTIF(DF_Calculation!E:E,Table1[[#This Row],[ACS_CODE]])</f>
        <v>1</v>
      </c>
    </row>
    <row r="319" spans="1:11" x14ac:dyDescent="0.25">
      <c r="A319">
        <v>32131</v>
      </c>
      <c r="B319" t="s">
        <v>919</v>
      </c>
      <c r="C319" t="s">
        <v>934</v>
      </c>
      <c r="D319" t="s">
        <v>988</v>
      </c>
      <c r="E319">
        <v>536</v>
      </c>
      <c r="F319">
        <v>0</v>
      </c>
      <c r="G319">
        <v>0</v>
      </c>
      <c r="H319">
        <v>2416</v>
      </c>
      <c r="I319">
        <v>25</v>
      </c>
      <c r="J319">
        <v>2977</v>
      </c>
      <c r="K319">
        <f>COUNTIF(DF_Calculation!E:E,Table1[[#This Row],[ACS_CODE]])</f>
        <v>1</v>
      </c>
    </row>
    <row r="320" spans="1:11" x14ac:dyDescent="0.25">
      <c r="A320">
        <v>61463</v>
      </c>
      <c r="B320" t="s">
        <v>1270</v>
      </c>
      <c r="C320" t="s">
        <v>1288</v>
      </c>
      <c r="D320" t="s">
        <v>1848</v>
      </c>
      <c r="E320">
        <v>535</v>
      </c>
      <c r="F320">
        <v>0</v>
      </c>
      <c r="G320">
        <v>0</v>
      </c>
      <c r="H320">
        <v>2920</v>
      </c>
      <c r="I320">
        <v>58</v>
      </c>
      <c r="J320">
        <v>3513</v>
      </c>
      <c r="K320">
        <f>COUNTIF(DF_Calculation!E:E,Table1[[#This Row],[ACS_CODE]])</f>
        <v>1</v>
      </c>
    </row>
    <row r="321" spans="1:11" x14ac:dyDescent="0.25">
      <c r="A321">
        <v>33211</v>
      </c>
      <c r="B321" t="s">
        <v>919</v>
      </c>
      <c r="C321" t="s">
        <v>1297</v>
      </c>
      <c r="D321" t="s">
        <v>1296</v>
      </c>
      <c r="E321">
        <v>535</v>
      </c>
      <c r="F321">
        <v>0</v>
      </c>
      <c r="G321">
        <v>0</v>
      </c>
      <c r="H321">
        <v>20</v>
      </c>
      <c r="I321">
        <v>13</v>
      </c>
      <c r="J321">
        <v>568</v>
      </c>
      <c r="K321">
        <f>COUNTIF(DF_Calculation!E:E,Table1[[#This Row],[ACS_CODE]])</f>
        <v>1</v>
      </c>
    </row>
    <row r="322" spans="1:11" x14ac:dyDescent="0.25">
      <c r="A322">
        <v>71397</v>
      </c>
      <c r="B322" t="s">
        <v>937</v>
      </c>
      <c r="C322" t="s">
        <v>937</v>
      </c>
      <c r="D322" t="s">
        <v>989</v>
      </c>
      <c r="E322">
        <v>534</v>
      </c>
      <c r="F322">
        <v>0</v>
      </c>
      <c r="G322">
        <v>0</v>
      </c>
      <c r="H322">
        <v>3936</v>
      </c>
      <c r="I322">
        <v>28</v>
      </c>
      <c r="J322">
        <v>4498</v>
      </c>
      <c r="K322">
        <f>COUNTIF(DF_Calculation!E:E,Table1[[#This Row],[ACS_CODE]])</f>
        <v>1</v>
      </c>
    </row>
    <row r="323" spans="1:11" x14ac:dyDescent="0.25">
      <c r="A323">
        <v>52224</v>
      </c>
      <c r="B323" t="s">
        <v>1260</v>
      </c>
      <c r="C323" t="s">
        <v>1323</v>
      </c>
      <c r="D323" t="s">
        <v>1849</v>
      </c>
      <c r="E323">
        <v>529</v>
      </c>
      <c r="F323">
        <v>0</v>
      </c>
      <c r="G323">
        <v>0</v>
      </c>
      <c r="H323">
        <v>1258</v>
      </c>
      <c r="I323">
        <v>71</v>
      </c>
      <c r="J323">
        <v>1858</v>
      </c>
      <c r="K323">
        <f>COUNTIF(DF_Calculation!E:E,Table1[[#This Row],[ACS_CODE]])</f>
        <v>1</v>
      </c>
    </row>
    <row r="324" spans="1:11" x14ac:dyDescent="0.25">
      <c r="A324">
        <v>35465</v>
      </c>
      <c r="B324" t="s">
        <v>991</v>
      </c>
      <c r="C324" t="s">
        <v>991</v>
      </c>
      <c r="D324" t="s">
        <v>990</v>
      </c>
      <c r="E324">
        <v>528</v>
      </c>
      <c r="F324">
        <v>0</v>
      </c>
      <c r="G324">
        <v>0</v>
      </c>
      <c r="H324">
        <v>8</v>
      </c>
      <c r="J324">
        <v>536</v>
      </c>
      <c r="K324">
        <f>COUNTIF(DF_Calculation!E:E,Table1[[#This Row],[ACS_CODE]])</f>
        <v>1</v>
      </c>
    </row>
    <row r="325" spans="1:11" x14ac:dyDescent="0.25">
      <c r="A325">
        <v>23311</v>
      </c>
      <c r="B325" t="s">
        <v>916</v>
      </c>
      <c r="C325" t="s">
        <v>921</v>
      </c>
      <c r="D325" t="s">
        <v>992</v>
      </c>
      <c r="E325">
        <v>526</v>
      </c>
      <c r="F325">
        <v>0</v>
      </c>
      <c r="G325">
        <v>0</v>
      </c>
      <c r="H325">
        <v>706</v>
      </c>
      <c r="I325">
        <v>32</v>
      </c>
      <c r="J325">
        <v>1264</v>
      </c>
      <c r="K325">
        <f>COUNTIF(DF_Calculation!E:E,Table1[[#This Row],[ACS_CODE]])</f>
        <v>1</v>
      </c>
    </row>
    <row r="326" spans="1:11" x14ac:dyDescent="0.25">
      <c r="A326">
        <v>71117</v>
      </c>
      <c r="B326" t="s">
        <v>937</v>
      </c>
      <c r="C326" t="s">
        <v>937</v>
      </c>
      <c r="D326" t="s">
        <v>1298</v>
      </c>
      <c r="E326">
        <v>522</v>
      </c>
      <c r="F326">
        <v>0</v>
      </c>
      <c r="G326">
        <v>0</v>
      </c>
      <c r="H326">
        <v>1467</v>
      </c>
      <c r="I326">
        <v>59</v>
      </c>
      <c r="J326">
        <v>2048</v>
      </c>
      <c r="K326">
        <f>COUNTIF(DF_Calculation!E:E,Table1[[#This Row],[ACS_CODE]])</f>
        <v>1</v>
      </c>
    </row>
    <row r="327" spans="1:11" x14ac:dyDescent="0.25">
      <c r="A327">
        <v>35147</v>
      </c>
      <c r="B327" t="s">
        <v>991</v>
      </c>
      <c r="C327" t="s">
        <v>991</v>
      </c>
      <c r="D327" t="s">
        <v>1850</v>
      </c>
      <c r="E327">
        <v>518</v>
      </c>
      <c r="F327">
        <v>0</v>
      </c>
      <c r="G327">
        <v>0</v>
      </c>
      <c r="H327">
        <v>2089</v>
      </c>
      <c r="I327">
        <v>15</v>
      </c>
      <c r="J327">
        <v>2622</v>
      </c>
      <c r="K327">
        <f>COUNTIF(DF_Calculation!E:E,Table1[[#This Row],[ACS_CODE]])</f>
        <v>1</v>
      </c>
    </row>
    <row r="328" spans="1:11" x14ac:dyDescent="0.25">
      <c r="A328">
        <v>35427</v>
      </c>
      <c r="B328" t="s">
        <v>991</v>
      </c>
      <c r="C328" t="s">
        <v>991</v>
      </c>
      <c r="D328" t="s">
        <v>1851</v>
      </c>
      <c r="E328">
        <v>514</v>
      </c>
      <c r="F328">
        <v>0</v>
      </c>
      <c r="G328">
        <v>0</v>
      </c>
      <c r="H328">
        <v>1340</v>
      </c>
      <c r="J328">
        <v>1854</v>
      </c>
      <c r="K328">
        <f>COUNTIF(DF_Calculation!E:E,Table1[[#This Row],[ACS_CODE]])</f>
        <v>1</v>
      </c>
    </row>
    <row r="329" spans="1:11" x14ac:dyDescent="0.25">
      <c r="A329">
        <v>53433</v>
      </c>
      <c r="B329" t="s">
        <v>1201</v>
      </c>
      <c r="C329" t="s">
        <v>1266</v>
      </c>
      <c r="D329" t="s">
        <v>1852</v>
      </c>
      <c r="E329">
        <v>510</v>
      </c>
      <c r="F329">
        <v>0</v>
      </c>
      <c r="G329">
        <v>0</v>
      </c>
      <c r="H329">
        <v>400</v>
      </c>
      <c r="I329">
        <v>20</v>
      </c>
      <c r="J329">
        <v>930</v>
      </c>
      <c r="K329">
        <f>COUNTIF(DF_Calculation!E:E,Table1[[#This Row],[ACS_CODE]])</f>
        <v>1</v>
      </c>
    </row>
    <row r="330" spans="1:11" x14ac:dyDescent="0.25">
      <c r="A330">
        <v>25211</v>
      </c>
      <c r="B330" t="s">
        <v>916</v>
      </c>
      <c r="C330" t="s">
        <v>1307</v>
      </c>
      <c r="D330" t="s">
        <v>1853</v>
      </c>
      <c r="E330">
        <v>506</v>
      </c>
      <c r="F330">
        <v>0</v>
      </c>
      <c r="G330">
        <v>0</v>
      </c>
      <c r="H330">
        <v>5920</v>
      </c>
      <c r="I330">
        <v>444</v>
      </c>
      <c r="J330">
        <v>6870</v>
      </c>
      <c r="K330">
        <f>COUNTIF(DF_Calculation!E:E,Table1[[#This Row],[ACS_CODE]])</f>
        <v>1</v>
      </c>
    </row>
    <row r="331" spans="1:11" x14ac:dyDescent="0.25">
      <c r="A331">
        <v>51177</v>
      </c>
      <c r="B331" t="s">
        <v>1260</v>
      </c>
      <c r="C331" t="s">
        <v>1259</v>
      </c>
      <c r="D331" t="s">
        <v>1299</v>
      </c>
      <c r="E331">
        <v>500</v>
      </c>
      <c r="F331">
        <v>0</v>
      </c>
      <c r="G331">
        <v>0</v>
      </c>
      <c r="H331">
        <v>857</v>
      </c>
      <c r="I331">
        <v>3</v>
      </c>
      <c r="J331">
        <v>1360</v>
      </c>
      <c r="K331">
        <f>COUNTIF(DF_Calculation!E:E,Table1[[#This Row],[ACS_CODE]])</f>
        <v>1</v>
      </c>
    </row>
    <row r="332" spans="1:11" x14ac:dyDescent="0.25">
      <c r="A332">
        <v>23341</v>
      </c>
      <c r="B332" t="s">
        <v>916</v>
      </c>
      <c r="C332" t="s">
        <v>921</v>
      </c>
      <c r="D332" t="s">
        <v>993</v>
      </c>
      <c r="E332">
        <v>499</v>
      </c>
      <c r="F332">
        <v>513</v>
      </c>
      <c r="G332">
        <v>0</v>
      </c>
      <c r="H332">
        <v>2898</v>
      </c>
      <c r="I332">
        <v>2</v>
      </c>
      <c r="J332">
        <v>3912</v>
      </c>
      <c r="K332">
        <f>COUNTIF(DF_Calculation!E:E,Table1[[#This Row],[ACS_CODE]])</f>
        <v>1</v>
      </c>
    </row>
    <row r="333" spans="1:11" x14ac:dyDescent="0.25">
      <c r="A333">
        <v>32125</v>
      </c>
      <c r="B333" t="s">
        <v>919</v>
      </c>
      <c r="C333" t="s">
        <v>934</v>
      </c>
      <c r="D333" t="s">
        <v>994</v>
      </c>
      <c r="E333">
        <v>493</v>
      </c>
      <c r="F333">
        <v>0</v>
      </c>
      <c r="G333">
        <v>0</v>
      </c>
      <c r="H333">
        <v>1620</v>
      </c>
      <c r="I333">
        <v>15</v>
      </c>
      <c r="J333">
        <v>2128</v>
      </c>
      <c r="K333">
        <f>COUNTIF(DF_Calculation!E:E,Table1[[#This Row],[ACS_CODE]])</f>
        <v>1</v>
      </c>
    </row>
    <row r="334" spans="1:11" x14ac:dyDescent="0.25">
      <c r="A334">
        <v>25221</v>
      </c>
      <c r="B334" t="s">
        <v>916</v>
      </c>
      <c r="C334" t="s">
        <v>1307</v>
      </c>
      <c r="D334" t="s">
        <v>1854</v>
      </c>
      <c r="E334">
        <v>490</v>
      </c>
      <c r="F334">
        <v>0</v>
      </c>
      <c r="G334">
        <v>0</v>
      </c>
      <c r="H334">
        <v>5743</v>
      </c>
      <c r="I334">
        <v>286</v>
      </c>
      <c r="J334">
        <v>6519</v>
      </c>
      <c r="K334">
        <f>COUNTIF(DF_Calculation!E:E,Table1[[#This Row],[ACS_CODE]])</f>
        <v>1</v>
      </c>
    </row>
    <row r="335" spans="1:11" x14ac:dyDescent="0.25">
      <c r="A335">
        <v>63111</v>
      </c>
      <c r="B335" t="s">
        <v>1270</v>
      </c>
      <c r="C335" t="s">
        <v>1332</v>
      </c>
      <c r="D335" t="s">
        <v>1332</v>
      </c>
      <c r="E335">
        <v>484</v>
      </c>
      <c r="F335">
        <v>0</v>
      </c>
      <c r="G335">
        <v>0</v>
      </c>
      <c r="H335">
        <v>7053</v>
      </c>
      <c r="I335">
        <v>60</v>
      </c>
      <c r="J335">
        <v>7597</v>
      </c>
      <c r="K335">
        <f>COUNTIF(DF_Calculation!E:E,Table1[[#This Row],[ACS_CODE]])</f>
        <v>1</v>
      </c>
    </row>
    <row r="336" spans="1:11" x14ac:dyDescent="0.25">
      <c r="A336">
        <v>23413</v>
      </c>
      <c r="B336" t="s">
        <v>916</v>
      </c>
      <c r="C336" t="s">
        <v>921</v>
      </c>
      <c r="D336" t="s">
        <v>995</v>
      </c>
      <c r="E336">
        <v>483</v>
      </c>
      <c r="F336">
        <v>0</v>
      </c>
      <c r="G336">
        <v>0</v>
      </c>
      <c r="H336">
        <v>5333</v>
      </c>
      <c r="I336">
        <v>77</v>
      </c>
      <c r="J336">
        <v>5893</v>
      </c>
      <c r="K336">
        <f>COUNTIF(DF_Calculation!E:E,Table1[[#This Row],[ACS_CODE]])</f>
        <v>1</v>
      </c>
    </row>
    <row r="337" spans="1:11" x14ac:dyDescent="0.25">
      <c r="A337">
        <v>23417</v>
      </c>
      <c r="B337" t="s">
        <v>916</v>
      </c>
      <c r="C337" t="s">
        <v>921</v>
      </c>
      <c r="D337" t="s">
        <v>996</v>
      </c>
      <c r="E337">
        <v>483</v>
      </c>
      <c r="F337">
        <v>0</v>
      </c>
      <c r="G337">
        <v>0</v>
      </c>
      <c r="H337">
        <v>4347</v>
      </c>
      <c r="I337">
        <v>75</v>
      </c>
      <c r="J337">
        <v>4905</v>
      </c>
      <c r="K337">
        <f>COUNTIF(DF_Calculation!E:E,Table1[[#This Row],[ACS_CODE]])</f>
        <v>1</v>
      </c>
    </row>
    <row r="338" spans="1:11" x14ac:dyDescent="0.25">
      <c r="A338">
        <v>24331</v>
      </c>
      <c r="B338" t="s">
        <v>916</v>
      </c>
      <c r="C338" t="s">
        <v>1282</v>
      </c>
      <c r="D338" t="s">
        <v>1855</v>
      </c>
      <c r="E338">
        <v>482</v>
      </c>
      <c r="F338">
        <v>0</v>
      </c>
      <c r="G338">
        <v>0</v>
      </c>
      <c r="H338">
        <v>723</v>
      </c>
      <c r="I338">
        <v>85</v>
      </c>
      <c r="J338">
        <v>1290</v>
      </c>
      <c r="K338">
        <f>COUNTIF(DF_Calculation!E:E,Table1[[#This Row],[ACS_CODE]])</f>
        <v>1</v>
      </c>
    </row>
    <row r="339" spans="1:11" x14ac:dyDescent="0.25">
      <c r="A339">
        <v>53431</v>
      </c>
      <c r="B339" t="s">
        <v>1201</v>
      </c>
      <c r="C339" t="s">
        <v>1266</v>
      </c>
      <c r="D339" t="s">
        <v>1856</v>
      </c>
      <c r="E339">
        <v>481</v>
      </c>
      <c r="F339">
        <v>0</v>
      </c>
      <c r="G339">
        <v>0</v>
      </c>
      <c r="H339">
        <v>783</v>
      </c>
      <c r="I339">
        <v>13</v>
      </c>
      <c r="J339">
        <v>1277</v>
      </c>
      <c r="K339">
        <f>COUNTIF(DF_Calculation!E:E,Table1[[#This Row],[ACS_CODE]])</f>
        <v>1</v>
      </c>
    </row>
    <row r="340" spans="1:11" x14ac:dyDescent="0.25">
      <c r="A340">
        <v>25411</v>
      </c>
      <c r="B340" t="s">
        <v>916</v>
      </c>
      <c r="C340" t="s">
        <v>1307</v>
      </c>
      <c r="D340" t="s">
        <v>1857</v>
      </c>
      <c r="E340">
        <v>480</v>
      </c>
      <c r="F340">
        <v>0</v>
      </c>
      <c r="G340">
        <v>0</v>
      </c>
      <c r="H340">
        <v>1408</v>
      </c>
      <c r="I340">
        <v>85</v>
      </c>
      <c r="J340">
        <v>1973</v>
      </c>
      <c r="K340">
        <f>COUNTIF(DF_Calculation!E:E,Table1[[#This Row],[ACS_CODE]])</f>
        <v>1</v>
      </c>
    </row>
    <row r="341" spans="1:11" x14ac:dyDescent="0.25">
      <c r="A341">
        <v>62245</v>
      </c>
      <c r="B341" t="s">
        <v>1270</v>
      </c>
      <c r="C341" t="s">
        <v>1269</v>
      </c>
      <c r="D341" t="s">
        <v>1300</v>
      </c>
      <c r="E341">
        <v>479</v>
      </c>
      <c r="F341">
        <v>1832</v>
      </c>
      <c r="G341">
        <v>12</v>
      </c>
      <c r="H341">
        <v>2333</v>
      </c>
      <c r="I341">
        <v>40</v>
      </c>
      <c r="J341">
        <v>4696</v>
      </c>
      <c r="K341">
        <f>COUNTIF(DF_Calculation!E:E,Table1[[#This Row],[ACS_CODE]])</f>
        <v>1</v>
      </c>
    </row>
    <row r="342" spans="1:11" x14ac:dyDescent="0.25">
      <c r="A342">
        <v>21311</v>
      </c>
      <c r="B342" t="s">
        <v>916</v>
      </c>
      <c r="C342" t="s">
        <v>1275</v>
      </c>
      <c r="D342" t="s">
        <v>1858</v>
      </c>
      <c r="E342">
        <v>476</v>
      </c>
      <c r="F342">
        <v>0</v>
      </c>
      <c r="G342">
        <v>0</v>
      </c>
      <c r="H342">
        <v>1872</v>
      </c>
      <c r="I342">
        <v>10</v>
      </c>
      <c r="J342">
        <v>2358</v>
      </c>
      <c r="K342">
        <f>COUNTIF(DF_Calculation!E:E,Table1[[#This Row],[ACS_CODE]])</f>
        <v>1</v>
      </c>
    </row>
    <row r="343" spans="1:11" x14ac:dyDescent="0.25">
      <c r="A343">
        <v>33115</v>
      </c>
      <c r="B343" t="s">
        <v>919</v>
      </c>
      <c r="C343" t="s">
        <v>1297</v>
      </c>
      <c r="D343" t="s">
        <v>1301</v>
      </c>
      <c r="E343">
        <v>474</v>
      </c>
      <c r="F343">
        <v>0</v>
      </c>
      <c r="G343">
        <v>0</v>
      </c>
      <c r="H343">
        <v>3572</v>
      </c>
      <c r="I343">
        <v>38</v>
      </c>
      <c r="J343">
        <v>4084</v>
      </c>
      <c r="K343">
        <f>COUNTIF(DF_Calculation!E:E,Table1[[#This Row],[ACS_CODE]])</f>
        <v>1</v>
      </c>
    </row>
    <row r="344" spans="1:11" x14ac:dyDescent="0.25">
      <c r="A344">
        <v>53224</v>
      </c>
      <c r="B344" t="s">
        <v>1201</v>
      </c>
      <c r="C344" t="s">
        <v>1266</v>
      </c>
      <c r="D344" t="s">
        <v>1859</v>
      </c>
      <c r="E344">
        <v>472</v>
      </c>
      <c r="F344">
        <v>0</v>
      </c>
      <c r="G344">
        <v>0</v>
      </c>
      <c r="H344">
        <v>2227</v>
      </c>
      <c r="I344">
        <v>16</v>
      </c>
      <c r="J344">
        <v>2715</v>
      </c>
      <c r="K344">
        <f>COUNTIF(DF_Calculation!E:E,Table1[[#This Row],[ACS_CODE]])</f>
        <v>1</v>
      </c>
    </row>
    <row r="345" spans="1:11" x14ac:dyDescent="0.25">
      <c r="A345">
        <v>24317</v>
      </c>
      <c r="B345" t="s">
        <v>916</v>
      </c>
      <c r="C345" t="s">
        <v>1282</v>
      </c>
      <c r="D345" t="s">
        <v>1860</v>
      </c>
      <c r="E345">
        <v>468</v>
      </c>
      <c r="F345">
        <v>0</v>
      </c>
      <c r="G345">
        <v>0</v>
      </c>
      <c r="H345">
        <v>142</v>
      </c>
      <c r="I345">
        <v>12</v>
      </c>
      <c r="J345">
        <v>622</v>
      </c>
      <c r="K345">
        <f>COUNTIF(DF_Calculation!E:E,Table1[[#This Row],[ACS_CODE]])</f>
        <v>1</v>
      </c>
    </row>
    <row r="346" spans="1:11" x14ac:dyDescent="0.25">
      <c r="A346">
        <v>62211</v>
      </c>
      <c r="B346" t="s">
        <v>1270</v>
      </c>
      <c r="C346" t="s">
        <v>1269</v>
      </c>
      <c r="D346" t="s">
        <v>1861</v>
      </c>
      <c r="E346">
        <v>468</v>
      </c>
      <c r="F346">
        <v>261</v>
      </c>
      <c r="G346">
        <v>0</v>
      </c>
      <c r="H346">
        <v>6236</v>
      </c>
      <c r="I346">
        <v>60</v>
      </c>
      <c r="J346">
        <v>7025</v>
      </c>
      <c r="K346">
        <f>COUNTIF(DF_Calculation!E:E,Table1[[#This Row],[ACS_CODE]])</f>
        <v>1</v>
      </c>
    </row>
    <row r="347" spans="1:11" x14ac:dyDescent="0.25">
      <c r="A347">
        <v>74130</v>
      </c>
      <c r="B347" t="s">
        <v>937</v>
      </c>
      <c r="C347" t="s">
        <v>1280</v>
      </c>
      <c r="D347" t="s">
        <v>1862</v>
      </c>
      <c r="E347">
        <v>467</v>
      </c>
      <c r="F347">
        <v>0</v>
      </c>
      <c r="G347">
        <v>0</v>
      </c>
      <c r="H347">
        <v>4467</v>
      </c>
      <c r="I347">
        <v>25</v>
      </c>
      <c r="J347">
        <v>4959</v>
      </c>
      <c r="K347">
        <f>COUNTIF(DF_Calculation!E:E,Table1[[#This Row],[ACS_CODE]])</f>
        <v>1</v>
      </c>
    </row>
    <row r="348" spans="1:11" x14ac:dyDescent="0.25">
      <c r="A348">
        <v>25427</v>
      </c>
      <c r="B348" t="s">
        <v>916</v>
      </c>
      <c r="C348" t="s">
        <v>1307</v>
      </c>
      <c r="D348" t="s">
        <v>1863</v>
      </c>
      <c r="E348">
        <v>467</v>
      </c>
      <c r="F348">
        <v>0</v>
      </c>
      <c r="G348">
        <v>0</v>
      </c>
      <c r="H348">
        <v>1681</v>
      </c>
      <c r="I348">
        <v>22</v>
      </c>
      <c r="J348">
        <v>2170</v>
      </c>
      <c r="K348">
        <f>COUNTIF(DF_Calculation!E:E,Table1[[#This Row],[ACS_CODE]])</f>
        <v>1</v>
      </c>
    </row>
    <row r="349" spans="1:11" x14ac:dyDescent="0.25">
      <c r="A349">
        <v>23239</v>
      </c>
      <c r="B349" t="s">
        <v>916</v>
      </c>
      <c r="C349" t="s">
        <v>921</v>
      </c>
      <c r="D349" t="s">
        <v>997</v>
      </c>
      <c r="E349">
        <v>464</v>
      </c>
      <c r="F349">
        <v>513</v>
      </c>
      <c r="G349">
        <v>0</v>
      </c>
      <c r="H349">
        <v>5070</v>
      </c>
      <c r="I349">
        <v>68</v>
      </c>
      <c r="J349">
        <v>6115</v>
      </c>
      <c r="K349">
        <f>COUNTIF(DF_Calculation!E:E,Table1[[#This Row],[ACS_CODE]])</f>
        <v>1</v>
      </c>
    </row>
    <row r="350" spans="1:11" x14ac:dyDescent="0.25">
      <c r="A350">
        <v>53455</v>
      </c>
      <c r="B350" t="s">
        <v>1201</v>
      </c>
      <c r="C350" t="s">
        <v>1266</v>
      </c>
      <c r="D350" t="s">
        <v>1864</v>
      </c>
      <c r="E350">
        <v>463</v>
      </c>
      <c r="F350">
        <v>0</v>
      </c>
      <c r="G350">
        <v>0</v>
      </c>
      <c r="H350">
        <v>989</v>
      </c>
      <c r="J350">
        <v>1452</v>
      </c>
      <c r="K350">
        <f>COUNTIF(DF_Calculation!E:E,Table1[[#This Row],[ACS_CODE]])</f>
        <v>1</v>
      </c>
    </row>
    <row r="351" spans="1:11" x14ac:dyDescent="0.25">
      <c r="A351">
        <v>61493</v>
      </c>
      <c r="B351" t="s">
        <v>1270</v>
      </c>
      <c r="C351" t="s">
        <v>1288</v>
      </c>
      <c r="D351" t="s">
        <v>1865</v>
      </c>
      <c r="E351">
        <v>463</v>
      </c>
      <c r="F351">
        <v>0</v>
      </c>
      <c r="G351">
        <v>0</v>
      </c>
      <c r="H351">
        <v>2576</v>
      </c>
      <c r="I351">
        <v>134</v>
      </c>
      <c r="J351">
        <v>3173</v>
      </c>
      <c r="K351">
        <f>COUNTIF(DF_Calculation!E:E,Table1[[#This Row],[ACS_CODE]])</f>
        <v>1</v>
      </c>
    </row>
    <row r="352" spans="1:11" x14ac:dyDescent="0.25">
      <c r="A352">
        <v>61451</v>
      </c>
      <c r="B352" t="s">
        <v>1270</v>
      </c>
      <c r="C352" t="s">
        <v>1288</v>
      </c>
      <c r="D352" t="s">
        <v>1866</v>
      </c>
      <c r="E352">
        <v>463</v>
      </c>
      <c r="F352">
        <v>0</v>
      </c>
      <c r="G352">
        <v>0</v>
      </c>
      <c r="H352">
        <v>1127</v>
      </c>
      <c r="I352">
        <v>20</v>
      </c>
      <c r="J352">
        <v>1610</v>
      </c>
      <c r="K352">
        <f>COUNTIF(DF_Calculation!E:E,Table1[[#This Row],[ACS_CODE]])</f>
        <v>1</v>
      </c>
    </row>
    <row r="353" spans="1:11" x14ac:dyDescent="0.25">
      <c r="A353">
        <v>53257</v>
      </c>
      <c r="B353" t="s">
        <v>1201</v>
      </c>
      <c r="C353" t="s">
        <v>1266</v>
      </c>
      <c r="D353" t="s">
        <v>1302</v>
      </c>
      <c r="E353">
        <v>462</v>
      </c>
      <c r="F353">
        <v>0</v>
      </c>
      <c r="G353">
        <v>0</v>
      </c>
      <c r="H353">
        <v>378</v>
      </c>
      <c r="I353">
        <v>12</v>
      </c>
      <c r="J353">
        <v>852</v>
      </c>
      <c r="K353">
        <f>COUNTIF(DF_Calculation!E:E,Table1[[#This Row],[ACS_CODE]])</f>
        <v>1</v>
      </c>
    </row>
    <row r="354" spans="1:11" x14ac:dyDescent="0.25">
      <c r="A354">
        <v>53135</v>
      </c>
      <c r="B354" t="s">
        <v>1201</v>
      </c>
      <c r="C354" t="s">
        <v>1266</v>
      </c>
      <c r="D354" t="s">
        <v>1867</v>
      </c>
      <c r="E354">
        <v>456</v>
      </c>
      <c r="F354">
        <v>0</v>
      </c>
      <c r="G354">
        <v>0</v>
      </c>
      <c r="H354">
        <v>805</v>
      </c>
      <c r="I354">
        <v>10</v>
      </c>
      <c r="J354">
        <v>1271</v>
      </c>
      <c r="K354">
        <f>COUNTIF(DF_Calculation!E:E,Table1[[#This Row],[ACS_CODE]])</f>
        <v>1</v>
      </c>
    </row>
    <row r="355" spans="1:11" x14ac:dyDescent="0.25">
      <c r="A355">
        <v>71331</v>
      </c>
      <c r="B355" t="s">
        <v>937</v>
      </c>
      <c r="C355" t="s">
        <v>937</v>
      </c>
      <c r="D355" t="s">
        <v>998</v>
      </c>
      <c r="E355">
        <v>454</v>
      </c>
      <c r="F355">
        <v>783</v>
      </c>
      <c r="G355">
        <v>0</v>
      </c>
      <c r="H355">
        <v>9132</v>
      </c>
      <c r="I355">
        <v>150</v>
      </c>
      <c r="J355">
        <v>10519</v>
      </c>
      <c r="K355">
        <f>COUNTIF(DF_Calculation!E:E,Table1[[#This Row],[ACS_CODE]])</f>
        <v>1</v>
      </c>
    </row>
    <row r="356" spans="1:11" x14ac:dyDescent="0.25">
      <c r="A356">
        <v>72211</v>
      </c>
      <c r="B356" t="s">
        <v>937</v>
      </c>
      <c r="C356" t="s">
        <v>1514</v>
      </c>
      <c r="D356" t="s">
        <v>1868</v>
      </c>
      <c r="E356">
        <v>452</v>
      </c>
      <c r="F356">
        <v>0</v>
      </c>
      <c r="G356">
        <v>0</v>
      </c>
      <c r="H356">
        <v>2536</v>
      </c>
      <c r="I356">
        <v>352</v>
      </c>
      <c r="J356">
        <v>3340</v>
      </c>
      <c r="K356">
        <f>COUNTIF(DF_Calculation!E:E,Table1[[#This Row],[ACS_CODE]])</f>
        <v>1</v>
      </c>
    </row>
    <row r="357" spans="1:11" x14ac:dyDescent="0.25">
      <c r="A357">
        <v>22359</v>
      </c>
      <c r="B357" t="s">
        <v>916</v>
      </c>
      <c r="C357" t="s">
        <v>915</v>
      </c>
      <c r="D357" t="s">
        <v>999</v>
      </c>
      <c r="E357">
        <v>452</v>
      </c>
      <c r="F357">
        <v>0</v>
      </c>
      <c r="G357">
        <v>0</v>
      </c>
      <c r="H357">
        <v>3162</v>
      </c>
      <c r="I357">
        <v>160</v>
      </c>
      <c r="J357">
        <v>3774</v>
      </c>
      <c r="K357">
        <f>COUNTIF(DF_Calculation!E:E,Table1[[#This Row],[ACS_CODE]])</f>
        <v>1</v>
      </c>
    </row>
    <row r="358" spans="1:11" x14ac:dyDescent="0.25">
      <c r="A358">
        <v>35267</v>
      </c>
      <c r="B358" t="s">
        <v>991</v>
      </c>
      <c r="C358" t="s">
        <v>991</v>
      </c>
      <c r="D358" t="s">
        <v>1869</v>
      </c>
      <c r="E358">
        <v>450</v>
      </c>
      <c r="F358">
        <v>0</v>
      </c>
      <c r="G358">
        <v>0</v>
      </c>
      <c r="H358">
        <v>1127</v>
      </c>
      <c r="J358">
        <v>1577</v>
      </c>
      <c r="K358">
        <f>COUNTIF(DF_Calculation!E:E,Table1[[#This Row],[ACS_CODE]])</f>
        <v>1</v>
      </c>
    </row>
    <row r="359" spans="1:11" x14ac:dyDescent="0.25">
      <c r="A359">
        <v>51133</v>
      </c>
      <c r="B359" t="s">
        <v>1260</v>
      </c>
      <c r="C359" t="s">
        <v>1259</v>
      </c>
      <c r="D359" t="s">
        <v>1303</v>
      </c>
      <c r="E359">
        <v>450</v>
      </c>
      <c r="F359">
        <v>0</v>
      </c>
      <c r="G359">
        <v>0</v>
      </c>
      <c r="H359">
        <v>3878</v>
      </c>
      <c r="J359">
        <v>4328</v>
      </c>
      <c r="K359">
        <f>COUNTIF(DF_Calculation!E:E,Table1[[#This Row],[ACS_CODE]])</f>
        <v>1</v>
      </c>
    </row>
    <row r="360" spans="1:11" x14ac:dyDescent="0.25">
      <c r="A360">
        <v>51371</v>
      </c>
      <c r="B360" t="s">
        <v>1260</v>
      </c>
      <c r="C360" t="s">
        <v>1259</v>
      </c>
      <c r="D360" t="s">
        <v>1870</v>
      </c>
      <c r="E360">
        <v>448</v>
      </c>
      <c r="F360">
        <v>0</v>
      </c>
      <c r="G360">
        <v>0</v>
      </c>
      <c r="H360">
        <v>633</v>
      </c>
      <c r="I360">
        <v>41</v>
      </c>
      <c r="J360">
        <v>1122</v>
      </c>
      <c r="K360">
        <f>COUNTIF(DF_Calculation!E:E,Table1[[#This Row],[ACS_CODE]])</f>
        <v>1</v>
      </c>
    </row>
    <row r="361" spans="1:11" x14ac:dyDescent="0.25">
      <c r="A361">
        <v>53179</v>
      </c>
      <c r="B361" t="s">
        <v>1201</v>
      </c>
      <c r="C361" t="s">
        <v>1266</v>
      </c>
      <c r="D361" t="s">
        <v>1871</v>
      </c>
      <c r="E361">
        <v>446</v>
      </c>
      <c r="F361">
        <v>0</v>
      </c>
      <c r="G361">
        <v>0</v>
      </c>
      <c r="H361">
        <v>1111</v>
      </c>
      <c r="I361">
        <v>14</v>
      </c>
      <c r="J361">
        <v>1571</v>
      </c>
      <c r="K361">
        <f>COUNTIF(DF_Calculation!E:E,Table1[[#This Row],[ACS_CODE]])</f>
        <v>1</v>
      </c>
    </row>
    <row r="362" spans="1:11" x14ac:dyDescent="0.25">
      <c r="A362">
        <v>61335</v>
      </c>
      <c r="B362" t="s">
        <v>1270</v>
      </c>
      <c r="C362" t="s">
        <v>1288</v>
      </c>
      <c r="D362" t="s">
        <v>1872</v>
      </c>
      <c r="E362">
        <v>446</v>
      </c>
      <c r="F362">
        <v>4479</v>
      </c>
      <c r="G362">
        <v>0</v>
      </c>
      <c r="H362">
        <v>5623</v>
      </c>
      <c r="I362">
        <v>31</v>
      </c>
      <c r="J362">
        <v>10579</v>
      </c>
      <c r="K362">
        <f>COUNTIF(DF_Calculation!E:E,Table1[[#This Row],[ACS_CODE]])</f>
        <v>1</v>
      </c>
    </row>
    <row r="363" spans="1:11" x14ac:dyDescent="0.25">
      <c r="A363">
        <v>35259</v>
      </c>
      <c r="B363" t="s">
        <v>991</v>
      </c>
      <c r="C363" t="s">
        <v>991</v>
      </c>
      <c r="D363" t="s">
        <v>1304</v>
      </c>
      <c r="E363">
        <v>445</v>
      </c>
      <c r="F363">
        <v>0</v>
      </c>
      <c r="G363">
        <v>0</v>
      </c>
      <c r="H363">
        <v>90</v>
      </c>
      <c r="J363">
        <v>535</v>
      </c>
      <c r="K363">
        <f>COUNTIF(DF_Calculation!E:E,Table1[[#This Row],[ACS_CODE]])</f>
        <v>1</v>
      </c>
    </row>
    <row r="364" spans="1:11" x14ac:dyDescent="0.25">
      <c r="A364">
        <v>22733</v>
      </c>
      <c r="B364" t="s">
        <v>916</v>
      </c>
      <c r="C364" t="s">
        <v>915</v>
      </c>
      <c r="D364" t="s">
        <v>1000</v>
      </c>
      <c r="E364">
        <v>445</v>
      </c>
      <c r="F364">
        <v>0</v>
      </c>
      <c r="G364">
        <v>0</v>
      </c>
      <c r="H364">
        <v>1167</v>
      </c>
      <c r="I364">
        <v>24</v>
      </c>
      <c r="J364">
        <v>1636</v>
      </c>
      <c r="K364">
        <f>COUNTIF(DF_Calculation!E:E,Table1[[#This Row],[ACS_CODE]])</f>
        <v>1</v>
      </c>
    </row>
    <row r="365" spans="1:11" x14ac:dyDescent="0.25">
      <c r="A365">
        <v>22427</v>
      </c>
      <c r="B365" t="s">
        <v>916</v>
      </c>
      <c r="C365" t="s">
        <v>915</v>
      </c>
      <c r="D365" t="s">
        <v>1001</v>
      </c>
      <c r="E365">
        <v>445</v>
      </c>
      <c r="F365">
        <v>0</v>
      </c>
      <c r="G365">
        <v>0</v>
      </c>
      <c r="H365">
        <v>2366</v>
      </c>
      <c r="I365">
        <v>216</v>
      </c>
      <c r="J365">
        <v>3027</v>
      </c>
      <c r="K365">
        <f>COUNTIF(DF_Calculation!E:E,Table1[[#This Row],[ACS_CODE]])</f>
        <v>1</v>
      </c>
    </row>
    <row r="366" spans="1:11" x14ac:dyDescent="0.25">
      <c r="A366">
        <v>52136</v>
      </c>
      <c r="B366" t="s">
        <v>1260</v>
      </c>
      <c r="C366" t="s">
        <v>1323</v>
      </c>
      <c r="D366" t="s">
        <v>1873</v>
      </c>
      <c r="E366">
        <v>443</v>
      </c>
      <c r="F366">
        <v>0</v>
      </c>
      <c r="G366">
        <v>0</v>
      </c>
      <c r="H366">
        <v>1703</v>
      </c>
      <c r="I366">
        <v>40</v>
      </c>
      <c r="J366">
        <v>2186</v>
      </c>
      <c r="K366">
        <f>COUNTIF(DF_Calculation!E:E,Table1[[#This Row],[ACS_CODE]])</f>
        <v>1</v>
      </c>
    </row>
    <row r="367" spans="1:11" x14ac:dyDescent="0.25">
      <c r="A367">
        <v>61447</v>
      </c>
      <c r="B367" t="s">
        <v>1270</v>
      </c>
      <c r="C367" t="s">
        <v>1288</v>
      </c>
      <c r="D367" t="s">
        <v>1874</v>
      </c>
      <c r="E367">
        <v>441</v>
      </c>
      <c r="F367">
        <v>0</v>
      </c>
      <c r="G367">
        <v>0</v>
      </c>
      <c r="H367">
        <v>1466</v>
      </c>
      <c r="I367">
        <v>58</v>
      </c>
      <c r="J367">
        <v>1965</v>
      </c>
      <c r="K367">
        <f>COUNTIF(DF_Calculation!E:E,Table1[[#This Row],[ACS_CODE]])</f>
        <v>1</v>
      </c>
    </row>
    <row r="368" spans="1:11" x14ac:dyDescent="0.25">
      <c r="A368">
        <v>71391</v>
      </c>
      <c r="B368" t="s">
        <v>937</v>
      </c>
      <c r="C368" t="s">
        <v>937</v>
      </c>
      <c r="D368" t="s">
        <v>1002</v>
      </c>
      <c r="E368">
        <v>439</v>
      </c>
      <c r="F368">
        <v>0</v>
      </c>
      <c r="G368">
        <v>0</v>
      </c>
      <c r="H368">
        <v>7122</v>
      </c>
      <c r="I368">
        <v>30</v>
      </c>
      <c r="J368">
        <v>7591</v>
      </c>
      <c r="K368">
        <f>COUNTIF(DF_Calculation!E:E,Table1[[#This Row],[ACS_CODE]])</f>
        <v>1</v>
      </c>
    </row>
    <row r="369" spans="1:11" x14ac:dyDescent="0.25">
      <c r="A369">
        <v>21341</v>
      </c>
      <c r="B369" t="s">
        <v>916</v>
      </c>
      <c r="C369" t="s">
        <v>1275</v>
      </c>
      <c r="D369" t="s">
        <v>1875</v>
      </c>
      <c r="E369">
        <v>436</v>
      </c>
      <c r="F369">
        <v>0</v>
      </c>
      <c r="G369">
        <v>0</v>
      </c>
      <c r="H369">
        <v>3112</v>
      </c>
      <c r="I369">
        <v>43</v>
      </c>
      <c r="J369">
        <v>3591</v>
      </c>
      <c r="K369">
        <f>COUNTIF(DF_Calculation!E:E,Table1[[#This Row],[ACS_CODE]])</f>
        <v>1</v>
      </c>
    </row>
    <row r="370" spans="1:11" x14ac:dyDescent="0.25">
      <c r="A370">
        <v>55181</v>
      </c>
      <c r="B370" t="s">
        <v>1260</v>
      </c>
      <c r="C370" t="s">
        <v>1291</v>
      </c>
      <c r="D370" t="s">
        <v>1876</v>
      </c>
      <c r="E370">
        <v>435</v>
      </c>
      <c r="F370">
        <v>0</v>
      </c>
      <c r="G370">
        <v>0</v>
      </c>
      <c r="H370">
        <v>738</v>
      </c>
      <c r="I370">
        <v>7</v>
      </c>
      <c r="J370">
        <v>1180</v>
      </c>
      <c r="K370">
        <f>COUNTIF(DF_Calculation!E:E,Table1[[#This Row],[ACS_CODE]])</f>
        <v>1</v>
      </c>
    </row>
    <row r="371" spans="1:11" x14ac:dyDescent="0.25">
      <c r="A371">
        <v>23255</v>
      </c>
      <c r="B371" t="s">
        <v>916</v>
      </c>
      <c r="C371" t="s">
        <v>921</v>
      </c>
      <c r="D371" t="s">
        <v>1003</v>
      </c>
      <c r="E371">
        <v>434</v>
      </c>
      <c r="F371">
        <v>513</v>
      </c>
      <c r="G371">
        <v>0</v>
      </c>
      <c r="H371">
        <v>3936</v>
      </c>
      <c r="I371">
        <v>37</v>
      </c>
      <c r="J371">
        <v>4920</v>
      </c>
      <c r="K371">
        <f>COUNTIF(DF_Calculation!E:E,Table1[[#This Row],[ACS_CODE]])</f>
        <v>1</v>
      </c>
    </row>
    <row r="372" spans="1:11" x14ac:dyDescent="0.25">
      <c r="A372">
        <v>37319</v>
      </c>
      <c r="B372" t="s">
        <v>919</v>
      </c>
      <c r="C372" t="s">
        <v>918</v>
      </c>
      <c r="D372" t="s">
        <v>1004</v>
      </c>
      <c r="E372">
        <v>431</v>
      </c>
      <c r="F372">
        <v>0</v>
      </c>
      <c r="G372">
        <v>0</v>
      </c>
      <c r="H372">
        <v>2909</v>
      </c>
      <c r="J372">
        <v>3340</v>
      </c>
      <c r="K372">
        <f>COUNTIF(DF_Calculation!E:E,Table1[[#This Row],[ACS_CODE]])</f>
        <v>1</v>
      </c>
    </row>
    <row r="373" spans="1:11" x14ac:dyDescent="0.25">
      <c r="A373">
        <v>62291</v>
      </c>
      <c r="B373" t="s">
        <v>1270</v>
      </c>
      <c r="C373" t="s">
        <v>1269</v>
      </c>
      <c r="D373" t="s">
        <v>1877</v>
      </c>
      <c r="E373">
        <v>430</v>
      </c>
      <c r="F373">
        <v>1832</v>
      </c>
      <c r="G373">
        <v>115</v>
      </c>
      <c r="H373">
        <v>2375</v>
      </c>
      <c r="I373">
        <v>3</v>
      </c>
      <c r="J373">
        <v>4755</v>
      </c>
      <c r="K373">
        <f>COUNTIF(DF_Calculation!E:E,Table1[[#This Row],[ACS_CODE]])</f>
        <v>1</v>
      </c>
    </row>
    <row r="374" spans="1:11" x14ac:dyDescent="0.25">
      <c r="A374">
        <v>35171</v>
      </c>
      <c r="B374" t="s">
        <v>991</v>
      </c>
      <c r="C374" t="s">
        <v>991</v>
      </c>
      <c r="D374" t="s">
        <v>1878</v>
      </c>
      <c r="E374">
        <v>429</v>
      </c>
      <c r="F374">
        <v>0</v>
      </c>
      <c r="G374">
        <v>0</v>
      </c>
      <c r="H374">
        <v>5283</v>
      </c>
      <c r="I374">
        <v>14</v>
      </c>
      <c r="J374">
        <v>5726</v>
      </c>
      <c r="K374">
        <f>COUNTIF(DF_Calculation!E:E,Table1[[#This Row],[ACS_CODE]])</f>
        <v>1</v>
      </c>
    </row>
    <row r="375" spans="1:11" x14ac:dyDescent="0.25">
      <c r="A375">
        <v>32127</v>
      </c>
      <c r="B375" t="s">
        <v>919</v>
      </c>
      <c r="C375" t="s">
        <v>934</v>
      </c>
      <c r="D375" t="s">
        <v>1005</v>
      </c>
      <c r="E375">
        <v>428</v>
      </c>
      <c r="F375">
        <v>0</v>
      </c>
      <c r="G375">
        <v>0</v>
      </c>
      <c r="H375">
        <v>929</v>
      </c>
      <c r="I375">
        <v>25</v>
      </c>
      <c r="J375">
        <v>1382</v>
      </c>
      <c r="K375">
        <f>COUNTIF(DF_Calculation!E:E,Table1[[#This Row],[ACS_CODE]])</f>
        <v>1</v>
      </c>
    </row>
    <row r="376" spans="1:11" x14ac:dyDescent="0.25">
      <c r="A376">
        <v>21259</v>
      </c>
      <c r="B376" t="s">
        <v>916</v>
      </c>
      <c r="C376" t="s">
        <v>1275</v>
      </c>
      <c r="D376" t="s">
        <v>1879</v>
      </c>
      <c r="E376">
        <v>419</v>
      </c>
      <c r="F376">
        <v>0</v>
      </c>
      <c r="G376">
        <v>0</v>
      </c>
      <c r="H376">
        <v>1634</v>
      </c>
      <c r="I376">
        <v>161</v>
      </c>
      <c r="J376">
        <v>2214</v>
      </c>
      <c r="K376">
        <f>COUNTIF(DF_Calculation!E:E,Table1[[#This Row],[ACS_CODE]])</f>
        <v>1</v>
      </c>
    </row>
    <row r="377" spans="1:11" x14ac:dyDescent="0.25">
      <c r="A377">
        <v>71246</v>
      </c>
      <c r="B377" t="s">
        <v>937</v>
      </c>
      <c r="C377" t="s">
        <v>937</v>
      </c>
      <c r="D377" t="s">
        <v>1006</v>
      </c>
      <c r="E377">
        <v>419</v>
      </c>
      <c r="F377">
        <v>0</v>
      </c>
      <c r="G377">
        <v>0</v>
      </c>
      <c r="H377">
        <v>3882</v>
      </c>
      <c r="I377">
        <v>17</v>
      </c>
      <c r="J377">
        <v>4318</v>
      </c>
      <c r="K377">
        <f>COUNTIF(DF_Calculation!E:E,Table1[[#This Row],[ACS_CODE]])</f>
        <v>1</v>
      </c>
    </row>
    <row r="378" spans="1:11" x14ac:dyDescent="0.25">
      <c r="A378">
        <v>35419</v>
      </c>
      <c r="B378" t="s">
        <v>991</v>
      </c>
      <c r="C378" t="s">
        <v>991</v>
      </c>
      <c r="D378" t="s">
        <v>1880</v>
      </c>
      <c r="E378">
        <v>417</v>
      </c>
      <c r="F378">
        <v>0</v>
      </c>
      <c r="G378">
        <v>0</v>
      </c>
      <c r="H378">
        <v>303</v>
      </c>
      <c r="J378">
        <v>720</v>
      </c>
      <c r="K378">
        <f>COUNTIF(DF_Calculation!E:E,Table1[[#This Row],[ACS_CODE]])</f>
        <v>1</v>
      </c>
    </row>
    <row r="379" spans="1:11" x14ac:dyDescent="0.25">
      <c r="A379">
        <v>61464</v>
      </c>
      <c r="B379" t="s">
        <v>1270</v>
      </c>
      <c r="C379" t="s">
        <v>1288</v>
      </c>
      <c r="D379" t="s">
        <v>1881</v>
      </c>
      <c r="E379">
        <v>415</v>
      </c>
      <c r="F379">
        <v>0</v>
      </c>
      <c r="G379">
        <v>0</v>
      </c>
      <c r="H379">
        <v>1534</v>
      </c>
      <c r="I379">
        <v>4</v>
      </c>
      <c r="J379">
        <v>1953</v>
      </c>
      <c r="K379">
        <f>COUNTIF(DF_Calculation!E:E,Table1[[#This Row],[ACS_CODE]])</f>
        <v>1</v>
      </c>
    </row>
    <row r="380" spans="1:11" x14ac:dyDescent="0.25">
      <c r="A380">
        <v>35463</v>
      </c>
      <c r="B380" t="s">
        <v>991</v>
      </c>
      <c r="C380" t="s">
        <v>991</v>
      </c>
      <c r="D380" t="s">
        <v>1882</v>
      </c>
      <c r="E380">
        <v>412</v>
      </c>
      <c r="F380">
        <v>0</v>
      </c>
      <c r="G380">
        <v>0</v>
      </c>
      <c r="H380">
        <v>560</v>
      </c>
      <c r="I380">
        <v>2</v>
      </c>
      <c r="J380">
        <v>974</v>
      </c>
      <c r="K380">
        <f>COUNTIF(DF_Calculation!E:E,Table1[[#This Row],[ACS_CODE]])</f>
        <v>1</v>
      </c>
    </row>
    <row r="381" spans="1:11" x14ac:dyDescent="0.25">
      <c r="A381">
        <v>35414</v>
      </c>
      <c r="B381" t="s">
        <v>991</v>
      </c>
      <c r="C381" t="s">
        <v>991</v>
      </c>
      <c r="D381" t="s">
        <v>1883</v>
      </c>
      <c r="E381">
        <v>412</v>
      </c>
      <c r="F381">
        <v>0</v>
      </c>
      <c r="G381">
        <v>0</v>
      </c>
      <c r="H381">
        <v>817</v>
      </c>
      <c r="I381">
        <v>2</v>
      </c>
      <c r="J381">
        <v>1231</v>
      </c>
      <c r="K381">
        <f>COUNTIF(DF_Calculation!E:E,Table1[[#This Row],[ACS_CODE]])</f>
        <v>1</v>
      </c>
    </row>
    <row r="382" spans="1:11" x14ac:dyDescent="0.25">
      <c r="A382">
        <v>72217</v>
      </c>
      <c r="B382" t="s">
        <v>937</v>
      </c>
      <c r="C382" t="s">
        <v>1514</v>
      </c>
      <c r="D382" t="s">
        <v>1884</v>
      </c>
      <c r="E382">
        <v>409</v>
      </c>
      <c r="F382">
        <v>0</v>
      </c>
      <c r="G382">
        <v>0</v>
      </c>
      <c r="H382">
        <v>489</v>
      </c>
      <c r="I382">
        <v>21</v>
      </c>
      <c r="J382">
        <v>919</v>
      </c>
      <c r="K382">
        <f>COUNTIF(DF_Calculation!E:E,Table1[[#This Row],[ACS_CODE]])</f>
        <v>1</v>
      </c>
    </row>
    <row r="383" spans="1:11" x14ac:dyDescent="0.25">
      <c r="A383">
        <v>22423</v>
      </c>
      <c r="B383" t="s">
        <v>916</v>
      </c>
      <c r="C383" t="s">
        <v>915</v>
      </c>
      <c r="D383" t="s">
        <v>1007</v>
      </c>
      <c r="E383">
        <v>408</v>
      </c>
      <c r="F383">
        <v>0</v>
      </c>
      <c r="G383">
        <v>0</v>
      </c>
      <c r="H383">
        <v>3452</v>
      </c>
      <c r="I383">
        <v>1681</v>
      </c>
      <c r="J383">
        <v>5541</v>
      </c>
      <c r="K383">
        <f>COUNTIF(DF_Calculation!E:E,Table1[[#This Row],[ACS_CODE]])</f>
        <v>1</v>
      </c>
    </row>
    <row r="384" spans="1:11" x14ac:dyDescent="0.25">
      <c r="A384">
        <v>35126</v>
      </c>
      <c r="B384" t="s">
        <v>991</v>
      </c>
      <c r="C384" t="s">
        <v>991</v>
      </c>
      <c r="D384" t="s">
        <v>1885</v>
      </c>
      <c r="E384">
        <v>407</v>
      </c>
      <c r="F384">
        <v>0</v>
      </c>
      <c r="G384">
        <v>0</v>
      </c>
      <c r="H384">
        <v>2134</v>
      </c>
      <c r="J384">
        <v>2541</v>
      </c>
      <c r="K384">
        <f>COUNTIF(DF_Calculation!E:E,Table1[[#This Row],[ACS_CODE]])</f>
        <v>1</v>
      </c>
    </row>
    <row r="385" spans="1:11" x14ac:dyDescent="0.25">
      <c r="A385">
        <v>61459</v>
      </c>
      <c r="B385" t="s">
        <v>1270</v>
      </c>
      <c r="C385" t="s">
        <v>1288</v>
      </c>
      <c r="D385" t="s">
        <v>1886</v>
      </c>
      <c r="E385">
        <v>406</v>
      </c>
      <c r="F385">
        <v>0</v>
      </c>
      <c r="G385">
        <v>0</v>
      </c>
      <c r="H385">
        <v>2370</v>
      </c>
      <c r="I385">
        <v>120</v>
      </c>
      <c r="J385">
        <v>2896</v>
      </c>
      <c r="K385">
        <f>COUNTIF(DF_Calculation!E:E,Table1[[#This Row],[ACS_CODE]])</f>
        <v>1</v>
      </c>
    </row>
    <row r="386" spans="1:11" x14ac:dyDescent="0.25">
      <c r="A386">
        <v>35128</v>
      </c>
      <c r="B386" t="s">
        <v>991</v>
      </c>
      <c r="C386" t="s">
        <v>991</v>
      </c>
      <c r="D386" t="s">
        <v>1887</v>
      </c>
      <c r="E386">
        <v>403</v>
      </c>
      <c r="F386">
        <v>0</v>
      </c>
      <c r="G386">
        <v>0</v>
      </c>
      <c r="H386">
        <v>726</v>
      </c>
      <c r="J386">
        <v>1129</v>
      </c>
      <c r="K386">
        <f>COUNTIF(DF_Calculation!E:E,Table1[[#This Row],[ACS_CODE]])</f>
        <v>1</v>
      </c>
    </row>
    <row r="387" spans="1:11" x14ac:dyDescent="0.25">
      <c r="A387">
        <v>35175</v>
      </c>
      <c r="B387" t="s">
        <v>991</v>
      </c>
      <c r="C387" t="s">
        <v>991</v>
      </c>
      <c r="D387" t="s">
        <v>1888</v>
      </c>
      <c r="E387">
        <v>401</v>
      </c>
      <c r="F387">
        <v>0</v>
      </c>
      <c r="G387">
        <v>0</v>
      </c>
      <c r="H387">
        <v>1809</v>
      </c>
      <c r="I387">
        <v>10</v>
      </c>
      <c r="J387">
        <v>2220</v>
      </c>
      <c r="K387">
        <f>COUNTIF(DF_Calculation!E:E,Table1[[#This Row],[ACS_CODE]])</f>
        <v>1</v>
      </c>
    </row>
    <row r="388" spans="1:11" x14ac:dyDescent="0.25">
      <c r="A388">
        <v>72277</v>
      </c>
      <c r="B388" t="s">
        <v>937</v>
      </c>
      <c r="C388" t="s">
        <v>1514</v>
      </c>
      <c r="D388" t="s">
        <v>1889</v>
      </c>
      <c r="E388">
        <v>398</v>
      </c>
      <c r="F388">
        <v>0</v>
      </c>
      <c r="G388">
        <v>0</v>
      </c>
      <c r="H388">
        <v>1239</v>
      </c>
      <c r="I388">
        <v>50</v>
      </c>
      <c r="J388">
        <v>1687</v>
      </c>
      <c r="K388">
        <f>COUNTIF(DF_Calculation!E:E,Table1[[#This Row],[ACS_CODE]])</f>
        <v>1</v>
      </c>
    </row>
    <row r="389" spans="1:11" x14ac:dyDescent="0.25">
      <c r="A389">
        <v>51354</v>
      </c>
      <c r="B389" t="s">
        <v>1260</v>
      </c>
      <c r="C389" t="s">
        <v>1259</v>
      </c>
      <c r="D389" t="s">
        <v>1305</v>
      </c>
      <c r="E389">
        <v>397</v>
      </c>
      <c r="F389">
        <v>0</v>
      </c>
      <c r="G389">
        <v>0</v>
      </c>
      <c r="H389">
        <v>747</v>
      </c>
      <c r="I389">
        <v>9</v>
      </c>
      <c r="J389">
        <v>1153</v>
      </c>
      <c r="K389">
        <f>COUNTIF(DF_Calculation!E:E,Table1[[#This Row],[ACS_CODE]])</f>
        <v>1</v>
      </c>
    </row>
    <row r="390" spans="1:11" x14ac:dyDescent="0.25">
      <c r="A390">
        <v>71381</v>
      </c>
      <c r="B390" t="s">
        <v>937</v>
      </c>
      <c r="C390" t="s">
        <v>937</v>
      </c>
      <c r="D390" t="s">
        <v>1008</v>
      </c>
      <c r="E390">
        <v>396</v>
      </c>
      <c r="F390">
        <v>0</v>
      </c>
      <c r="G390">
        <v>0</v>
      </c>
      <c r="H390">
        <v>5911</v>
      </c>
      <c r="I390">
        <v>20</v>
      </c>
      <c r="J390">
        <v>6327</v>
      </c>
      <c r="K390">
        <f>COUNTIF(DF_Calculation!E:E,Table1[[#This Row],[ACS_CODE]])</f>
        <v>1</v>
      </c>
    </row>
    <row r="391" spans="1:11" x14ac:dyDescent="0.25">
      <c r="A391">
        <v>62247</v>
      </c>
      <c r="B391" t="s">
        <v>1270</v>
      </c>
      <c r="C391" t="s">
        <v>1269</v>
      </c>
      <c r="D391" t="s">
        <v>1890</v>
      </c>
      <c r="E391">
        <v>395</v>
      </c>
      <c r="F391">
        <v>261</v>
      </c>
      <c r="G391">
        <v>0</v>
      </c>
      <c r="H391">
        <v>1875</v>
      </c>
      <c r="I391">
        <v>165</v>
      </c>
      <c r="J391">
        <v>2696</v>
      </c>
      <c r="K391">
        <f>COUNTIF(DF_Calculation!E:E,Table1[[#This Row],[ACS_CODE]])</f>
        <v>1</v>
      </c>
    </row>
    <row r="392" spans="1:11" x14ac:dyDescent="0.25">
      <c r="A392">
        <v>35341</v>
      </c>
      <c r="B392" t="s">
        <v>991</v>
      </c>
      <c r="C392" t="s">
        <v>991</v>
      </c>
      <c r="D392" t="s">
        <v>1891</v>
      </c>
      <c r="E392">
        <v>394</v>
      </c>
      <c r="F392">
        <v>0</v>
      </c>
      <c r="G392">
        <v>0</v>
      </c>
      <c r="H392">
        <v>1833</v>
      </c>
      <c r="J392">
        <v>2227</v>
      </c>
      <c r="K392">
        <f>COUNTIF(DF_Calculation!E:E,Table1[[#This Row],[ACS_CODE]])</f>
        <v>1</v>
      </c>
    </row>
    <row r="393" spans="1:11" x14ac:dyDescent="0.25">
      <c r="A393">
        <v>25415</v>
      </c>
      <c r="B393" t="s">
        <v>916</v>
      </c>
      <c r="C393" t="s">
        <v>1307</v>
      </c>
      <c r="D393" t="s">
        <v>1306</v>
      </c>
      <c r="E393">
        <v>394</v>
      </c>
      <c r="F393">
        <v>0</v>
      </c>
      <c r="G393">
        <v>0</v>
      </c>
      <c r="H393">
        <v>3974</v>
      </c>
      <c r="I393">
        <v>175</v>
      </c>
      <c r="J393">
        <v>4543</v>
      </c>
      <c r="K393">
        <f>COUNTIF(DF_Calculation!E:E,Table1[[#This Row],[ACS_CODE]])</f>
        <v>1</v>
      </c>
    </row>
    <row r="394" spans="1:11" x14ac:dyDescent="0.25">
      <c r="A394">
        <v>73279</v>
      </c>
      <c r="B394" t="s">
        <v>937</v>
      </c>
      <c r="C394" t="s">
        <v>1278</v>
      </c>
      <c r="D394" t="s">
        <v>1892</v>
      </c>
      <c r="E394">
        <v>387</v>
      </c>
      <c r="F394">
        <v>0</v>
      </c>
      <c r="G394">
        <v>0</v>
      </c>
      <c r="H394">
        <v>1964</v>
      </c>
      <c r="I394">
        <v>5</v>
      </c>
      <c r="J394">
        <v>2356</v>
      </c>
      <c r="K394">
        <f>COUNTIF(DF_Calculation!E:E,Table1[[#This Row],[ACS_CODE]])</f>
        <v>1</v>
      </c>
    </row>
    <row r="395" spans="1:11" x14ac:dyDescent="0.25">
      <c r="A395">
        <v>10110</v>
      </c>
      <c r="B395" t="s">
        <v>1315</v>
      </c>
      <c r="C395" t="s">
        <v>1315</v>
      </c>
      <c r="D395" t="s">
        <v>1893</v>
      </c>
      <c r="E395">
        <v>381</v>
      </c>
      <c r="F395">
        <v>0</v>
      </c>
      <c r="G395">
        <v>0</v>
      </c>
      <c r="H395">
        <v>3969</v>
      </c>
      <c r="I395">
        <v>200</v>
      </c>
      <c r="J395">
        <v>4550</v>
      </c>
      <c r="K395">
        <f>COUNTIF(DF_Calculation!E:E,Table1[[#This Row],[ACS_CODE]])</f>
        <v>1</v>
      </c>
    </row>
    <row r="396" spans="1:11" x14ac:dyDescent="0.25">
      <c r="A396">
        <v>21267</v>
      </c>
      <c r="B396" t="s">
        <v>916</v>
      </c>
      <c r="C396" t="s">
        <v>1275</v>
      </c>
      <c r="D396" t="s">
        <v>1894</v>
      </c>
      <c r="E396">
        <v>380</v>
      </c>
      <c r="F396">
        <v>0</v>
      </c>
      <c r="G396">
        <v>0</v>
      </c>
      <c r="H396">
        <v>1769</v>
      </c>
      <c r="I396">
        <v>109</v>
      </c>
      <c r="J396">
        <v>2258</v>
      </c>
      <c r="K396">
        <f>COUNTIF(DF_Calculation!E:E,Table1[[#This Row],[ACS_CODE]])</f>
        <v>1</v>
      </c>
    </row>
    <row r="397" spans="1:11" x14ac:dyDescent="0.25">
      <c r="A397">
        <v>37313</v>
      </c>
      <c r="B397" t="s">
        <v>919</v>
      </c>
      <c r="C397" t="s">
        <v>918</v>
      </c>
      <c r="D397" t="s">
        <v>1009</v>
      </c>
      <c r="E397">
        <v>380</v>
      </c>
      <c r="F397">
        <v>0</v>
      </c>
      <c r="G397">
        <v>0</v>
      </c>
      <c r="H397">
        <v>2053</v>
      </c>
      <c r="J397">
        <v>2433</v>
      </c>
      <c r="K397">
        <f>COUNTIF(DF_Calculation!E:E,Table1[[#This Row],[ACS_CODE]])</f>
        <v>1</v>
      </c>
    </row>
    <row r="398" spans="1:11" x14ac:dyDescent="0.25">
      <c r="A398">
        <v>25131</v>
      </c>
      <c r="B398" t="s">
        <v>916</v>
      </c>
      <c r="C398" t="s">
        <v>1307</v>
      </c>
      <c r="D398" t="s">
        <v>1895</v>
      </c>
      <c r="E398">
        <v>378</v>
      </c>
      <c r="F398">
        <v>0</v>
      </c>
      <c r="G398">
        <v>0</v>
      </c>
      <c r="H398">
        <v>15237</v>
      </c>
      <c r="I398">
        <v>453</v>
      </c>
      <c r="J398">
        <v>16068</v>
      </c>
      <c r="K398">
        <f>COUNTIF(DF_Calculation!E:E,Table1[[#This Row],[ACS_CODE]])</f>
        <v>1</v>
      </c>
    </row>
    <row r="399" spans="1:11" x14ac:dyDescent="0.25">
      <c r="A399">
        <v>24235</v>
      </c>
      <c r="B399" t="s">
        <v>916</v>
      </c>
      <c r="C399" t="s">
        <v>1282</v>
      </c>
      <c r="D399" t="s">
        <v>1896</v>
      </c>
      <c r="E399">
        <v>373</v>
      </c>
      <c r="F399">
        <v>0</v>
      </c>
      <c r="G399">
        <v>0</v>
      </c>
      <c r="H399">
        <v>550</v>
      </c>
      <c r="I399">
        <v>55</v>
      </c>
      <c r="J399">
        <v>978</v>
      </c>
      <c r="K399">
        <f>COUNTIF(DF_Calculation!E:E,Table1[[#This Row],[ACS_CODE]])</f>
        <v>1</v>
      </c>
    </row>
    <row r="400" spans="1:11" x14ac:dyDescent="0.25">
      <c r="A400">
        <v>21446</v>
      </c>
      <c r="B400" t="s">
        <v>916</v>
      </c>
      <c r="C400" t="s">
        <v>1275</v>
      </c>
      <c r="D400" t="s">
        <v>1897</v>
      </c>
      <c r="E400">
        <v>373</v>
      </c>
      <c r="F400">
        <v>0</v>
      </c>
      <c r="G400">
        <v>0</v>
      </c>
      <c r="H400">
        <v>1413</v>
      </c>
      <c r="I400">
        <v>199</v>
      </c>
      <c r="J400">
        <v>1985</v>
      </c>
      <c r="K400">
        <f>COUNTIF(DF_Calculation!E:E,Table1[[#This Row],[ACS_CODE]])</f>
        <v>1</v>
      </c>
    </row>
    <row r="401" spans="1:11" x14ac:dyDescent="0.25">
      <c r="A401">
        <v>72183</v>
      </c>
      <c r="B401" t="s">
        <v>937</v>
      </c>
      <c r="C401" t="s">
        <v>1514</v>
      </c>
      <c r="D401" t="s">
        <v>1898</v>
      </c>
      <c r="E401">
        <v>372</v>
      </c>
      <c r="F401">
        <v>0</v>
      </c>
      <c r="G401">
        <v>0</v>
      </c>
      <c r="H401">
        <v>2476</v>
      </c>
      <c r="J401">
        <v>2848</v>
      </c>
      <c r="K401">
        <f>COUNTIF(DF_Calculation!E:E,Table1[[#This Row],[ACS_CODE]])</f>
        <v>1</v>
      </c>
    </row>
    <row r="402" spans="1:11" x14ac:dyDescent="0.25">
      <c r="A402">
        <v>52251</v>
      </c>
      <c r="B402" t="s">
        <v>1260</v>
      </c>
      <c r="C402" t="s">
        <v>1323</v>
      </c>
      <c r="D402" t="s">
        <v>1899</v>
      </c>
      <c r="E402">
        <v>368</v>
      </c>
      <c r="F402">
        <v>0</v>
      </c>
      <c r="G402">
        <v>0</v>
      </c>
      <c r="H402">
        <v>484</v>
      </c>
      <c r="I402">
        <v>5</v>
      </c>
      <c r="J402">
        <v>857</v>
      </c>
      <c r="K402">
        <f>COUNTIF(DF_Calculation!E:E,Table1[[#This Row],[ACS_CODE]])</f>
        <v>1</v>
      </c>
    </row>
    <row r="403" spans="1:11" x14ac:dyDescent="0.25">
      <c r="A403">
        <v>62287</v>
      </c>
      <c r="B403" t="s">
        <v>1270</v>
      </c>
      <c r="C403" t="s">
        <v>1269</v>
      </c>
      <c r="D403" t="s">
        <v>1900</v>
      </c>
      <c r="E403">
        <v>366</v>
      </c>
      <c r="F403">
        <v>0</v>
      </c>
      <c r="G403">
        <v>0</v>
      </c>
      <c r="H403">
        <v>3260</v>
      </c>
      <c r="I403">
        <v>52</v>
      </c>
      <c r="J403">
        <v>3678</v>
      </c>
      <c r="K403">
        <f>COUNTIF(DF_Calculation!E:E,Table1[[#This Row],[ACS_CODE]])</f>
        <v>1</v>
      </c>
    </row>
    <row r="404" spans="1:11" x14ac:dyDescent="0.25">
      <c r="A404">
        <v>51329</v>
      </c>
      <c r="B404" t="s">
        <v>1260</v>
      </c>
      <c r="C404" t="s">
        <v>1259</v>
      </c>
      <c r="D404" t="s">
        <v>1901</v>
      </c>
      <c r="E404">
        <v>364</v>
      </c>
      <c r="F404">
        <v>0</v>
      </c>
      <c r="G404">
        <v>0</v>
      </c>
      <c r="H404">
        <v>339</v>
      </c>
      <c r="I404">
        <v>10</v>
      </c>
      <c r="J404">
        <v>713</v>
      </c>
      <c r="K404">
        <f>COUNTIF(DF_Calculation!E:E,Table1[[#This Row],[ACS_CODE]])</f>
        <v>1</v>
      </c>
    </row>
    <row r="405" spans="1:11" x14ac:dyDescent="0.25">
      <c r="A405">
        <v>71347</v>
      </c>
      <c r="B405" t="s">
        <v>937</v>
      </c>
      <c r="C405" t="s">
        <v>937</v>
      </c>
      <c r="D405" t="s">
        <v>1902</v>
      </c>
      <c r="E405">
        <v>363</v>
      </c>
      <c r="F405">
        <v>0</v>
      </c>
      <c r="G405">
        <v>0</v>
      </c>
      <c r="H405">
        <v>3313</v>
      </c>
      <c r="I405">
        <v>18</v>
      </c>
      <c r="J405">
        <v>3694</v>
      </c>
      <c r="K405">
        <f>COUNTIF(DF_Calculation!E:E,Table1[[#This Row],[ACS_CODE]])</f>
        <v>1</v>
      </c>
    </row>
    <row r="406" spans="1:11" x14ac:dyDescent="0.25">
      <c r="A406">
        <v>61277</v>
      </c>
      <c r="B406" t="s">
        <v>1270</v>
      </c>
      <c r="C406" t="s">
        <v>1288</v>
      </c>
      <c r="D406" t="s">
        <v>1903</v>
      </c>
      <c r="E406">
        <v>362</v>
      </c>
      <c r="F406">
        <v>1221</v>
      </c>
      <c r="G406">
        <v>0</v>
      </c>
      <c r="H406">
        <v>1016</v>
      </c>
      <c r="I406">
        <v>30</v>
      </c>
      <c r="J406">
        <v>2629</v>
      </c>
      <c r="K406">
        <f>COUNTIF(DF_Calculation!E:E,Table1[[#This Row],[ACS_CODE]])</f>
        <v>1</v>
      </c>
    </row>
    <row r="407" spans="1:11" x14ac:dyDescent="0.25">
      <c r="A407">
        <v>74122</v>
      </c>
      <c r="B407" t="s">
        <v>937</v>
      </c>
      <c r="C407" t="s">
        <v>1280</v>
      </c>
      <c r="D407" t="s">
        <v>1904</v>
      </c>
      <c r="E407">
        <v>360</v>
      </c>
      <c r="F407">
        <v>0</v>
      </c>
      <c r="G407">
        <v>0</v>
      </c>
      <c r="H407">
        <v>1377</v>
      </c>
      <c r="I407">
        <v>5</v>
      </c>
      <c r="J407">
        <v>1742</v>
      </c>
      <c r="K407">
        <f>COUNTIF(DF_Calculation!E:E,Table1[[#This Row],[ACS_CODE]])</f>
        <v>1</v>
      </c>
    </row>
    <row r="408" spans="1:11" x14ac:dyDescent="0.25">
      <c r="A408">
        <v>35187</v>
      </c>
      <c r="B408" t="s">
        <v>991</v>
      </c>
      <c r="C408" t="s">
        <v>991</v>
      </c>
      <c r="D408" t="s">
        <v>1905</v>
      </c>
      <c r="E408">
        <v>354</v>
      </c>
      <c r="F408">
        <v>0</v>
      </c>
      <c r="G408">
        <v>0</v>
      </c>
      <c r="H408">
        <v>1462</v>
      </c>
      <c r="I408">
        <v>4</v>
      </c>
      <c r="J408">
        <v>1820</v>
      </c>
      <c r="K408">
        <f>COUNTIF(DF_Calculation!E:E,Table1[[#This Row],[ACS_CODE]])</f>
        <v>1</v>
      </c>
    </row>
    <row r="409" spans="1:11" x14ac:dyDescent="0.25">
      <c r="A409">
        <v>62263</v>
      </c>
      <c r="B409" t="s">
        <v>1270</v>
      </c>
      <c r="C409" t="s">
        <v>1269</v>
      </c>
      <c r="D409" t="s">
        <v>1906</v>
      </c>
      <c r="E409">
        <v>354</v>
      </c>
      <c r="F409">
        <v>261</v>
      </c>
      <c r="G409">
        <v>0</v>
      </c>
      <c r="H409">
        <v>2929</v>
      </c>
      <c r="I409">
        <v>100</v>
      </c>
      <c r="J409">
        <v>3644</v>
      </c>
      <c r="K409">
        <f>COUNTIF(DF_Calculation!E:E,Table1[[#This Row],[ACS_CODE]])</f>
        <v>1</v>
      </c>
    </row>
    <row r="410" spans="1:11" x14ac:dyDescent="0.25">
      <c r="A410">
        <v>24177</v>
      </c>
      <c r="B410" t="s">
        <v>916</v>
      </c>
      <c r="C410" t="s">
        <v>1282</v>
      </c>
      <c r="D410" t="s">
        <v>1907</v>
      </c>
      <c r="E410">
        <v>353</v>
      </c>
      <c r="F410">
        <v>298</v>
      </c>
      <c r="G410">
        <v>0</v>
      </c>
      <c r="H410">
        <v>2387</v>
      </c>
      <c r="I410">
        <v>195</v>
      </c>
      <c r="J410">
        <v>3233</v>
      </c>
      <c r="K410">
        <f>COUNTIF(DF_Calculation!E:E,Table1[[#This Row],[ACS_CODE]])</f>
        <v>1</v>
      </c>
    </row>
    <row r="411" spans="1:11" x14ac:dyDescent="0.25">
      <c r="A411">
        <v>71374</v>
      </c>
      <c r="B411" t="s">
        <v>937</v>
      </c>
      <c r="C411" t="s">
        <v>937</v>
      </c>
      <c r="D411" t="s">
        <v>1308</v>
      </c>
      <c r="E411">
        <v>352</v>
      </c>
      <c r="F411">
        <v>0</v>
      </c>
      <c r="G411">
        <v>0</v>
      </c>
      <c r="H411">
        <v>5485</v>
      </c>
      <c r="I411">
        <v>18</v>
      </c>
      <c r="J411">
        <v>5855</v>
      </c>
      <c r="K411">
        <f>COUNTIF(DF_Calculation!E:E,Table1[[#This Row],[ACS_CODE]])</f>
        <v>1</v>
      </c>
    </row>
    <row r="412" spans="1:11" x14ac:dyDescent="0.25">
      <c r="A412">
        <v>72241</v>
      </c>
      <c r="B412" t="s">
        <v>937</v>
      </c>
      <c r="C412" t="s">
        <v>1514</v>
      </c>
      <c r="D412" t="s">
        <v>1908</v>
      </c>
      <c r="E412">
        <v>351</v>
      </c>
      <c r="F412">
        <v>0</v>
      </c>
      <c r="G412">
        <v>0</v>
      </c>
      <c r="H412">
        <v>3075</v>
      </c>
      <c r="I412">
        <v>112</v>
      </c>
      <c r="J412">
        <v>3538</v>
      </c>
      <c r="K412">
        <f>COUNTIF(DF_Calculation!E:E,Table1[[#This Row],[ACS_CODE]])</f>
        <v>1</v>
      </c>
    </row>
    <row r="413" spans="1:11" x14ac:dyDescent="0.25">
      <c r="A413">
        <v>22531</v>
      </c>
      <c r="B413" t="s">
        <v>916</v>
      </c>
      <c r="C413" t="s">
        <v>915</v>
      </c>
      <c r="D413" t="s">
        <v>1010</v>
      </c>
      <c r="E413">
        <v>351</v>
      </c>
      <c r="F413">
        <v>0</v>
      </c>
      <c r="G413">
        <v>0</v>
      </c>
      <c r="H413">
        <v>4409</v>
      </c>
      <c r="I413">
        <v>360</v>
      </c>
      <c r="J413">
        <v>5120</v>
      </c>
      <c r="K413">
        <f>COUNTIF(DF_Calculation!E:E,Table1[[#This Row],[ACS_CODE]])</f>
        <v>1</v>
      </c>
    </row>
    <row r="414" spans="1:11" x14ac:dyDescent="0.25">
      <c r="A414">
        <v>34144</v>
      </c>
      <c r="B414" t="s">
        <v>919</v>
      </c>
      <c r="C414" t="s">
        <v>931</v>
      </c>
      <c r="D414" t="s">
        <v>1011</v>
      </c>
      <c r="E414">
        <v>349</v>
      </c>
      <c r="F414">
        <v>0</v>
      </c>
      <c r="G414">
        <v>0</v>
      </c>
      <c r="H414">
        <v>10049</v>
      </c>
      <c r="I414">
        <v>24</v>
      </c>
      <c r="J414">
        <v>10422</v>
      </c>
      <c r="K414">
        <f>COUNTIF(DF_Calculation!E:E,Table1[[#This Row],[ACS_CODE]])</f>
        <v>1</v>
      </c>
    </row>
    <row r="415" spans="1:11" x14ac:dyDescent="0.25">
      <c r="A415">
        <v>35119</v>
      </c>
      <c r="B415" t="s">
        <v>991</v>
      </c>
      <c r="C415" t="s">
        <v>991</v>
      </c>
      <c r="D415" t="s">
        <v>1909</v>
      </c>
      <c r="E415">
        <v>348</v>
      </c>
      <c r="F415">
        <v>0</v>
      </c>
      <c r="G415">
        <v>0</v>
      </c>
      <c r="H415">
        <v>568</v>
      </c>
      <c r="I415">
        <v>5</v>
      </c>
      <c r="J415">
        <v>921</v>
      </c>
      <c r="K415">
        <f>COUNTIF(DF_Calculation!E:E,Table1[[#This Row],[ACS_CODE]])</f>
        <v>1</v>
      </c>
    </row>
    <row r="416" spans="1:11" x14ac:dyDescent="0.25">
      <c r="A416">
        <v>62217</v>
      </c>
      <c r="B416" t="s">
        <v>1270</v>
      </c>
      <c r="C416" t="s">
        <v>1269</v>
      </c>
      <c r="D416" t="s">
        <v>1910</v>
      </c>
      <c r="E416">
        <v>348</v>
      </c>
      <c r="F416">
        <v>261</v>
      </c>
      <c r="G416">
        <v>0</v>
      </c>
      <c r="H416">
        <v>2854</v>
      </c>
      <c r="I416">
        <v>56</v>
      </c>
      <c r="J416">
        <v>3519</v>
      </c>
      <c r="K416">
        <f>COUNTIF(DF_Calculation!E:E,Table1[[#This Row],[ACS_CODE]])</f>
        <v>1</v>
      </c>
    </row>
    <row r="417" spans="1:11" x14ac:dyDescent="0.25">
      <c r="A417">
        <v>72247</v>
      </c>
      <c r="B417" t="s">
        <v>937</v>
      </c>
      <c r="C417" t="s">
        <v>1514</v>
      </c>
      <c r="D417" t="s">
        <v>1911</v>
      </c>
      <c r="E417">
        <v>347</v>
      </c>
      <c r="F417">
        <v>0</v>
      </c>
      <c r="G417">
        <v>0</v>
      </c>
      <c r="H417">
        <v>2037</v>
      </c>
      <c r="I417">
        <v>32</v>
      </c>
      <c r="J417">
        <v>2416</v>
      </c>
      <c r="K417">
        <f>COUNTIF(DF_Calculation!E:E,Table1[[#This Row],[ACS_CODE]])</f>
        <v>1</v>
      </c>
    </row>
    <row r="418" spans="1:11" x14ac:dyDescent="0.25">
      <c r="A418">
        <v>32169</v>
      </c>
      <c r="B418" t="s">
        <v>919</v>
      </c>
      <c r="C418" t="s">
        <v>934</v>
      </c>
      <c r="D418" t="s">
        <v>1012</v>
      </c>
      <c r="E418">
        <v>345</v>
      </c>
      <c r="F418">
        <v>0</v>
      </c>
      <c r="G418">
        <v>0</v>
      </c>
      <c r="H418">
        <v>1607</v>
      </c>
      <c r="I418">
        <v>10</v>
      </c>
      <c r="J418">
        <v>1962</v>
      </c>
      <c r="K418">
        <f>COUNTIF(DF_Calculation!E:E,Table1[[#This Row],[ACS_CODE]])</f>
        <v>1</v>
      </c>
    </row>
    <row r="419" spans="1:11" x14ac:dyDescent="0.25">
      <c r="A419">
        <v>32121</v>
      </c>
      <c r="B419" t="s">
        <v>919</v>
      </c>
      <c r="C419" t="s">
        <v>934</v>
      </c>
      <c r="D419" t="s">
        <v>1013</v>
      </c>
      <c r="E419">
        <v>345</v>
      </c>
      <c r="F419">
        <v>0</v>
      </c>
      <c r="G419">
        <v>0</v>
      </c>
      <c r="H419">
        <v>1282</v>
      </c>
      <c r="I419">
        <v>10</v>
      </c>
      <c r="J419">
        <v>1637</v>
      </c>
      <c r="K419">
        <f>COUNTIF(DF_Calculation!E:E,Table1[[#This Row],[ACS_CODE]])</f>
        <v>1</v>
      </c>
    </row>
    <row r="420" spans="1:11" x14ac:dyDescent="0.25">
      <c r="A420">
        <v>34269</v>
      </c>
      <c r="B420" t="s">
        <v>919</v>
      </c>
      <c r="C420" t="s">
        <v>931</v>
      </c>
      <c r="D420" t="s">
        <v>1014</v>
      </c>
      <c r="E420">
        <v>344</v>
      </c>
      <c r="F420">
        <v>0</v>
      </c>
      <c r="G420">
        <v>0</v>
      </c>
      <c r="H420">
        <v>1506</v>
      </c>
      <c r="I420">
        <v>25</v>
      </c>
      <c r="J420">
        <v>1875</v>
      </c>
      <c r="K420">
        <f>COUNTIF(DF_Calculation!E:E,Table1[[#This Row],[ACS_CODE]])</f>
        <v>1</v>
      </c>
    </row>
    <row r="421" spans="1:11" x14ac:dyDescent="0.25">
      <c r="A421">
        <v>61454</v>
      </c>
      <c r="B421" t="s">
        <v>1270</v>
      </c>
      <c r="C421" t="s">
        <v>1288</v>
      </c>
      <c r="D421" t="s">
        <v>1912</v>
      </c>
      <c r="E421">
        <v>341</v>
      </c>
      <c r="F421">
        <v>0</v>
      </c>
      <c r="G421">
        <v>0</v>
      </c>
      <c r="H421">
        <v>1761</v>
      </c>
      <c r="I421">
        <v>50</v>
      </c>
      <c r="J421">
        <v>2152</v>
      </c>
      <c r="K421">
        <f>COUNTIF(DF_Calculation!E:E,Table1[[#This Row],[ACS_CODE]])</f>
        <v>1</v>
      </c>
    </row>
    <row r="422" spans="1:11" x14ac:dyDescent="0.25">
      <c r="A422">
        <v>31146</v>
      </c>
      <c r="B422" t="s">
        <v>919</v>
      </c>
      <c r="C422" t="s">
        <v>1255</v>
      </c>
      <c r="D422" t="s">
        <v>1913</v>
      </c>
      <c r="E422">
        <v>340</v>
      </c>
      <c r="F422">
        <v>207</v>
      </c>
      <c r="G422">
        <v>0</v>
      </c>
      <c r="H422">
        <v>254</v>
      </c>
      <c r="I422">
        <v>21</v>
      </c>
      <c r="J422">
        <v>822</v>
      </c>
      <c r="K422">
        <f>COUNTIF(DF_Calculation!E:E,Table1[[#This Row],[ACS_CODE]])</f>
        <v>1</v>
      </c>
    </row>
    <row r="423" spans="1:11" x14ac:dyDescent="0.25">
      <c r="A423">
        <v>53441</v>
      </c>
      <c r="B423" t="s">
        <v>1201</v>
      </c>
      <c r="C423" t="s">
        <v>1266</v>
      </c>
      <c r="D423" t="s">
        <v>1914</v>
      </c>
      <c r="E423">
        <v>337</v>
      </c>
      <c r="F423">
        <v>0</v>
      </c>
      <c r="G423">
        <v>0</v>
      </c>
      <c r="H423">
        <v>1178</v>
      </c>
      <c r="I423">
        <v>10</v>
      </c>
      <c r="J423">
        <v>1525</v>
      </c>
      <c r="K423">
        <f>COUNTIF(DF_Calculation!E:E,Table1[[#This Row],[ACS_CODE]])</f>
        <v>1</v>
      </c>
    </row>
    <row r="424" spans="1:11" x14ac:dyDescent="0.25">
      <c r="A424">
        <v>21426</v>
      </c>
      <c r="B424" t="s">
        <v>916</v>
      </c>
      <c r="C424" t="s">
        <v>1275</v>
      </c>
      <c r="D424" t="s">
        <v>1915</v>
      </c>
      <c r="E424">
        <v>336</v>
      </c>
      <c r="F424">
        <v>0</v>
      </c>
      <c r="G424">
        <v>0</v>
      </c>
      <c r="H424">
        <v>1006</v>
      </c>
      <c r="I424">
        <v>18</v>
      </c>
      <c r="J424">
        <v>1360</v>
      </c>
      <c r="K424">
        <f>COUNTIF(DF_Calculation!E:E,Table1[[#This Row],[ACS_CODE]])</f>
        <v>1</v>
      </c>
    </row>
    <row r="425" spans="1:11" x14ac:dyDescent="0.25">
      <c r="A425">
        <v>72151</v>
      </c>
      <c r="B425" t="s">
        <v>937</v>
      </c>
      <c r="C425" t="s">
        <v>1514</v>
      </c>
      <c r="D425" t="s">
        <v>1916</v>
      </c>
      <c r="E425">
        <v>333</v>
      </c>
      <c r="F425">
        <v>0</v>
      </c>
      <c r="G425">
        <v>0</v>
      </c>
      <c r="H425">
        <v>3736</v>
      </c>
      <c r="J425">
        <v>4069</v>
      </c>
      <c r="K425">
        <f>COUNTIF(DF_Calculation!E:E,Table1[[#This Row],[ACS_CODE]])</f>
        <v>1</v>
      </c>
    </row>
    <row r="426" spans="1:11" x14ac:dyDescent="0.25">
      <c r="A426">
        <v>35123</v>
      </c>
      <c r="B426" t="s">
        <v>991</v>
      </c>
      <c r="C426" t="s">
        <v>991</v>
      </c>
      <c r="D426" t="s">
        <v>1917</v>
      </c>
      <c r="E426">
        <v>330</v>
      </c>
      <c r="F426">
        <v>0</v>
      </c>
      <c r="G426">
        <v>0</v>
      </c>
      <c r="H426">
        <v>1998</v>
      </c>
      <c r="I426">
        <v>10</v>
      </c>
      <c r="J426">
        <v>2338</v>
      </c>
      <c r="K426">
        <f>COUNTIF(DF_Calculation!E:E,Table1[[#This Row],[ACS_CODE]])</f>
        <v>1</v>
      </c>
    </row>
    <row r="427" spans="1:11" x14ac:dyDescent="0.25">
      <c r="A427">
        <v>54127</v>
      </c>
      <c r="B427" t="s">
        <v>1201</v>
      </c>
      <c r="C427" t="s">
        <v>1200</v>
      </c>
      <c r="D427" t="s">
        <v>1918</v>
      </c>
      <c r="E427">
        <v>328</v>
      </c>
      <c r="F427">
        <v>0</v>
      </c>
      <c r="G427">
        <v>0</v>
      </c>
      <c r="H427">
        <v>1680</v>
      </c>
      <c r="I427">
        <v>45</v>
      </c>
      <c r="J427">
        <v>2053</v>
      </c>
      <c r="K427">
        <f>COUNTIF(DF_Calculation!E:E,Table1[[#This Row],[ACS_CODE]])</f>
        <v>1</v>
      </c>
    </row>
    <row r="428" spans="1:11" x14ac:dyDescent="0.25">
      <c r="A428">
        <v>25459</v>
      </c>
      <c r="B428" t="s">
        <v>916</v>
      </c>
      <c r="C428" t="s">
        <v>1307</v>
      </c>
      <c r="D428" t="s">
        <v>1919</v>
      </c>
      <c r="E428">
        <v>327</v>
      </c>
      <c r="F428">
        <v>0</v>
      </c>
      <c r="G428">
        <v>0</v>
      </c>
      <c r="H428">
        <v>1481</v>
      </c>
      <c r="I428">
        <v>17</v>
      </c>
      <c r="J428">
        <v>1825</v>
      </c>
      <c r="K428">
        <f>COUNTIF(DF_Calculation!E:E,Table1[[#This Row],[ACS_CODE]])</f>
        <v>1</v>
      </c>
    </row>
    <row r="429" spans="1:11" x14ac:dyDescent="0.25">
      <c r="A429">
        <v>35189</v>
      </c>
      <c r="B429" t="s">
        <v>991</v>
      </c>
      <c r="C429" t="s">
        <v>991</v>
      </c>
      <c r="D429" t="s">
        <v>1920</v>
      </c>
      <c r="E429">
        <v>326</v>
      </c>
      <c r="F429">
        <v>0</v>
      </c>
      <c r="G429">
        <v>0</v>
      </c>
      <c r="H429">
        <v>2574</v>
      </c>
      <c r="I429">
        <v>24</v>
      </c>
      <c r="J429">
        <v>2924</v>
      </c>
      <c r="K429">
        <f>COUNTIF(DF_Calculation!E:E,Table1[[#This Row],[ACS_CODE]])</f>
        <v>1</v>
      </c>
    </row>
    <row r="430" spans="1:11" x14ac:dyDescent="0.25">
      <c r="A430">
        <v>23675</v>
      </c>
      <c r="B430" t="s">
        <v>916</v>
      </c>
      <c r="C430" t="s">
        <v>921</v>
      </c>
      <c r="D430" t="s">
        <v>1015</v>
      </c>
      <c r="E430">
        <v>326</v>
      </c>
      <c r="F430">
        <v>0</v>
      </c>
      <c r="G430">
        <v>0</v>
      </c>
      <c r="H430">
        <v>2637</v>
      </c>
      <c r="I430">
        <v>80</v>
      </c>
      <c r="J430">
        <v>3043</v>
      </c>
      <c r="K430">
        <f>COUNTIF(DF_Calculation!E:E,Table1[[#This Row],[ACS_CODE]])</f>
        <v>1</v>
      </c>
    </row>
    <row r="431" spans="1:11" x14ac:dyDescent="0.25">
      <c r="A431">
        <v>26311</v>
      </c>
      <c r="B431" t="s">
        <v>916</v>
      </c>
      <c r="C431" t="s">
        <v>1295</v>
      </c>
      <c r="D431" t="s">
        <v>1921</v>
      </c>
      <c r="E431">
        <v>325</v>
      </c>
      <c r="F431">
        <v>0</v>
      </c>
      <c r="G431">
        <v>0</v>
      </c>
      <c r="H431">
        <v>3137</v>
      </c>
      <c r="I431">
        <v>140</v>
      </c>
      <c r="J431">
        <v>3602</v>
      </c>
      <c r="K431">
        <f>COUNTIF(DF_Calculation!E:E,Table1[[#This Row],[ACS_CODE]])</f>
        <v>1</v>
      </c>
    </row>
    <row r="432" spans="1:11" x14ac:dyDescent="0.25">
      <c r="A432">
        <v>24329</v>
      </c>
      <c r="B432" t="s">
        <v>916</v>
      </c>
      <c r="C432" t="s">
        <v>1282</v>
      </c>
      <c r="D432" t="s">
        <v>1922</v>
      </c>
      <c r="E432">
        <v>322</v>
      </c>
      <c r="F432">
        <v>0</v>
      </c>
      <c r="G432">
        <v>0</v>
      </c>
      <c r="H432">
        <v>1439</v>
      </c>
      <c r="I432">
        <v>15</v>
      </c>
      <c r="J432">
        <v>1776</v>
      </c>
      <c r="K432">
        <f>COUNTIF(DF_Calculation!E:E,Table1[[#This Row],[ACS_CODE]])</f>
        <v>1</v>
      </c>
    </row>
    <row r="433" spans="1:11" x14ac:dyDescent="0.25">
      <c r="A433">
        <v>22675</v>
      </c>
      <c r="B433" t="s">
        <v>916</v>
      </c>
      <c r="C433" t="s">
        <v>915</v>
      </c>
      <c r="D433" t="s">
        <v>1016</v>
      </c>
      <c r="E433">
        <v>319</v>
      </c>
      <c r="F433">
        <v>0</v>
      </c>
      <c r="G433">
        <v>0</v>
      </c>
      <c r="H433">
        <v>2076</v>
      </c>
      <c r="I433">
        <v>70</v>
      </c>
      <c r="J433">
        <v>2465</v>
      </c>
      <c r="K433">
        <f>COUNTIF(DF_Calculation!E:E,Table1[[#This Row],[ACS_CODE]])</f>
        <v>1</v>
      </c>
    </row>
    <row r="434" spans="1:11" x14ac:dyDescent="0.25">
      <c r="A434">
        <v>71211</v>
      </c>
      <c r="B434" t="s">
        <v>937</v>
      </c>
      <c r="C434" t="s">
        <v>937</v>
      </c>
      <c r="D434" t="s">
        <v>1309</v>
      </c>
      <c r="E434">
        <v>318</v>
      </c>
      <c r="F434">
        <v>0</v>
      </c>
      <c r="G434">
        <v>0</v>
      </c>
      <c r="H434">
        <v>3413</v>
      </c>
      <c r="I434">
        <v>104</v>
      </c>
      <c r="J434">
        <v>3835</v>
      </c>
      <c r="K434">
        <f>COUNTIF(DF_Calculation!E:E,Table1[[#This Row],[ACS_CODE]])</f>
        <v>1</v>
      </c>
    </row>
    <row r="435" spans="1:11" x14ac:dyDescent="0.25">
      <c r="A435">
        <v>22335</v>
      </c>
      <c r="B435" t="s">
        <v>916</v>
      </c>
      <c r="C435" t="s">
        <v>915</v>
      </c>
      <c r="D435" t="s">
        <v>1017</v>
      </c>
      <c r="E435">
        <v>316</v>
      </c>
      <c r="F435">
        <v>0</v>
      </c>
      <c r="G435">
        <v>0</v>
      </c>
      <c r="H435">
        <v>9701</v>
      </c>
      <c r="I435">
        <v>930</v>
      </c>
      <c r="J435">
        <v>10947</v>
      </c>
      <c r="K435">
        <f>COUNTIF(DF_Calculation!E:E,Table1[[#This Row],[ACS_CODE]])</f>
        <v>1</v>
      </c>
    </row>
    <row r="436" spans="1:11" x14ac:dyDescent="0.25">
      <c r="A436">
        <v>34177</v>
      </c>
      <c r="B436" t="s">
        <v>919</v>
      </c>
      <c r="C436" t="s">
        <v>931</v>
      </c>
      <c r="D436" t="s">
        <v>1018</v>
      </c>
      <c r="E436">
        <v>313</v>
      </c>
      <c r="F436">
        <v>0</v>
      </c>
      <c r="G436">
        <v>0</v>
      </c>
      <c r="H436">
        <v>1047</v>
      </c>
      <c r="I436">
        <v>8</v>
      </c>
      <c r="J436">
        <v>1368</v>
      </c>
      <c r="K436">
        <f>COUNTIF(DF_Calculation!E:E,Table1[[#This Row],[ACS_CODE]])</f>
        <v>1</v>
      </c>
    </row>
    <row r="437" spans="1:11" x14ac:dyDescent="0.25">
      <c r="A437">
        <v>21357</v>
      </c>
      <c r="B437" t="s">
        <v>916</v>
      </c>
      <c r="C437" t="s">
        <v>1275</v>
      </c>
      <c r="D437" t="s">
        <v>1923</v>
      </c>
      <c r="E437">
        <v>311</v>
      </c>
      <c r="F437">
        <v>0</v>
      </c>
      <c r="G437">
        <v>0</v>
      </c>
      <c r="H437">
        <v>2038</v>
      </c>
      <c r="I437">
        <v>16</v>
      </c>
      <c r="J437">
        <v>2365</v>
      </c>
      <c r="K437">
        <f>COUNTIF(DF_Calculation!E:E,Table1[[#This Row],[ACS_CODE]])</f>
        <v>1</v>
      </c>
    </row>
    <row r="438" spans="1:11" x14ac:dyDescent="0.25">
      <c r="A438">
        <v>33145</v>
      </c>
      <c r="B438" t="s">
        <v>919</v>
      </c>
      <c r="C438" t="s">
        <v>1297</v>
      </c>
      <c r="D438" t="s">
        <v>1924</v>
      </c>
      <c r="E438">
        <v>311</v>
      </c>
      <c r="F438">
        <v>0</v>
      </c>
      <c r="G438">
        <v>0</v>
      </c>
      <c r="H438">
        <v>840</v>
      </c>
      <c r="I438">
        <v>18</v>
      </c>
      <c r="J438">
        <v>1169</v>
      </c>
      <c r="K438">
        <f>COUNTIF(DF_Calculation!E:E,Table1[[#This Row],[ACS_CODE]])</f>
        <v>1</v>
      </c>
    </row>
    <row r="439" spans="1:11" x14ac:dyDescent="0.25">
      <c r="A439">
        <v>23625</v>
      </c>
      <c r="B439" t="s">
        <v>916</v>
      </c>
      <c r="C439" t="s">
        <v>921</v>
      </c>
      <c r="D439" t="s">
        <v>1925</v>
      </c>
      <c r="E439">
        <v>310</v>
      </c>
      <c r="F439">
        <v>0</v>
      </c>
      <c r="G439">
        <v>0</v>
      </c>
      <c r="H439">
        <v>3655</v>
      </c>
      <c r="I439">
        <v>99</v>
      </c>
      <c r="J439">
        <v>4064</v>
      </c>
      <c r="K439">
        <f>COUNTIF(DF_Calculation!E:E,Table1[[#This Row],[ACS_CODE]])</f>
        <v>1</v>
      </c>
    </row>
    <row r="440" spans="1:11" x14ac:dyDescent="0.25">
      <c r="A440">
        <v>73162</v>
      </c>
      <c r="B440" t="s">
        <v>937</v>
      </c>
      <c r="C440" t="s">
        <v>1278</v>
      </c>
      <c r="D440" t="s">
        <v>1926</v>
      </c>
      <c r="E440">
        <v>309</v>
      </c>
      <c r="F440">
        <v>0</v>
      </c>
      <c r="G440">
        <v>0</v>
      </c>
      <c r="H440">
        <v>0</v>
      </c>
      <c r="J440">
        <v>309</v>
      </c>
      <c r="K440">
        <f>COUNTIF(DF_Calculation!E:E,Table1[[#This Row],[ACS_CODE]])</f>
        <v>1</v>
      </c>
    </row>
    <row r="441" spans="1:11" x14ac:dyDescent="0.25">
      <c r="A441">
        <v>53237</v>
      </c>
      <c r="B441" t="s">
        <v>1201</v>
      </c>
      <c r="C441" t="s">
        <v>1266</v>
      </c>
      <c r="D441" t="s">
        <v>1927</v>
      </c>
      <c r="E441">
        <v>307</v>
      </c>
      <c r="F441">
        <v>0</v>
      </c>
      <c r="G441">
        <v>0</v>
      </c>
      <c r="H441">
        <v>689</v>
      </c>
      <c r="I441">
        <v>16</v>
      </c>
      <c r="J441">
        <v>1012</v>
      </c>
      <c r="K441">
        <f>COUNTIF(DF_Calculation!E:E,Table1[[#This Row],[ACS_CODE]])</f>
        <v>1</v>
      </c>
    </row>
    <row r="442" spans="1:11" x14ac:dyDescent="0.25">
      <c r="A442">
        <v>23447</v>
      </c>
      <c r="B442" t="s">
        <v>916</v>
      </c>
      <c r="C442" t="s">
        <v>921</v>
      </c>
      <c r="D442" t="s">
        <v>1019</v>
      </c>
      <c r="E442">
        <v>306</v>
      </c>
      <c r="F442">
        <v>0</v>
      </c>
      <c r="G442">
        <v>0</v>
      </c>
      <c r="H442">
        <v>1970</v>
      </c>
      <c r="I442">
        <v>80</v>
      </c>
      <c r="J442">
        <v>2356</v>
      </c>
      <c r="K442">
        <f>COUNTIF(DF_Calculation!E:E,Table1[[#This Row],[ACS_CODE]])</f>
        <v>1</v>
      </c>
    </row>
    <row r="443" spans="1:11" x14ac:dyDescent="0.25">
      <c r="A443">
        <v>32171</v>
      </c>
      <c r="B443" t="s">
        <v>919</v>
      </c>
      <c r="C443" t="s">
        <v>934</v>
      </c>
      <c r="D443" t="s">
        <v>1020</v>
      </c>
      <c r="E443">
        <v>302</v>
      </c>
      <c r="F443">
        <v>0</v>
      </c>
      <c r="G443">
        <v>0</v>
      </c>
      <c r="H443">
        <v>1105</v>
      </c>
      <c r="I443">
        <v>65</v>
      </c>
      <c r="J443">
        <v>1472</v>
      </c>
      <c r="K443">
        <f>COUNTIF(DF_Calculation!E:E,Table1[[#This Row],[ACS_CODE]])</f>
        <v>1</v>
      </c>
    </row>
    <row r="444" spans="1:11" x14ac:dyDescent="0.25">
      <c r="A444">
        <v>55151</v>
      </c>
      <c r="B444" t="s">
        <v>1260</v>
      </c>
      <c r="C444" t="s">
        <v>1291</v>
      </c>
      <c r="D444" t="s">
        <v>1928</v>
      </c>
      <c r="E444">
        <v>300</v>
      </c>
      <c r="F444">
        <v>0</v>
      </c>
      <c r="G444">
        <v>0</v>
      </c>
      <c r="H444">
        <v>1732</v>
      </c>
      <c r="I444">
        <v>20</v>
      </c>
      <c r="J444">
        <v>2052</v>
      </c>
      <c r="K444">
        <f>COUNTIF(DF_Calculation!E:E,Table1[[#This Row],[ACS_CODE]])</f>
        <v>1</v>
      </c>
    </row>
    <row r="445" spans="1:11" x14ac:dyDescent="0.25">
      <c r="A445">
        <v>35325</v>
      </c>
      <c r="B445" t="s">
        <v>991</v>
      </c>
      <c r="C445" t="s">
        <v>991</v>
      </c>
      <c r="D445" t="s">
        <v>1929</v>
      </c>
      <c r="E445">
        <v>298</v>
      </c>
      <c r="F445">
        <v>0</v>
      </c>
      <c r="G445">
        <v>0</v>
      </c>
      <c r="H445">
        <v>3028</v>
      </c>
      <c r="I445">
        <v>20</v>
      </c>
      <c r="J445">
        <v>3346</v>
      </c>
      <c r="K445">
        <f>COUNTIF(DF_Calculation!E:E,Table1[[#This Row],[ACS_CODE]])</f>
        <v>1</v>
      </c>
    </row>
    <row r="446" spans="1:11" x14ac:dyDescent="0.25">
      <c r="A446">
        <v>32155</v>
      </c>
      <c r="B446" t="s">
        <v>919</v>
      </c>
      <c r="C446" t="s">
        <v>934</v>
      </c>
      <c r="D446" t="s">
        <v>1930</v>
      </c>
      <c r="E446">
        <v>298</v>
      </c>
      <c r="F446">
        <v>0</v>
      </c>
      <c r="G446">
        <v>0</v>
      </c>
      <c r="H446">
        <v>1324</v>
      </c>
      <c r="I446">
        <v>52</v>
      </c>
      <c r="J446">
        <v>1674</v>
      </c>
      <c r="K446">
        <f>COUNTIF(DF_Calculation!E:E,Table1[[#This Row],[ACS_CODE]])</f>
        <v>1</v>
      </c>
    </row>
    <row r="447" spans="1:11" x14ac:dyDescent="0.25">
      <c r="A447">
        <v>51157</v>
      </c>
      <c r="B447" t="s">
        <v>1260</v>
      </c>
      <c r="C447" t="s">
        <v>1259</v>
      </c>
      <c r="D447" t="s">
        <v>1931</v>
      </c>
      <c r="E447">
        <v>298</v>
      </c>
      <c r="F447">
        <v>0</v>
      </c>
      <c r="G447">
        <v>0</v>
      </c>
      <c r="H447">
        <v>1661</v>
      </c>
      <c r="I447">
        <v>10</v>
      </c>
      <c r="J447">
        <v>1969</v>
      </c>
      <c r="K447">
        <f>COUNTIF(DF_Calculation!E:E,Table1[[#This Row],[ACS_CODE]])</f>
        <v>1</v>
      </c>
    </row>
    <row r="448" spans="1:11" x14ac:dyDescent="0.25">
      <c r="A448">
        <v>73250</v>
      </c>
      <c r="B448" t="s">
        <v>937</v>
      </c>
      <c r="C448" t="s">
        <v>1278</v>
      </c>
      <c r="D448" t="s">
        <v>1932</v>
      </c>
      <c r="E448">
        <v>295</v>
      </c>
      <c r="F448">
        <v>0</v>
      </c>
      <c r="G448">
        <v>0</v>
      </c>
      <c r="H448">
        <v>1485</v>
      </c>
      <c r="I448">
        <v>2</v>
      </c>
      <c r="J448">
        <v>1782</v>
      </c>
      <c r="K448">
        <f>COUNTIF(DF_Calculation!E:E,Table1[[#This Row],[ACS_CODE]])</f>
        <v>1</v>
      </c>
    </row>
    <row r="449" spans="1:11" x14ac:dyDescent="0.25">
      <c r="A449">
        <v>35344</v>
      </c>
      <c r="B449" t="s">
        <v>991</v>
      </c>
      <c r="C449" t="s">
        <v>991</v>
      </c>
      <c r="D449" t="s">
        <v>1933</v>
      </c>
      <c r="E449">
        <v>294</v>
      </c>
      <c r="F449">
        <v>0</v>
      </c>
      <c r="G449">
        <v>0</v>
      </c>
      <c r="H449">
        <v>3020</v>
      </c>
      <c r="I449">
        <v>12</v>
      </c>
      <c r="J449">
        <v>3326</v>
      </c>
      <c r="K449">
        <f>COUNTIF(DF_Calculation!E:E,Table1[[#This Row],[ACS_CODE]])</f>
        <v>1</v>
      </c>
    </row>
    <row r="450" spans="1:11" x14ac:dyDescent="0.25">
      <c r="A450">
        <v>22443</v>
      </c>
      <c r="B450" t="s">
        <v>916</v>
      </c>
      <c r="C450" t="s">
        <v>915</v>
      </c>
      <c r="D450" t="s">
        <v>1934</v>
      </c>
      <c r="E450">
        <v>292</v>
      </c>
      <c r="F450">
        <v>0</v>
      </c>
      <c r="G450">
        <v>0</v>
      </c>
      <c r="H450">
        <v>2072</v>
      </c>
      <c r="I450">
        <v>85</v>
      </c>
      <c r="J450">
        <v>2449</v>
      </c>
      <c r="K450">
        <f>COUNTIF(DF_Calculation!E:E,Table1[[#This Row],[ACS_CODE]])</f>
        <v>1</v>
      </c>
    </row>
    <row r="451" spans="1:11" x14ac:dyDescent="0.25">
      <c r="A451">
        <v>61469</v>
      </c>
      <c r="B451" t="s">
        <v>1270</v>
      </c>
      <c r="C451" t="s">
        <v>1288</v>
      </c>
      <c r="D451" t="s">
        <v>1310</v>
      </c>
      <c r="E451">
        <v>292</v>
      </c>
      <c r="F451">
        <v>0</v>
      </c>
      <c r="G451">
        <v>0</v>
      </c>
      <c r="H451">
        <v>354</v>
      </c>
      <c r="J451">
        <v>646</v>
      </c>
      <c r="K451">
        <f>COUNTIF(DF_Calculation!E:E,Table1[[#This Row],[ACS_CODE]])</f>
        <v>1</v>
      </c>
    </row>
    <row r="452" spans="1:11" x14ac:dyDescent="0.25">
      <c r="A452">
        <v>53115</v>
      </c>
      <c r="B452" t="s">
        <v>1201</v>
      </c>
      <c r="C452" t="s">
        <v>1266</v>
      </c>
      <c r="D452" t="s">
        <v>1311</v>
      </c>
      <c r="E452">
        <v>291</v>
      </c>
      <c r="F452">
        <v>0</v>
      </c>
      <c r="G452">
        <v>0</v>
      </c>
      <c r="H452">
        <v>578</v>
      </c>
      <c r="I452">
        <v>60</v>
      </c>
      <c r="J452">
        <v>929</v>
      </c>
      <c r="K452">
        <f>COUNTIF(DF_Calculation!E:E,Table1[[#This Row],[ACS_CODE]])</f>
        <v>1</v>
      </c>
    </row>
    <row r="453" spans="1:11" x14ac:dyDescent="0.25">
      <c r="A453">
        <v>35354</v>
      </c>
      <c r="B453" t="s">
        <v>991</v>
      </c>
      <c r="C453" t="s">
        <v>991</v>
      </c>
      <c r="D453" t="s">
        <v>1935</v>
      </c>
      <c r="E453">
        <v>290</v>
      </c>
      <c r="F453">
        <v>0</v>
      </c>
      <c r="G453">
        <v>0</v>
      </c>
      <c r="H453">
        <v>1029</v>
      </c>
      <c r="J453">
        <v>1319</v>
      </c>
      <c r="K453">
        <f>COUNTIF(DF_Calculation!E:E,Table1[[#This Row],[ACS_CODE]])</f>
        <v>1</v>
      </c>
    </row>
    <row r="454" spans="1:11" x14ac:dyDescent="0.25">
      <c r="A454">
        <v>35404</v>
      </c>
      <c r="B454" t="s">
        <v>991</v>
      </c>
      <c r="C454" t="s">
        <v>991</v>
      </c>
      <c r="D454" t="s">
        <v>1936</v>
      </c>
      <c r="E454">
        <v>290</v>
      </c>
      <c r="F454">
        <v>0</v>
      </c>
      <c r="G454">
        <v>0</v>
      </c>
      <c r="H454">
        <v>461</v>
      </c>
      <c r="J454">
        <v>751</v>
      </c>
      <c r="K454">
        <f>COUNTIF(DF_Calculation!E:E,Table1[[#This Row],[ACS_CODE]])</f>
        <v>1</v>
      </c>
    </row>
    <row r="455" spans="1:11" x14ac:dyDescent="0.25">
      <c r="A455">
        <v>10610</v>
      </c>
      <c r="B455" t="s">
        <v>1315</v>
      </c>
      <c r="C455" t="s">
        <v>1315</v>
      </c>
      <c r="D455" t="s">
        <v>1937</v>
      </c>
      <c r="E455">
        <v>290</v>
      </c>
      <c r="F455">
        <v>0</v>
      </c>
      <c r="G455">
        <v>0</v>
      </c>
      <c r="H455">
        <v>3819</v>
      </c>
      <c r="I455">
        <v>42</v>
      </c>
      <c r="J455">
        <v>4151</v>
      </c>
      <c r="K455">
        <f>COUNTIF(DF_Calculation!E:E,Table1[[#This Row],[ACS_CODE]])</f>
        <v>1</v>
      </c>
    </row>
    <row r="456" spans="1:11" x14ac:dyDescent="0.25">
      <c r="A456">
        <v>71344</v>
      </c>
      <c r="B456" t="s">
        <v>937</v>
      </c>
      <c r="C456" t="s">
        <v>937</v>
      </c>
      <c r="D456" t="s">
        <v>1021</v>
      </c>
      <c r="E456">
        <v>288</v>
      </c>
      <c r="F456">
        <v>0</v>
      </c>
      <c r="G456">
        <v>0</v>
      </c>
      <c r="H456">
        <v>6291</v>
      </c>
      <c r="I456">
        <v>80</v>
      </c>
      <c r="J456">
        <v>6659</v>
      </c>
      <c r="K456">
        <f>COUNTIF(DF_Calculation!E:E,Table1[[#This Row],[ACS_CODE]])</f>
        <v>1</v>
      </c>
    </row>
    <row r="457" spans="1:11" x14ac:dyDescent="0.25">
      <c r="A457">
        <v>72231</v>
      </c>
      <c r="B457" t="s">
        <v>937</v>
      </c>
      <c r="C457" t="s">
        <v>1514</v>
      </c>
      <c r="D457" t="s">
        <v>1938</v>
      </c>
      <c r="E457">
        <v>286</v>
      </c>
      <c r="F457">
        <v>0</v>
      </c>
      <c r="G457">
        <v>0</v>
      </c>
      <c r="H457">
        <v>1847</v>
      </c>
      <c r="I457">
        <v>12</v>
      </c>
      <c r="J457">
        <v>2145</v>
      </c>
      <c r="K457">
        <f>COUNTIF(DF_Calculation!E:E,Table1[[#This Row],[ACS_CODE]])</f>
        <v>1</v>
      </c>
    </row>
    <row r="458" spans="1:11" x14ac:dyDescent="0.25">
      <c r="A458">
        <v>34221</v>
      </c>
      <c r="B458" t="s">
        <v>919</v>
      </c>
      <c r="C458" t="s">
        <v>931</v>
      </c>
      <c r="D458" t="s">
        <v>1022</v>
      </c>
      <c r="E458">
        <v>284</v>
      </c>
      <c r="F458">
        <v>0</v>
      </c>
      <c r="G458">
        <v>0</v>
      </c>
      <c r="H458">
        <v>575</v>
      </c>
      <c r="I458">
        <v>20</v>
      </c>
      <c r="J458">
        <v>879</v>
      </c>
      <c r="K458">
        <f>COUNTIF(DF_Calculation!E:E,Table1[[#This Row],[ACS_CODE]])</f>
        <v>1</v>
      </c>
    </row>
    <row r="459" spans="1:11" x14ac:dyDescent="0.25">
      <c r="A459">
        <v>35420</v>
      </c>
      <c r="B459" t="s">
        <v>991</v>
      </c>
      <c r="C459" t="s">
        <v>991</v>
      </c>
      <c r="D459" t="s">
        <v>1939</v>
      </c>
      <c r="E459">
        <v>283</v>
      </c>
      <c r="F459">
        <v>0</v>
      </c>
      <c r="G459">
        <v>0</v>
      </c>
      <c r="H459">
        <v>651</v>
      </c>
      <c r="I459">
        <v>7</v>
      </c>
      <c r="J459">
        <v>941</v>
      </c>
      <c r="K459">
        <f>COUNTIF(DF_Calculation!E:E,Table1[[#This Row],[ACS_CODE]])</f>
        <v>1</v>
      </c>
    </row>
    <row r="460" spans="1:11" x14ac:dyDescent="0.25">
      <c r="A460">
        <v>35155</v>
      </c>
      <c r="B460" t="s">
        <v>991</v>
      </c>
      <c r="C460" t="s">
        <v>991</v>
      </c>
      <c r="D460" t="s">
        <v>1940</v>
      </c>
      <c r="E460">
        <v>283</v>
      </c>
      <c r="F460">
        <v>0</v>
      </c>
      <c r="G460">
        <v>0</v>
      </c>
      <c r="H460">
        <v>326</v>
      </c>
      <c r="I460">
        <v>5</v>
      </c>
      <c r="J460">
        <v>614</v>
      </c>
      <c r="K460">
        <f>COUNTIF(DF_Calculation!E:E,Table1[[#This Row],[ACS_CODE]])</f>
        <v>1</v>
      </c>
    </row>
    <row r="461" spans="1:11" x14ac:dyDescent="0.25">
      <c r="A461">
        <v>72167</v>
      </c>
      <c r="B461" t="s">
        <v>937</v>
      </c>
      <c r="C461" t="s">
        <v>1514</v>
      </c>
      <c r="D461" t="s">
        <v>1941</v>
      </c>
      <c r="E461">
        <v>282</v>
      </c>
      <c r="F461">
        <v>0</v>
      </c>
      <c r="G461">
        <v>0</v>
      </c>
      <c r="H461">
        <v>3964</v>
      </c>
      <c r="I461">
        <v>160</v>
      </c>
      <c r="J461">
        <v>4406</v>
      </c>
      <c r="K461">
        <f>COUNTIF(DF_Calculation!E:E,Table1[[#This Row],[ACS_CODE]])</f>
        <v>1</v>
      </c>
    </row>
    <row r="462" spans="1:11" x14ac:dyDescent="0.25">
      <c r="A462">
        <v>52156</v>
      </c>
      <c r="B462" t="s">
        <v>1260</v>
      </c>
      <c r="C462" t="s">
        <v>1323</v>
      </c>
      <c r="D462" t="s">
        <v>1942</v>
      </c>
      <c r="E462">
        <v>280</v>
      </c>
      <c r="F462">
        <v>0</v>
      </c>
      <c r="G462">
        <v>0</v>
      </c>
      <c r="H462">
        <v>1170</v>
      </c>
      <c r="I462">
        <v>15</v>
      </c>
      <c r="J462">
        <v>1465</v>
      </c>
      <c r="K462">
        <f>COUNTIF(DF_Calculation!E:E,Table1[[#This Row],[ACS_CODE]])</f>
        <v>1</v>
      </c>
    </row>
    <row r="463" spans="1:11" x14ac:dyDescent="0.25">
      <c r="A463">
        <v>34287</v>
      </c>
      <c r="B463" t="s">
        <v>919</v>
      </c>
      <c r="C463" t="s">
        <v>931</v>
      </c>
      <c r="D463" t="s">
        <v>1023</v>
      </c>
      <c r="E463">
        <v>279</v>
      </c>
      <c r="F463">
        <v>0</v>
      </c>
      <c r="G463">
        <v>0</v>
      </c>
      <c r="H463">
        <v>2133</v>
      </c>
      <c r="I463">
        <v>34</v>
      </c>
      <c r="J463">
        <v>2446</v>
      </c>
      <c r="K463">
        <f>COUNTIF(DF_Calculation!E:E,Table1[[#This Row],[ACS_CODE]])</f>
        <v>1</v>
      </c>
    </row>
    <row r="464" spans="1:11" x14ac:dyDescent="0.25">
      <c r="A464">
        <v>33169</v>
      </c>
      <c r="B464" t="s">
        <v>919</v>
      </c>
      <c r="C464" t="s">
        <v>1297</v>
      </c>
      <c r="D464" t="s">
        <v>1943</v>
      </c>
      <c r="E464">
        <v>279</v>
      </c>
      <c r="F464">
        <v>0</v>
      </c>
      <c r="G464">
        <v>0</v>
      </c>
      <c r="H464">
        <v>1167</v>
      </c>
      <c r="I464">
        <v>15</v>
      </c>
      <c r="J464">
        <v>1461</v>
      </c>
      <c r="K464">
        <f>COUNTIF(DF_Calculation!E:E,Table1[[#This Row],[ACS_CODE]])</f>
        <v>1</v>
      </c>
    </row>
    <row r="465" spans="1:11" x14ac:dyDescent="0.25">
      <c r="A465">
        <v>72234</v>
      </c>
      <c r="B465" t="s">
        <v>937</v>
      </c>
      <c r="C465" t="s">
        <v>1514</v>
      </c>
      <c r="D465" t="s">
        <v>1944</v>
      </c>
      <c r="E465">
        <v>278</v>
      </c>
      <c r="F465">
        <v>0</v>
      </c>
      <c r="G465">
        <v>0</v>
      </c>
      <c r="H465">
        <v>1448</v>
      </c>
      <c r="I465">
        <v>22</v>
      </c>
      <c r="J465">
        <v>1748</v>
      </c>
      <c r="K465">
        <f>COUNTIF(DF_Calculation!E:E,Table1[[#This Row],[ACS_CODE]])</f>
        <v>1</v>
      </c>
    </row>
    <row r="466" spans="1:11" x14ac:dyDescent="0.25">
      <c r="A466">
        <v>35411</v>
      </c>
      <c r="B466" t="s">
        <v>991</v>
      </c>
      <c r="C466" t="s">
        <v>991</v>
      </c>
      <c r="D466" t="s">
        <v>1312</v>
      </c>
      <c r="E466">
        <v>276</v>
      </c>
      <c r="F466">
        <v>0</v>
      </c>
      <c r="G466">
        <v>0</v>
      </c>
      <c r="H466">
        <v>1688</v>
      </c>
      <c r="J466">
        <v>1964</v>
      </c>
      <c r="K466">
        <f>COUNTIF(DF_Calculation!E:E,Table1[[#This Row],[ACS_CODE]])</f>
        <v>1</v>
      </c>
    </row>
    <row r="467" spans="1:11" x14ac:dyDescent="0.25">
      <c r="A467">
        <v>25261</v>
      </c>
      <c r="B467" t="s">
        <v>916</v>
      </c>
      <c r="C467" t="s">
        <v>1307</v>
      </c>
      <c r="D467" t="s">
        <v>1945</v>
      </c>
      <c r="E467">
        <v>276</v>
      </c>
      <c r="F467">
        <v>0</v>
      </c>
      <c r="G467">
        <v>0</v>
      </c>
      <c r="H467">
        <v>2765</v>
      </c>
      <c r="I467">
        <v>170</v>
      </c>
      <c r="J467">
        <v>3211</v>
      </c>
      <c r="K467">
        <f>COUNTIF(DF_Calculation!E:E,Table1[[#This Row],[ACS_CODE]])</f>
        <v>1</v>
      </c>
    </row>
    <row r="468" spans="1:11" x14ac:dyDescent="0.25">
      <c r="A468">
        <v>62296</v>
      </c>
      <c r="B468" t="s">
        <v>1270</v>
      </c>
      <c r="C468" t="s">
        <v>1269</v>
      </c>
      <c r="D468" t="s">
        <v>1946</v>
      </c>
      <c r="E468">
        <v>276</v>
      </c>
      <c r="F468">
        <v>0</v>
      </c>
      <c r="G468">
        <v>0</v>
      </c>
      <c r="H468">
        <v>2070</v>
      </c>
      <c r="I468">
        <v>336</v>
      </c>
      <c r="J468">
        <v>2682</v>
      </c>
      <c r="K468">
        <f>COUNTIF(DF_Calculation!E:E,Table1[[#This Row],[ACS_CODE]])</f>
        <v>1</v>
      </c>
    </row>
    <row r="469" spans="1:11" x14ac:dyDescent="0.25">
      <c r="A469">
        <v>73127</v>
      </c>
      <c r="B469" t="s">
        <v>937</v>
      </c>
      <c r="C469" t="s">
        <v>1278</v>
      </c>
      <c r="D469" t="s">
        <v>1947</v>
      </c>
      <c r="E469">
        <v>275</v>
      </c>
      <c r="F469">
        <v>0</v>
      </c>
      <c r="G469">
        <v>0</v>
      </c>
      <c r="H469">
        <v>846</v>
      </c>
      <c r="I469">
        <v>1233</v>
      </c>
      <c r="J469">
        <v>2354</v>
      </c>
      <c r="K469">
        <f>COUNTIF(DF_Calculation!E:E,Table1[[#This Row],[ACS_CODE]])</f>
        <v>1</v>
      </c>
    </row>
    <row r="470" spans="1:11" x14ac:dyDescent="0.25">
      <c r="A470">
        <v>21394</v>
      </c>
      <c r="B470" t="s">
        <v>916</v>
      </c>
      <c r="C470" t="s">
        <v>1275</v>
      </c>
      <c r="D470" t="s">
        <v>1948</v>
      </c>
      <c r="E470">
        <v>274</v>
      </c>
      <c r="F470">
        <v>0</v>
      </c>
      <c r="G470">
        <v>0</v>
      </c>
      <c r="H470">
        <v>1132</v>
      </c>
      <c r="I470">
        <v>24</v>
      </c>
      <c r="J470">
        <v>1430</v>
      </c>
      <c r="K470">
        <f>COUNTIF(DF_Calculation!E:E,Table1[[#This Row],[ACS_CODE]])</f>
        <v>1</v>
      </c>
    </row>
    <row r="471" spans="1:11" x14ac:dyDescent="0.25">
      <c r="A471">
        <v>73232</v>
      </c>
      <c r="B471" t="s">
        <v>937</v>
      </c>
      <c r="C471" t="s">
        <v>1278</v>
      </c>
      <c r="D471" t="s">
        <v>1949</v>
      </c>
      <c r="E471">
        <v>274</v>
      </c>
      <c r="F471">
        <v>0</v>
      </c>
      <c r="G471">
        <v>0</v>
      </c>
      <c r="H471">
        <v>1875</v>
      </c>
      <c r="J471">
        <v>2149</v>
      </c>
      <c r="K471">
        <f>COUNTIF(DF_Calculation!E:E,Table1[[#This Row],[ACS_CODE]])</f>
        <v>1</v>
      </c>
    </row>
    <row r="472" spans="1:11" x14ac:dyDescent="0.25">
      <c r="A472">
        <v>62212</v>
      </c>
      <c r="B472" t="s">
        <v>1270</v>
      </c>
      <c r="C472" t="s">
        <v>1269</v>
      </c>
      <c r="D472" t="s">
        <v>1950</v>
      </c>
      <c r="E472">
        <v>274</v>
      </c>
      <c r="F472">
        <v>0</v>
      </c>
      <c r="G472">
        <v>0</v>
      </c>
      <c r="H472">
        <v>1143</v>
      </c>
      <c r="I472">
        <v>6</v>
      </c>
      <c r="J472">
        <v>1423</v>
      </c>
      <c r="K472">
        <f>COUNTIF(DF_Calculation!E:E,Table1[[#This Row],[ACS_CODE]])</f>
        <v>1</v>
      </c>
    </row>
    <row r="473" spans="1:11" x14ac:dyDescent="0.25">
      <c r="A473">
        <v>22447</v>
      </c>
      <c r="B473" t="s">
        <v>916</v>
      </c>
      <c r="C473" t="s">
        <v>915</v>
      </c>
      <c r="D473" t="s">
        <v>1024</v>
      </c>
      <c r="E473">
        <v>273</v>
      </c>
      <c r="F473">
        <v>0</v>
      </c>
      <c r="G473">
        <v>0</v>
      </c>
      <c r="H473">
        <v>3525</v>
      </c>
      <c r="I473">
        <v>1367</v>
      </c>
      <c r="J473">
        <v>5165</v>
      </c>
      <c r="K473">
        <f>COUNTIF(DF_Calculation!E:E,Table1[[#This Row],[ACS_CODE]])</f>
        <v>1</v>
      </c>
    </row>
    <row r="474" spans="1:11" x14ac:dyDescent="0.25">
      <c r="A474">
        <v>61412</v>
      </c>
      <c r="B474" t="s">
        <v>1270</v>
      </c>
      <c r="C474" t="s">
        <v>1288</v>
      </c>
      <c r="D474" t="s">
        <v>1313</v>
      </c>
      <c r="E474">
        <v>273</v>
      </c>
      <c r="F474">
        <v>141</v>
      </c>
      <c r="G474">
        <v>0</v>
      </c>
      <c r="H474">
        <v>280</v>
      </c>
      <c r="J474">
        <v>694</v>
      </c>
      <c r="K474">
        <f>COUNTIF(DF_Calculation!E:E,Table1[[#This Row],[ACS_CODE]])</f>
        <v>1</v>
      </c>
    </row>
    <row r="475" spans="1:11" x14ac:dyDescent="0.25">
      <c r="A475">
        <v>34284</v>
      </c>
      <c r="B475" t="s">
        <v>919</v>
      </c>
      <c r="C475" t="s">
        <v>931</v>
      </c>
      <c r="D475" t="s">
        <v>1025</v>
      </c>
      <c r="E475">
        <v>272</v>
      </c>
      <c r="F475">
        <v>0</v>
      </c>
      <c r="G475">
        <v>0</v>
      </c>
      <c r="H475">
        <v>1351</v>
      </c>
      <c r="I475">
        <v>22</v>
      </c>
      <c r="J475">
        <v>1645</v>
      </c>
      <c r="K475">
        <f>COUNTIF(DF_Calculation!E:E,Table1[[#This Row],[ACS_CODE]])</f>
        <v>1</v>
      </c>
    </row>
    <row r="476" spans="1:11" x14ac:dyDescent="0.25">
      <c r="A476">
        <v>62283</v>
      </c>
      <c r="B476" t="s">
        <v>1270</v>
      </c>
      <c r="C476" t="s">
        <v>1269</v>
      </c>
      <c r="D476" t="s">
        <v>1951</v>
      </c>
      <c r="E476">
        <v>272</v>
      </c>
      <c r="F476">
        <v>1832</v>
      </c>
      <c r="G476">
        <v>0</v>
      </c>
      <c r="H476">
        <v>2449</v>
      </c>
      <c r="I476">
        <v>104</v>
      </c>
      <c r="J476">
        <v>4657</v>
      </c>
      <c r="K476">
        <f>COUNTIF(DF_Calculation!E:E,Table1[[#This Row],[ACS_CODE]])</f>
        <v>1</v>
      </c>
    </row>
    <row r="477" spans="1:11" x14ac:dyDescent="0.25">
      <c r="A477">
        <v>10999</v>
      </c>
      <c r="B477" t="s">
        <v>1315</v>
      </c>
      <c r="C477" t="s">
        <v>1315</v>
      </c>
      <c r="D477" t="s">
        <v>1314</v>
      </c>
      <c r="E477">
        <v>271</v>
      </c>
      <c r="F477">
        <v>0</v>
      </c>
      <c r="G477">
        <v>0</v>
      </c>
      <c r="H477">
        <v>1</v>
      </c>
      <c r="J477">
        <v>272</v>
      </c>
      <c r="K477">
        <f>COUNTIF(DF_Calculation!E:E,Table1[[#This Row],[ACS_CODE]])</f>
        <v>1</v>
      </c>
    </row>
    <row r="478" spans="1:11" x14ac:dyDescent="0.25">
      <c r="A478">
        <v>32159</v>
      </c>
      <c r="B478" t="s">
        <v>919</v>
      </c>
      <c r="C478" t="s">
        <v>934</v>
      </c>
      <c r="D478" t="s">
        <v>1026</v>
      </c>
      <c r="E478">
        <v>270</v>
      </c>
      <c r="F478">
        <v>0</v>
      </c>
      <c r="G478">
        <v>0</v>
      </c>
      <c r="H478">
        <v>1339</v>
      </c>
      <c r="I478">
        <v>35</v>
      </c>
      <c r="J478">
        <v>1644</v>
      </c>
      <c r="K478">
        <f>COUNTIF(DF_Calculation!E:E,Table1[[#This Row],[ACS_CODE]])</f>
        <v>1</v>
      </c>
    </row>
    <row r="479" spans="1:11" x14ac:dyDescent="0.25">
      <c r="A479">
        <v>37341</v>
      </c>
      <c r="B479" t="s">
        <v>919</v>
      </c>
      <c r="C479" t="s">
        <v>918</v>
      </c>
      <c r="D479" t="s">
        <v>1027</v>
      </c>
      <c r="E479">
        <v>268</v>
      </c>
      <c r="F479">
        <v>0</v>
      </c>
      <c r="G479">
        <v>0</v>
      </c>
      <c r="H479">
        <v>3125</v>
      </c>
      <c r="J479">
        <v>3393</v>
      </c>
      <c r="K479">
        <f>COUNTIF(DF_Calculation!E:E,Table1[[#This Row],[ACS_CODE]])</f>
        <v>1</v>
      </c>
    </row>
    <row r="480" spans="1:11" x14ac:dyDescent="0.25">
      <c r="A480">
        <v>61255</v>
      </c>
      <c r="B480" t="s">
        <v>1270</v>
      </c>
      <c r="C480" t="s">
        <v>1288</v>
      </c>
      <c r="D480" t="s">
        <v>1952</v>
      </c>
      <c r="E480">
        <v>266</v>
      </c>
      <c r="F480">
        <v>1221</v>
      </c>
      <c r="G480">
        <v>0</v>
      </c>
      <c r="H480">
        <v>2100</v>
      </c>
      <c r="I480">
        <v>30</v>
      </c>
      <c r="J480">
        <v>3617</v>
      </c>
      <c r="K480">
        <f>COUNTIF(DF_Calculation!E:E,Table1[[#This Row],[ACS_CODE]])</f>
        <v>1</v>
      </c>
    </row>
    <row r="481" spans="1:11" x14ac:dyDescent="0.25">
      <c r="A481">
        <v>22547</v>
      </c>
      <c r="B481" t="s">
        <v>916</v>
      </c>
      <c r="C481" t="s">
        <v>915</v>
      </c>
      <c r="D481" t="s">
        <v>1028</v>
      </c>
      <c r="E481">
        <v>265</v>
      </c>
      <c r="F481">
        <v>0</v>
      </c>
      <c r="G481">
        <v>0</v>
      </c>
      <c r="H481">
        <v>1150</v>
      </c>
      <c r="I481">
        <v>4</v>
      </c>
      <c r="J481">
        <v>1419</v>
      </c>
      <c r="K481">
        <f>COUNTIF(DF_Calculation!E:E,Table1[[#This Row],[ACS_CODE]])</f>
        <v>1</v>
      </c>
    </row>
    <row r="482" spans="1:11" x14ac:dyDescent="0.25">
      <c r="A482">
        <v>71327</v>
      </c>
      <c r="B482" t="s">
        <v>937</v>
      </c>
      <c r="C482" t="s">
        <v>937</v>
      </c>
      <c r="D482" t="s">
        <v>1029</v>
      </c>
      <c r="E482">
        <v>264</v>
      </c>
      <c r="F482">
        <v>0</v>
      </c>
      <c r="G482">
        <v>0</v>
      </c>
      <c r="H482">
        <v>3990</v>
      </c>
      <c r="I482">
        <v>10</v>
      </c>
      <c r="J482">
        <v>4264</v>
      </c>
      <c r="K482">
        <f>COUNTIF(DF_Calculation!E:E,Table1[[#This Row],[ACS_CODE]])</f>
        <v>1</v>
      </c>
    </row>
    <row r="483" spans="1:11" x14ac:dyDescent="0.25">
      <c r="A483">
        <v>55114</v>
      </c>
      <c r="B483" t="s">
        <v>1260</v>
      </c>
      <c r="C483" t="s">
        <v>1291</v>
      </c>
      <c r="D483" t="s">
        <v>1953</v>
      </c>
      <c r="E483">
        <v>264</v>
      </c>
      <c r="F483">
        <v>0</v>
      </c>
      <c r="G483">
        <v>0</v>
      </c>
      <c r="H483">
        <v>1574</v>
      </c>
      <c r="I483">
        <v>8</v>
      </c>
      <c r="J483">
        <v>1846</v>
      </c>
      <c r="K483">
        <f>COUNTIF(DF_Calculation!E:E,Table1[[#This Row],[ACS_CODE]])</f>
        <v>1</v>
      </c>
    </row>
    <row r="484" spans="1:11" x14ac:dyDescent="0.25">
      <c r="A484">
        <v>73228</v>
      </c>
      <c r="B484" t="s">
        <v>937</v>
      </c>
      <c r="C484" t="s">
        <v>1278</v>
      </c>
      <c r="D484" t="s">
        <v>1954</v>
      </c>
      <c r="E484">
        <v>262</v>
      </c>
      <c r="F484">
        <v>0</v>
      </c>
      <c r="G484">
        <v>0</v>
      </c>
      <c r="H484">
        <v>2187</v>
      </c>
      <c r="J484">
        <v>2449</v>
      </c>
      <c r="K484">
        <f>COUNTIF(DF_Calculation!E:E,Table1[[#This Row],[ACS_CODE]])</f>
        <v>1</v>
      </c>
    </row>
    <row r="485" spans="1:11" x14ac:dyDescent="0.25">
      <c r="A485">
        <v>34311</v>
      </c>
      <c r="B485" t="s">
        <v>919</v>
      </c>
      <c r="C485" t="s">
        <v>931</v>
      </c>
      <c r="D485" t="s">
        <v>1030</v>
      </c>
      <c r="E485">
        <v>261</v>
      </c>
      <c r="F485">
        <v>0</v>
      </c>
      <c r="G485">
        <v>0</v>
      </c>
      <c r="H485">
        <v>1528</v>
      </c>
      <c r="I485">
        <v>50</v>
      </c>
      <c r="J485">
        <v>1839</v>
      </c>
      <c r="K485">
        <f>COUNTIF(DF_Calculation!E:E,Table1[[#This Row],[ACS_CODE]])</f>
        <v>1</v>
      </c>
    </row>
    <row r="486" spans="1:11" x14ac:dyDescent="0.25">
      <c r="A486">
        <v>32167</v>
      </c>
      <c r="B486" t="s">
        <v>919</v>
      </c>
      <c r="C486" t="s">
        <v>934</v>
      </c>
      <c r="D486" t="s">
        <v>1316</v>
      </c>
      <c r="E486">
        <v>261</v>
      </c>
      <c r="F486">
        <v>0</v>
      </c>
      <c r="G486">
        <v>0</v>
      </c>
      <c r="H486">
        <v>543</v>
      </c>
      <c r="I486">
        <v>10</v>
      </c>
      <c r="J486">
        <v>814</v>
      </c>
      <c r="K486">
        <f>COUNTIF(DF_Calculation!E:E,Table1[[#This Row],[ACS_CODE]])</f>
        <v>1</v>
      </c>
    </row>
    <row r="487" spans="1:11" x14ac:dyDescent="0.25">
      <c r="A487">
        <v>62261</v>
      </c>
      <c r="B487" t="s">
        <v>1270</v>
      </c>
      <c r="C487" t="s">
        <v>1269</v>
      </c>
      <c r="D487" t="s">
        <v>1955</v>
      </c>
      <c r="E487">
        <v>258</v>
      </c>
      <c r="F487">
        <v>261</v>
      </c>
      <c r="G487">
        <v>0</v>
      </c>
      <c r="H487">
        <v>1938</v>
      </c>
      <c r="I487">
        <v>140</v>
      </c>
      <c r="J487">
        <v>2597</v>
      </c>
      <c r="K487">
        <f>COUNTIF(DF_Calculation!E:E,Table1[[#This Row],[ACS_CODE]])</f>
        <v>1</v>
      </c>
    </row>
    <row r="488" spans="1:11" x14ac:dyDescent="0.25">
      <c r="A488">
        <v>33121</v>
      </c>
      <c r="B488" t="s">
        <v>919</v>
      </c>
      <c r="C488" t="s">
        <v>1297</v>
      </c>
      <c r="D488" t="s">
        <v>1317</v>
      </c>
      <c r="E488">
        <v>257</v>
      </c>
      <c r="F488">
        <v>0</v>
      </c>
      <c r="G488">
        <v>0</v>
      </c>
      <c r="H488">
        <v>1394</v>
      </c>
      <c r="I488">
        <v>97</v>
      </c>
      <c r="J488">
        <v>1748</v>
      </c>
      <c r="K488">
        <f>COUNTIF(DF_Calculation!E:E,Table1[[#This Row],[ACS_CODE]])</f>
        <v>1</v>
      </c>
    </row>
    <row r="489" spans="1:11" x14ac:dyDescent="0.25">
      <c r="A489">
        <v>71177</v>
      </c>
      <c r="B489" t="s">
        <v>937</v>
      </c>
      <c r="C489" t="s">
        <v>937</v>
      </c>
      <c r="D489" t="s">
        <v>1318</v>
      </c>
      <c r="E489">
        <v>255</v>
      </c>
      <c r="F489">
        <v>0</v>
      </c>
      <c r="G489">
        <v>0</v>
      </c>
      <c r="H489">
        <v>2697</v>
      </c>
      <c r="I489">
        <v>10</v>
      </c>
      <c r="J489">
        <v>2962</v>
      </c>
      <c r="K489">
        <f>COUNTIF(DF_Calculation!E:E,Table1[[#This Row],[ACS_CODE]])</f>
        <v>1</v>
      </c>
    </row>
    <row r="490" spans="1:11" x14ac:dyDescent="0.25">
      <c r="A490">
        <v>71367</v>
      </c>
      <c r="B490" t="s">
        <v>937</v>
      </c>
      <c r="C490" t="s">
        <v>937</v>
      </c>
      <c r="D490" t="s">
        <v>1031</v>
      </c>
      <c r="E490">
        <v>254</v>
      </c>
      <c r="F490">
        <v>0</v>
      </c>
      <c r="G490">
        <v>0</v>
      </c>
      <c r="H490">
        <v>2661</v>
      </c>
      <c r="I490">
        <v>16</v>
      </c>
      <c r="J490">
        <v>2931</v>
      </c>
      <c r="K490">
        <f>COUNTIF(DF_Calculation!E:E,Table1[[#This Row],[ACS_CODE]])</f>
        <v>1</v>
      </c>
    </row>
    <row r="491" spans="1:11" x14ac:dyDescent="0.25">
      <c r="A491">
        <v>23445</v>
      </c>
      <c r="B491" t="s">
        <v>916</v>
      </c>
      <c r="C491" t="s">
        <v>921</v>
      </c>
      <c r="D491" t="s">
        <v>1032</v>
      </c>
      <c r="E491">
        <v>252</v>
      </c>
      <c r="F491">
        <v>0</v>
      </c>
      <c r="G491">
        <v>0</v>
      </c>
      <c r="H491">
        <v>2109</v>
      </c>
      <c r="I491">
        <v>18</v>
      </c>
      <c r="J491">
        <v>2379</v>
      </c>
      <c r="K491">
        <f>COUNTIF(DF_Calculation!E:E,Table1[[#This Row],[ACS_CODE]])</f>
        <v>1</v>
      </c>
    </row>
    <row r="492" spans="1:11" x14ac:dyDescent="0.25">
      <c r="A492">
        <v>52141</v>
      </c>
      <c r="B492" t="s">
        <v>1260</v>
      </c>
      <c r="C492" t="s">
        <v>1323</v>
      </c>
      <c r="D492" t="s">
        <v>1956</v>
      </c>
      <c r="E492">
        <v>252</v>
      </c>
      <c r="F492">
        <v>0</v>
      </c>
      <c r="G492">
        <v>0</v>
      </c>
      <c r="H492">
        <v>1</v>
      </c>
      <c r="J492">
        <v>253</v>
      </c>
      <c r="K492">
        <f>COUNTIF(DF_Calculation!E:E,Table1[[#This Row],[ACS_CODE]])</f>
        <v>1</v>
      </c>
    </row>
    <row r="493" spans="1:11" x14ac:dyDescent="0.25">
      <c r="A493">
        <v>32117</v>
      </c>
      <c r="B493" t="s">
        <v>919</v>
      </c>
      <c r="C493" t="s">
        <v>934</v>
      </c>
      <c r="D493" t="s">
        <v>1033</v>
      </c>
      <c r="E493">
        <v>251</v>
      </c>
      <c r="F493">
        <v>0</v>
      </c>
      <c r="G493">
        <v>0</v>
      </c>
      <c r="H493">
        <v>2304</v>
      </c>
      <c r="I493">
        <v>40</v>
      </c>
      <c r="J493">
        <v>2595</v>
      </c>
      <c r="K493">
        <f>COUNTIF(DF_Calculation!E:E,Table1[[#This Row],[ACS_CODE]])</f>
        <v>1</v>
      </c>
    </row>
    <row r="494" spans="1:11" x14ac:dyDescent="0.25">
      <c r="A494">
        <v>22483</v>
      </c>
      <c r="B494" t="s">
        <v>916</v>
      </c>
      <c r="C494" t="s">
        <v>915</v>
      </c>
      <c r="D494" t="s">
        <v>1034</v>
      </c>
      <c r="E494">
        <v>250</v>
      </c>
      <c r="F494">
        <v>0</v>
      </c>
      <c r="G494">
        <v>0</v>
      </c>
      <c r="H494">
        <v>616</v>
      </c>
      <c r="I494">
        <v>90</v>
      </c>
      <c r="J494">
        <v>956</v>
      </c>
      <c r="K494">
        <f>COUNTIF(DF_Calculation!E:E,Table1[[#This Row],[ACS_CODE]])</f>
        <v>1</v>
      </c>
    </row>
    <row r="495" spans="1:11" x14ac:dyDescent="0.25">
      <c r="A495">
        <v>25231</v>
      </c>
      <c r="B495" t="s">
        <v>916</v>
      </c>
      <c r="C495" t="s">
        <v>1307</v>
      </c>
      <c r="D495" t="s">
        <v>1957</v>
      </c>
      <c r="E495">
        <v>247</v>
      </c>
      <c r="F495">
        <v>0</v>
      </c>
      <c r="G495">
        <v>0</v>
      </c>
      <c r="H495">
        <v>4952</v>
      </c>
      <c r="I495">
        <v>88</v>
      </c>
      <c r="J495">
        <v>5287</v>
      </c>
      <c r="K495">
        <f>COUNTIF(DF_Calculation!E:E,Table1[[#This Row],[ACS_CODE]])</f>
        <v>1</v>
      </c>
    </row>
    <row r="496" spans="1:11" x14ac:dyDescent="0.25">
      <c r="A496">
        <v>24365</v>
      </c>
      <c r="B496" t="s">
        <v>916</v>
      </c>
      <c r="C496" t="s">
        <v>1282</v>
      </c>
      <c r="D496" t="s">
        <v>1958</v>
      </c>
      <c r="E496">
        <v>246</v>
      </c>
      <c r="F496">
        <v>0</v>
      </c>
      <c r="G496">
        <v>0</v>
      </c>
      <c r="H496">
        <v>1474</v>
      </c>
      <c r="I496">
        <v>42</v>
      </c>
      <c r="J496">
        <v>1762</v>
      </c>
      <c r="K496">
        <f>COUNTIF(DF_Calculation!E:E,Table1[[#This Row],[ACS_CODE]])</f>
        <v>1</v>
      </c>
    </row>
    <row r="497" spans="1:11" x14ac:dyDescent="0.25">
      <c r="A497">
        <v>23386</v>
      </c>
      <c r="B497" t="s">
        <v>916</v>
      </c>
      <c r="C497" t="s">
        <v>921</v>
      </c>
      <c r="D497" t="s">
        <v>1959</v>
      </c>
      <c r="E497">
        <v>246</v>
      </c>
      <c r="F497">
        <v>0</v>
      </c>
      <c r="G497">
        <v>0</v>
      </c>
      <c r="H497">
        <v>1573</v>
      </c>
      <c r="I497">
        <v>7</v>
      </c>
      <c r="J497">
        <v>1826</v>
      </c>
      <c r="K497">
        <f>COUNTIF(DF_Calculation!E:E,Table1[[#This Row],[ACS_CODE]])</f>
        <v>1</v>
      </c>
    </row>
    <row r="498" spans="1:11" x14ac:dyDescent="0.25">
      <c r="A498">
        <v>71337</v>
      </c>
      <c r="B498" t="s">
        <v>937</v>
      </c>
      <c r="C498" t="s">
        <v>937</v>
      </c>
      <c r="D498" t="s">
        <v>1035</v>
      </c>
      <c r="E498">
        <v>246</v>
      </c>
      <c r="F498">
        <v>0</v>
      </c>
      <c r="G498">
        <v>0</v>
      </c>
      <c r="H498">
        <v>10055</v>
      </c>
      <c r="I498">
        <v>155</v>
      </c>
      <c r="J498">
        <v>10456</v>
      </c>
      <c r="K498">
        <f>COUNTIF(DF_Calculation!E:E,Table1[[#This Row],[ACS_CODE]])</f>
        <v>1</v>
      </c>
    </row>
    <row r="499" spans="1:11" x14ac:dyDescent="0.25">
      <c r="A499">
        <v>62214</v>
      </c>
      <c r="B499" t="s">
        <v>1270</v>
      </c>
      <c r="C499" t="s">
        <v>1269</v>
      </c>
      <c r="D499" t="s">
        <v>1960</v>
      </c>
      <c r="E499">
        <v>244</v>
      </c>
      <c r="F499">
        <v>0</v>
      </c>
      <c r="G499">
        <v>0</v>
      </c>
      <c r="H499">
        <v>1743</v>
      </c>
      <c r="I499">
        <v>100</v>
      </c>
      <c r="J499">
        <v>2087</v>
      </c>
      <c r="K499">
        <f>COUNTIF(DF_Calculation!E:E,Table1[[#This Row],[ACS_CODE]])</f>
        <v>1</v>
      </c>
    </row>
    <row r="500" spans="1:11" x14ac:dyDescent="0.25">
      <c r="A500">
        <v>33161</v>
      </c>
      <c r="B500" t="s">
        <v>919</v>
      </c>
      <c r="C500" t="s">
        <v>1297</v>
      </c>
      <c r="D500" t="s">
        <v>1961</v>
      </c>
      <c r="E500">
        <v>244</v>
      </c>
      <c r="F500">
        <v>0</v>
      </c>
      <c r="G500">
        <v>0</v>
      </c>
      <c r="H500">
        <v>691</v>
      </c>
      <c r="I500">
        <v>15</v>
      </c>
      <c r="J500">
        <v>950</v>
      </c>
      <c r="K500">
        <f>COUNTIF(DF_Calculation!E:E,Table1[[#This Row],[ACS_CODE]])</f>
        <v>1</v>
      </c>
    </row>
    <row r="501" spans="1:11" x14ac:dyDescent="0.25">
      <c r="A501">
        <v>74158</v>
      </c>
      <c r="B501" t="s">
        <v>937</v>
      </c>
      <c r="C501" t="s">
        <v>1280</v>
      </c>
      <c r="D501" t="s">
        <v>1962</v>
      </c>
      <c r="E501">
        <v>243</v>
      </c>
      <c r="F501">
        <v>0</v>
      </c>
      <c r="G501">
        <v>0</v>
      </c>
      <c r="H501">
        <v>828</v>
      </c>
      <c r="I501">
        <v>3</v>
      </c>
      <c r="J501">
        <v>1074</v>
      </c>
      <c r="K501">
        <f>COUNTIF(DF_Calculation!E:E,Table1[[#This Row],[ACS_CODE]])</f>
        <v>1</v>
      </c>
    </row>
    <row r="502" spans="1:11" x14ac:dyDescent="0.25">
      <c r="A502">
        <v>21371</v>
      </c>
      <c r="B502" t="s">
        <v>916</v>
      </c>
      <c r="C502" t="s">
        <v>1275</v>
      </c>
      <c r="D502" t="s">
        <v>1963</v>
      </c>
      <c r="E502">
        <v>237</v>
      </c>
      <c r="F502">
        <v>0</v>
      </c>
      <c r="G502">
        <v>0</v>
      </c>
      <c r="H502">
        <v>1891</v>
      </c>
      <c r="I502">
        <v>139</v>
      </c>
      <c r="J502">
        <v>2267</v>
      </c>
      <c r="K502">
        <f>COUNTIF(DF_Calculation!E:E,Table1[[#This Row],[ACS_CODE]])</f>
        <v>1</v>
      </c>
    </row>
    <row r="503" spans="1:11" x14ac:dyDescent="0.25">
      <c r="A503">
        <v>32115</v>
      </c>
      <c r="B503" t="s">
        <v>919</v>
      </c>
      <c r="C503" t="s">
        <v>934</v>
      </c>
      <c r="D503" t="s">
        <v>1319</v>
      </c>
      <c r="E503">
        <v>237</v>
      </c>
      <c r="F503">
        <v>0</v>
      </c>
      <c r="G503">
        <v>0</v>
      </c>
      <c r="H503">
        <v>1113</v>
      </c>
      <c r="I503">
        <v>70</v>
      </c>
      <c r="J503">
        <v>1420</v>
      </c>
      <c r="K503">
        <f>COUNTIF(DF_Calculation!E:E,Table1[[#This Row],[ACS_CODE]])</f>
        <v>1</v>
      </c>
    </row>
    <row r="504" spans="1:11" x14ac:dyDescent="0.25">
      <c r="A504">
        <v>22455</v>
      </c>
      <c r="B504" t="s">
        <v>916</v>
      </c>
      <c r="C504" t="s">
        <v>915</v>
      </c>
      <c r="D504" t="s">
        <v>1036</v>
      </c>
      <c r="E504">
        <v>236</v>
      </c>
      <c r="F504">
        <v>0</v>
      </c>
      <c r="G504">
        <v>0</v>
      </c>
      <c r="H504">
        <v>7082</v>
      </c>
      <c r="I504">
        <v>1629</v>
      </c>
      <c r="J504">
        <v>8947</v>
      </c>
      <c r="K504">
        <f>COUNTIF(DF_Calculation!E:E,Table1[[#This Row],[ACS_CODE]])</f>
        <v>1</v>
      </c>
    </row>
    <row r="505" spans="1:11" x14ac:dyDescent="0.25">
      <c r="A505">
        <v>23655</v>
      </c>
      <c r="B505" t="s">
        <v>916</v>
      </c>
      <c r="C505" t="s">
        <v>921</v>
      </c>
      <c r="D505" t="s">
        <v>1037</v>
      </c>
      <c r="E505">
        <v>235</v>
      </c>
      <c r="F505">
        <v>0</v>
      </c>
      <c r="G505">
        <v>0</v>
      </c>
      <c r="H505">
        <v>4412</v>
      </c>
      <c r="I505">
        <v>92</v>
      </c>
      <c r="J505">
        <v>4739</v>
      </c>
      <c r="K505">
        <f>COUNTIF(DF_Calculation!E:E,Table1[[#This Row],[ACS_CODE]])</f>
        <v>1</v>
      </c>
    </row>
    <row r="506" spans="1:11" x14ac:dyDescent="0.25">
      <c r="A506">
        <v>22619</v>
      </c>
      <c r="B506" t="s">
        <v>916</v>
      </c>
      <c r="C506" t="s">
        <v>915</v>
      </c>
      <c r="D506" t="s">
        <v>1038</v>
      </c>
      <c r="E506">
        <v>235</v>
      </c>
      <c r="F506">
        <v>0</v>
      </c>
      <c r="G506">
        <v>0</v>
      </c>
      <c r="H506">
        <v>1235</v>
      </c>
      <c r="I506">
        <v>130</v>
      </c>
      <c r="J506">
        <v>1600</v>
      </c>
      <c r="K506">
        <f>COUNTIF(DF_Calculation!E:E,Table1[[#This Row],[ACS_CODE]])</f>
        <v>1</v>
      </c>
    </row>
    <row r="507" spans="1:11" x14ac:dyDescent="0.25">
      <c r="A507">
        <v>22711</v>
      </c>
      <c r="B507" t="s">
        <v>916</v>
      </c>
      <c r="C507" t="s">
        <v>915</v>
      </c>
      <c r="D507" t="s">
        <v>1039</v>
      </c>
      <c r="E507">
        <v>235</v>
      </c>
      <c r="F507">
        <v>0</v>
      </c>
      <c r="G507">
        <v>0</v>
      </c>
      <c r="H507">
        <v>1379</v>
      </c>
      <c r="I507">
        <v>28</v>
      </c>
      <c r="J507">
        <v>1642</v>
      </c>
      <c r="K507">
        <f>COUNTIF(DF_Calculation!E:E,Table1[[#This Row],[ACS_CODE]])</f>
        <v>1</v>
      </c>
    </row>
    <row r="508" spans="1:11" x14ac:dyDescent="0.25">
      <c r="A508">
        <v>35185</v>
      </c>
      <c r="B508" t="s">
        <v>991</v>
      </c>
      <c r="C508" t="s">
        <v>991</v>
      </c>
      <c r="D508" t="s">
        <v>1964</v>
      </c>
      <c r="E508">
        <v>234</v>
      </c>
      <c r="F508">
        <v>0</v>
      </c>
      <c r="G508">
        <v>0</v>
      </c>
      <c r="H508">
        <v>1651</v>
      </c>
      <c r="J508">
        <v>1885</v>
      </c>
      <c r="K508">
        <f>COUNTIF(DF_Calculation!E:E,Table1[[#This Row],[ACS_CODE]])</f>
        <v>1</v>
      </c>
    </row>
    <row r="509" spans="1:11" x14ac:dyDescent="0.25">
      <c r="A509">
        <v>52231</v>
      </c>
      <c r="B509" t="s">
        <v>1260</v>
      </c>
      <c r="C509" t="s">
        <v>1323</v>
      </c>
      <c r="D509" t="s">
        <v>1965</v>
      </c>
      <c r="E509">
        <v>234</v>
      </c>
      <c r="F509">
        <v>0</v>
      </c>
      <c r="G509">
        <v>0</v>
      </c>
      <c r="H509">
        <v>1998</v>
      </c>
      <c r="I509">
        <v>57</v>
      </c>
      <c r="J509">
        <v>2289</v>
      </c>
      <c r="K509">
        <f>COUNTIF(DF_Calculation!E:E,Table1[[#This Row],[ACS_CODE]])</f>
        <v>1</v>
      </c>
    </row>
    <row r="510" spans="1:11" x14ac:dyDescent="0.25">
      <c r="A510">
        <v>55154</v>
      </c>
      <c r="B510" t="s">
        <v>1260</v>
      </c>
      <c r="C510" t="s">
        <v>1291</v>
      </c>
      <c r="D510" t="s">
        <v>1966</v>
      </c>
      <c r="E510">
        <v>232</v>
      </c>
      <c r="F510">
        <v>0</v>
      </c>
      <c r="G510">
        <v>0</v>
      </c>
      <c r="H510">
        <v>641</v>
      </c>
      <c r="I510">
        <v>7</v>
      </c>
      <c r="J510">
        <v>880</v>
      </c>
      <c r="K510">
        <f>COUNTIF(DF_Calculation!E:E,Table1[[#This Row],[ACS_CODE]])</f>
        <v>1</v>
      </c>
    </row>
    <row r="511" spans="1:11" x14ac:dyDescent="0.25">
      <c r="A511">
        <v>24351</v>
      </c>
      <c r="B511" t="s">
        <v>916</v>
      </c>
      <c r="C511" t="s">
        <v>1282</v>
      </c>
      <c r="D511" t="s">
        <v>1967</v>
      </c>
      <c r="E511">
        <v>228</v>
      </c>
      <c r="F511">
        <v>0</v>
      </c>
      <c r="G511">
        <v>0</v>
      </c>
      <c r="H511">
        <v>1072</v>
      </c>
      <c r="I511">
        <v>10</v>
      </c>
      <c r="J511">
        <v>1310</v>
      </c>
      <c r="K511">
        <f>COUNTIF(DF_Calculation!E:E,Table1[[#This Row],[ACS_CODE]])</f>
        <v>1</v>
      </c>
    </row>
    <row r="512" spans="1:11" x14ac:dyDescent="0.25">
      <c r="A512">
        <v>24313</v>
      </c>
      <c r="B512" t="s">
        <v>916</v>
      </c>
      <c r="C512" t="s">
        <v>1282</v>
      </c>
      <c r="D512" t="s">
        <v>1968</v>
      </c>
      <c r="E512">
        <v>227</v>
      </c>
      <c r="F512">
        <v>0</v>
      </c>
      <c r="G512">
        <v>0</v>
      </c>
      <c r="H512">
        <v>2766</v>
      </c>
      <c r="I512">
        <v>245</v>
      </c>
      <c r="J512">
        <v>3238</v>
      </c>
      <c r="K512">
        <f>COUNTIF(DF_Calculation!E:E,Table1[[#This Row],[ACS_CODE]])</f>
        <v>1</v>
      </c>
    </row>
    <row r="513" spans="1:11" x14ac:dyDescent="0.25">
      <c r="A513">
        <v>61481</v>
      </c>
      <c r="B513" t="s">
        <v>1270</v>
      </c>
      <c r="C513" t="s">
        <v>1288</v>
      </c>
      <c r="D513" t="s">
        <v>1969</v>
      </c>
      <c r="E513">
        <v>227</v>
      </c>
      <c r="F513">
        <v>0</v>
      </c>
      <c r="G513">
        <v>0</v>
      </c>
      <c r="H513">
        <v>1672</v>
      </c>
      <c r="I513">
        <v>35</v>
      </c>
      <c r="J513">
        <v>1934</v>
      </c>
      <c r="K513">
        <f>COUNTIF(DF_Calculation!E:E,Table1[[#This Row],[ACS_CODE]])</f>
        <v>1</v>
      </c>
    </row>
    <row r="514" spans="1:11" x14ac:dyDescent="0.25">
      <c r="A514">
        <v>23566</v>
      </c>
      <c r="B514" t="s">
        <v>916</v>
      </c>
      <c r="C514" t="s">
        <v>921</v>
      </c>
      <c r="D514" t="s">
        <v>1040</v>
      </c>
      <c r="E514">
        <v>223</v>
      </c>
      <c r="F514">
        <v>0</v>
      </c>
      <c r="G514">
        <v>0</v>
      </c>
      <c r="H514">
        <v>3394</v>
      </c>
      <c r="I514">
        <v>70</v>
      </c>
      <c r="J514">
        <v>3687</v>
      </c>
      <c r="K514">
        <f>COUNTIF(DF_Calculation!E:E,Table1[[#This Row],[ACS_CODE]])</f>
        <v>1</v>
      </c>
    </row>
    <row r="515" spans="1:11" x14ac:dyDescent="0.25">
      <c r="A515">
        <v>63227</v>
      </c>
      <c r="B515" t="s">
        <v>1270</v>
      </c>
      <c r="C515" t="s">
        <v>1332</v>
      </c>
      <c r="D515" t="s">
        <v>1970</v>
      </c>
      <c r="E515">
        <v>223</v>
      </c>
      <c r="F515">
        <v>0</v>
      </c>
      <c r="G515">
        <v>0</v>
      </c>
      <c r="H515">
        <v>594</v>
      </c>
      <c r="I515">
        <v>72</v>
      </c>
      <c r="J515">
        <v>889</v>
      </c>
      <c r="K515">
        <f>COUNTIF(DF_Calculation!E:E,Table1[[#This Row],[ACS_CODE]])</f>
        <v>1</v>
      </c>
    </row>
    <row r="516" spans="1:11" x14ac:dyDescent="0.25">
      <c r="A516">
        <v>33163</v>
      </c>
      <c r="B516" t="s">
        <v>919</v>
      </c>
      <c r="C516" t="s">
        <v>1297</v>
      </c>
      <c r="D516" t="s">
        <v>1971</v>
      </c>
      <c r="E516">
        <v>223</v>
      </c>
      <c r="F516">
        <v>0</v>
      </c>
      <c r="G516">
        <v>0</v>
      </c>
      <c r="H516">
        <v>717</v>
      </c>
      <c r="I516">
        <v>10</v>
      </c>
      <c r="J516">
        <v>950</v>
      </c>
      <c r="K516">
        <f>COUNTIF(DF_Calculation!E:E,Table1[[#This Row],[ACS_CODE]])</f>
        <v>1</v>
      </c>
    </row>
    <row r="517" spans="1:11" x14ac:dyDescent="0.25">
      <c r="A517">
        <v>51353</v>
      </c>
      <c r="B517" t="s">
        <v>1260</v>
      </c>
      <c r="C517" t="s">
        <v>1259</v>
      </c>
      <c r="D517" t="s">
        <v>1972</v>
      </c>
      <c r="E517">
        <v>221</v>
      </c>
      <c r="F517">
        <v>0</v>
      </c>
      <c r="G517">
        <v>0</v>
      </c>
      <c r="H517">
        <v>435</v>
      </c>
      <c r="I517">
        <v>2</v>
      </c>
      <c r="J517">
        <v>658</v>
      </c>
      <c r="K517">
        <f>COUNTIF(DF_Calculation!E:E,Table1[[#This Row],[ACS_CODE]])</f>
        <v>1</v>
      </c>
    </row>
    <row r="518" spans="1:11" x14ac:dyDescent="0.25">
      <c r="A518">
        <v>25347</v>
      </c>
      <c r="B518" t="s">
        <v>916</v>
      </c>
      <c r="C518" t="s">
        <v>1307</v>
      </c>
      <c r="D518" t="s">
        <v>1973</v>
      </c>
      <c r="E518">
        <v>220</v>
      </c>
      <c r="F518">
        <v>0</v>
      </c>
      <c r="G518">
        <v>0</v>
      </c>
      <c r="H518">
        <v>2729</v>
      </c>
      <c r="I518">
        <v>49</v>
      </c>
      <c r="J518">
        <v>2998</v>
      </c>
      <c r="K518">
        <f>COUNTIF(DF_Calculation!E:E,Table1[[#This Row],[ACS_CODE]])</f>
        <v>1</v>
      </c>
    </row>
    <row r="519" spans="1:11" x14ac:dyDescent="0.25">
      <c r="A519">
        <v>73175</v>
      </c>
      <c r="B519" t="s">
        <v>937</v>
      </c>
      <c r="C519" t="s">
        <v>1278</v>
      </c>
      <c r="D519" t="s">
        <v>1974</v>
      </c>
      <c r="E519">
        <v>218</v>
      </c>
      <c r="F519">
        <v>0</v>
      </c>
      <c r="G519">
        <v>0</v>
      </c>
      <c r="H519">
        <v>10</v>
      </c>
      <c r="J519">
        <v>228</v>
      </c>
      <c r="K519">
        <f>COUNTIF(DF_Calculation!E:E,Table1[[#This Row],[ACS_CODE]])</f>
        <v>1</v>
      </c>
    </row>
    <row r="520" spans="1:11" x14ac:dyDescent="0.25">
      <c r="A520">
        <v>35163</v>
      </c>
      <c r="B520" t="s">
        <v>991</v>
      </c>
      <c r="C520" t="s">
        <v>991</v>
      </c>
      <c r="D520" t="s">
        <v>1975</v>
      </c>
      <c r="E520">
        <v>214</v>
      </c>
      <c r="F520">
        <v>0</v>
      </c>
      <c r="G520">
        <v>0</v>
      </c>
      <c r="H520">
        <v>1052</v>
      </c>
      <c r="I520">
        <v>18</v>
      </c>
      <c r="J520">
        <v>1284</v>
      </c>
      <c r="K520">
        <f>COUNTIF(DF_Calculation!E:E,Table1[[#This Row],[ACS_CODE]])</f>
        <v>1</v>
      </c>
    </row>
    <row r="521" spans="1:11" x14ac:dyDescent="0.25">
      <c r="A521">
        <v>23433</v>
      </c>
      <c r="B521" t="s">
        <v>916</v>
      </c>
      <c r="C521" t="s">
        <v>921</v>
      </c>
      <c r="D521" t="s">
        <v>1320</v>
      </c>
      <c r="E521">
        <v>214</v>
      </c>
      <c r="F521">
        <v>0</v>
      </c>
      <c r="G521">
        <v>0</v>
      </c>
      <c r="H521">
        <v>2624</v>
      </c>
      <c r="I521">
        <v>1</v>
      </c>
      <c r="J521">
        <v>2839</v>
      </c>
      <c r="K521">
        <f>COUNTIF(DF_Calculation!E:E,Table1[[#This Row],[ACS_CODE]])</f>
        <v>1</v>
      </c>
    </row>
    <row r="522" spans="1:11" x14ac:dyDescent="0.25">
      <c r="A522">
        <v>36171</v>
      </c>
      <c r="B522" t="s">
        <v>919</v>
      </c>
      <c r="C522" t="s">
        <v>982</v>
      </c>
      <c r="D522" t="s">
        <v>1041</v>
      </c>
      <c r="E522">
        <v>213</v>
      </c>
      <c r="F522">
        <v>0</v>
      </c>
      <c r="G522">
        <v>0</v>
      </c>
      <c r="H522">
        <v>2213</v>
      </c>
      <c r="I522">
        <v>204</v>
      </c>
      <c r="J522">
        <v>2630</v>
      </c>
      <c r="K522">
        <f>COUNTIF(DF_Calculation!E:E,Table1[[#This Row],[ACS_CODE]])</f>
        <v>1</v>
      </c>
    </row>
    <row r="523" spans="1:11" x14ac:dyDescent="0.25">
      <c r="A523">
        <v>53271</v>
      </c>
      <c r="B523" t="s">
        <v>1201</v>
      </c>
      <c r="C523" t="s">
        <v>1266</v>
      </c>
      <c r="D523" t="s">
        <v>1976</v>
      </c>
      <c r="E523">
        <v>212</v>
      </c>
      <c r="F523">
        <v>0</v>
      </c>
      <c r="G523">
        <v>0</v>
      </c>
      <c r="H523">
        <v>1745</v>
      </c>
      <c r="I523">
        <v>75</v>
      </c>
      <c r="J523">
        <v>2032</v>
      </c>
      <c r="K523">
        <f>COUNTIF(DF_Calculation!E:E,Table1[[#This Row],[ACS_CODE]])</f>
        <v>1</v>
      </c>
    </row>
    <row r="524" spans="1:11" x14ac:dyDescent="0.25">
      <c r="A524">
        <v>22467</v>
      </c>
      <c r="B524" t="s">
        <v>916</v>
      </c>
      <c r="C524" t="s">
        <v>915</v>
      </c>
      <c r="D524" t="s">
        <v>1977</v>
      </c>
      <c r="E524">
        <v>212</v>
      </c>
      <c r="F524">
        <v>798</v>
      </c>
      <c r="G524">
        <v>23</v>
      </c>
      <c r="H524">
        <v>6610</v>
      </c>
      <c r="I524">
        <v>535</v>
      </c>
      <c r="J524">
        <v>8178</v>
      </c>
      <c r="K524">
        <f>COUNTIF(DF_Calculation!E:E,Table1[[#This Row],[ACS_CODE]])</f>
        <v>1</v>
      </c>
    </row>
    <row r="525" spans="1:11" x14ac:dyDescent="0.25">
      <c r="A525">
        <v>61439</v>
      </c>
      <c r="B525" t="s">
        <v>1270</v>
      </c>
      <c r="C525" t="s">
        <v>1288</v>
      </c>
      <c r="D525" t="s">
        <v>1978</v>
      </c>
      <c r="E525">
        <v>212</v>
      </c>
      <c r="F525">
        <v>0</v>
      </c>
      <c r="G525">
        <v>0</v>
      </c>
      <c r="H525">
        <v>1089</v>
      </c>
      <c r="I525">
        <v>7</v>
      </c>
      <c r="J525">
        <v>1308</v>
      </c>
      <c r="K525">
        <f>COUNTIF(DF_Calculation!E:E,Table1[[#This Row],[ACS_CODE]])</f>
        <v>1</v>
      </c>
    </row>
    <row r="526" spans="1:11" x14ac:dyDescent="0.25">
      <c r="A526">
        <v>71351</v>
      </c>
      <c r="B526" t="s">
        <v>937</v>
      </c>
      <c r="C526" t="s">
        <v>937</v>
      </c>
      <c r="D526" t="s">
        <v>1042</v>
      </c>
      <c r="E526">
        <v>211</v>
      </c>
      <c r="F526">
        <v>0</v>
      </c>
      <c r="G526">
        <v>0</v>
      </c>
      <c r="H526">
        <v>5982</v>
      </c>
      <c r="I526">
        <v>90</v>
      </c>
      <c r="J526">
        <v>6283</v>
      </c>
      <c r="K526">
        <f>COUNTIF(DF_Calculation!E:E,Table1[[#This Row],[ACS_CODE]])</f>
        <v>1</v>
      </c>
    </row>
    <row r="527" spans="1:11" x14ac:dyDescent="0.25">
      <c r="A527">
        <v>62259</v>
      </c>
      <c r="B527" t="s">
        <v>1270</v>
      </c>
      <c r="C527" t="s">
        <v>1269</v>
      </c>
      <c r="D527" t="s">
        <v>1979</v>
      </c>
      <c r="E527">
        <v>211</v>
      </c>
      <c r="F527">
        <v>261</v>
      </c>
      <c r="G527">
        <v>0</v>
      </c>
      <c r="H527">
        <v>1295</v>
      </c>
      <c r="I527">
        <v>66</v>
      </c>
      <c r="J527">
        <v>1833</v>
      </c>
      <c r="K527">
        <f>COUNTIF(DF_Calculation!E:E,Table1[[#This Row],[ACS_CODE]])</f>
        <v>1</v>
      </c>
    </row>
    <row r="528" spans="1:11" x14ac:dyDescent="0.25">
      <c r="A528">
        <v>23651</v>
      </c>
      <c r="B528" t="s">
        <v>916</v>
      </c>
      <c r="C528" t="s">
        <v>921</v>
      </c>
      <c r="D528" t="s">
        <v>1043</v>
      </c>
      <c r="E528">
        <v>208</v>
      </c>
      <c r="F528">
        <v>0</v>
      </c>
      <c r="G528">
        <v>0</v>
      </c>
      <c r="H528">
        <v>2918</v>
      </c>
      <c r="I528">
        <v>13</v>
      </c>
      <c r="J528">
        <v>3139</v>
      </c>
      <c r="K528">
        <f>COUNTIF(DF_Calculation!E:E,Table1[[#This Row],[ACS_CODE]])</f>
        <v>1</v>
      </c>
    </row>
    <row r="529" spans="1:11" x14ac:dyDescent="0.25">
      <c r="A529">
        <v>71321</v>
      </c>
      <c r="B529" t="s">
        <v>937</v>
      </c>
      <c r="C529" t="s">
        <v>937</v>
      </c>
      <c r="D529" t="s">
        <v>1044</v>
      </c>
      <c r="E529">
        <v>207</v>
      </c>
      <c r="F529">
        <v>0</v>
      </c>
      <c r="G529">
        <v>0</v>
      </c>
      <c r="H529">
        <v>3403</v>
      </c>
      <c r="J529">
        <v>3610</v>
      </c>
      <c r="K529">
        <f>COUNTIF(DF_Calculation!E:E,Table1[[#This Row],[ACS_CODE]])</f>
        <v>1</v>
      </c>
    </row>
    <row r="530" spans="1:11" x14ac:dyDescent="0.25">
      <c r="A530">
        <v>35445</v>
      </c>
      <c r="B530" t="s">
        <v>991</v>
      </c>
      <c r="C530" t="s">
        <v>991</v>
      </c>
      <c r="D530" t="s">
        <v>1321</v>
      </c>
      <c r="E530">
        <v>206</v>
      </c>
      <c r="F530">
        <v>0</v>
      </c>
      <c r="G530">
        <v>0</v>
      </c>
      <c r="H530">
        <v>568</v>
      </c>
      <c r="J530">
        <v>774</v>
      </c>
      <c r="K530">
        <f>COUNTIF(DF_Calculation!E:E,Table1[[#This Row],[ACS_CODE]])</f>
        <v>1</v>
      </c>
    </row>
    <row r="531" spans="1:11" x14ac:dyDescent="0.25">
      <c r="A531">
        <v>32147</v>
      </c>
      <c r="B531" t="s">
        <v>919</v>
      </c>
      <c r="C531" t="s">
        <v>934</v>
      </c>
      <c r="D531" t="s">
        <v>1045</v>
      </c>
      <c r="E531">
        <v>205</v>
      </c>
      <c r="F531">
        <v>0</v>
      </c>
      <c r="G531">
        <v>0</v>
      </c>
      <c r="H531">
        <v>1634</v>
      </c>
      <c r="I531">
        <v>105</v>
      </c>
      <c r="J531">
        <v>1944</v>
      </c>
      <c r="K531">
        <f>COUNTIF(DF_Calculation!E:E,Table1[[#This Row],[ACS_CODE]])</f>
        <v>1</v>
      </c>
    </row>
    <row r="532" spans="1:11" x14ac:dyDescent="0.25">
      <c r="A532">
        <v>23463</v>
      </c>
      <c r="B532" t="s">
        <v>916</v>
      </c>
      <c r="C532" t="s">
        <v>921</v>
      </c>
      <c r="D532" t="s">
        <v>1046</v>
      </c>
      <c r="E532">
        <v>204</v>
      </c>
      <c r="F532">
        <v>0</v>
      </c>
      <c r="G532">
        <v>0</v>
      </c>
      <c r="H532">
        <v>1553</v>
      </c>
      <c r="I532">
        <v>50</v>
      </c>
      <c r="J532">
        <v>1807</v>
      </c>
      <c r="K532">
        <f>COUNTIF(DF_Calculation!E:E,Table1[[#This Row],[ACS_CODE]])</f>
        <v>1</v>
      </c>
    </row>
    <row r="533" spans="1:11" x14ac:dyDescent="0.25">
      <c r="A533">
        <v>71261</v>
      </c>
      <c r="B533" t="s">
        <v>937</v>
      </c>
      <c r="C533" t="s">
        <v>937</v>
      </c>
      <c r="D533" t="s">
        <v>1047</v>
      </c>
      <c r="E533">
        <v>204</v>
      </c>
      <c r="F533">
        <v>0</v>
      </c>
      <c r="G533">
        <v>0</v>
      </c>
      <c r="H533">
        <v>2318</v>
      </c>
      <c r="I533">
        <v>15</v>
      </c>
      <c r="J533">
        <v>2537</v>
      </c>
      <c r="K533">
        <f>COUNTIF(DF_Calculation!E:E,Table1[[#This Row],[ACS_CODE]])</f>
        <v>1</v>
      </c>
    </row>
    <row r="534" spans="1:11" x14ac:dyDescent="0.25">
      <c r="A534">
        <v>52244</v>
      </c>
      <c r="B534" t="s">
        <v>1260</v>
      </c>
      <c r="C534" t="s">
        <v>1323</v>
      </c>
      <c r="D534" t="s">
        <v>1322</v>
      </c>
      <c r="E534">
        <v>204</v>
      </c>
      <c r="F534">
        <v>0</v>
      </c>
      <c r="G534">
        <v>0</v>
      </c>
      <c r="H534">
        <v>3491</v>
      </c>
      <c r="I534">
        <v>7</v>
      </c>
      <c r="J534">
        <v>3702</v>
      </c>
      <c r="K534">
        <f>COUNTIF(DF_Calculation!E:E,Table1[[#This Row],[ACS_CODE]])</f>
        <v>1</v>
      </c>
    </row>
    <row r="535" spans="1:11" x14ac:dyDescent="0.25">
      <c r="A535">
        <v>23459</v>
      </c>
      <c r="B535" t="s">
        <v>916</v>
      </c>
      <c r="C535" t="s">
        <v>921</v>
      </c>
      <c r="D535" t="s">
        <v>1048</v>
      </c>
      <c r="E535">
        <v>201</v>
      </c>
      <c r="F535">
        <v>0</v>
      </c>
      <c r="G535">
        <v>0</v>
      </c>
      <c r="H535">
        <v>1541</v>
      </c>
      <c r="I535">
        <v>30</v>
      </c>
      <c r="J535">
        <v>1772</v>
      </c>
      <c r="K535">
        <f>COUNTIF(DF_Calculation!E:E,Table1[[#This Row],[ACS_CODE]])</f>
        <v>1</v>
      </c>
    </row>
    <row r="536" spans="1:11" x14ac:dyDescent="0.25">
      <c r="A536">
        <v>25136</v>
      </c>
      <c r="B536" t="s">
        <v>916</v>
      </c>
      <c r="C536" t="s">
        <v>1307</v>
      </c>
      <c r="D536" t="s">
        <v>1980</v>
      </c>
      <c r="E536">
        <v>201</v>
      </c>
      <c r="F536">
        <v>0</v>
      </c>
      <c r="G536">
        <v>0</v>
      </c>
      <c r="H536">
        <v>7070</v>
      </c>
      <c r="I536">
        <v>629</v>
      </c>
      <c r="J536">
        <v>7900</v>
      </c>
      <c r="K536">
        <f>COUNTIF(DF_Calculation!E:E,Table1[[#This Row],[ACS_CODE]])</f>
        <v>1</v>
      </c>
    </row>
    <row r="537" spans="1:11" x14ac:dyDescent="0.25">
      <c r="A537">
        <v>21466</v>
      </c>
      <c r="B537" t="s">
        <v>916</v>
      </c>
      <c r="C537" t="s">
        <v>1275</v>
      </c>
      <c r="D537" t="s">
        <v>1981</v>
      </c>
      <c r="E537">
        <v>200</v>
      </c>
      <c r="F537">
        <v>0</v>
      </c>
      <c r="G537">
        <v>0</v>
      </c>
      <c r="H537">
        <v>698</v>
      </c>
      <c r="I537">
        <v>81</v>
      </c>
      <c r="J537">
        <v>979</v>
      </c>
      <c r="K537">
        <f>COUNTIF(DF_Calculation!E:E,Table1[[#This Row],[ACS_CODE]])</f>
        <v>1</v>
      </c>
    </row>
    <row r="538" spans="1:11" x14ac:dyDescent="0.25">
      <c r="A538">
        <v>23381</v>
      </c>
      <c r="B538" t="s">
        <v>916</v>
      </c>
      <c r="C538" t="s">
        <v>921</v>
      </c>
      <c r="D538" t="s">
        <v>1049</v>
      </c>
      <c r="E538">
        <v>200</v>
      </c>
      <c r="F538">
        <v>0</v>
      </c>
      <c r="G538">
        <v>0</v>
      </c>
      <c r="H538">
        <v>1220</v>
      </c>
      <c r="I538">
        <v>20</v>
      </c>
      <c r="J538">
        <v>1440</v>
      </c>
      <c r="K538">
        <f>COUNTIF(DF_Calculation!E:E,Table1[[#This Row],[ACS_CODE]])</f>
        <v>1</v>
      </c>
    </row>
    <row r="539" spans="1:11" x14ac:dyDescent="0.25">
      <c r="A539">
        <v>72119</v>
      </c>
      <c r="B539" t="s">
        <v>937</v>
      </c>
      <c r="C539" t="s">
        <v>1514</v>
      </c>
      <c r="D539" t="s">
        <v>1982</v>
      </c>
      <c r="E539">
        <v>199</v>
      </c>
      <c r="F539">
        <v>0</v>
      </c>
      <c r="G539">
        <v>0</v>
      </c>
      <c r="H539">
        <v>3120</v>
      </c>
      <c r="I539">
        <v>37</v>
      </c>
      <c r="J539">
        <v>3356</v>
      </c>
      <c r="K539">
        <f>COUNTIF(DF_Calculation!E:E,Table1[[#This Row],[ACS_CODE]])</f>
        <v>1</v>
      </c>
    </row>
    <row r="540" spans="1:11" x14ac:dyDescent="0.25">
      <c r="A540">
        <v>24375</v>
      </c>
      <c r="B540" t="s">
        <v>916</v>
      </c>
      <c r="C540" t="s">
        <v>1282</v>
      </c>
      <c r="D540" t="s">
        <v>1983</v>
      </c>
      <c r="E540">
        <v>198</v>
      </c>
      <c r="F540">
        <v>0</v>
      </c>
      <c r="G540">
        <v>0</v>
      </c>
      <c r="H540">
        <v>2180</v>
      </c>
      <c r="I540">
        <v>45</v>
      </c>
      <c r="J540">
        <v>2423</v>
      </c>
      <c r="K540">
        <f>COUNTIF(DF_Calculation!E:E,Table1[[#This Row],[ACS_CODE]])</f>
        <v>1</v>
      </c>
    </row>
    <row r="541" spans="1:11" x14ac:dyDescent="0.25">
      <c r="A541">
        <v>51377</v>
      </c>
      <c r="B541" t="s">
        <v>1260</v>
      </c>
      <c r="C541" t="s">
        <v>1259</v>
      </c>
      <c r="D541" t="s">
        <v>1984</v>
      </c>
      <c r="E541">
        <v>197</v>
      </c>
      <c r="F541">
        <v>0</v>
      </c>
      <c r="G541">
        <v>0</v>
      </c>
      <c r="H541">
        <v>1200</v>
      </c>
      <c r="I541">
        <v>35</v>
      </c>
      <c r="J541">
        <v>1432</v>
      </c>
      <c r="K541">
        <f>COUNTIF(DF_Calculation!E:E,Table1[[#This Row],[ACS_CODE]])</f>
        <v>1</v>
      </c>
    </row>
    <row r="542" spans="1:11" x14ac:dyDescent="0.25">
      <c r="A542">
        <v>22439</v>
      </c>
      <c r="B542" t="s">
        <v>916</v>
      </c>
      <c r="C542" t="s">
        <v>915</v>
      </c>
      <c r="D542" t="s">
        <v>1050</v>
      </c>
      <c r="E542">
        <v>196</v>
      </c>
      <c r="F542">
        <v>0</v>
      </c>
      <c r="G542">
        <v>0</v>
      </c>
      <c r="H542">
        <v>1811</v>
      </c>
      <c r="I542">
        <v>215</v>
      </c>
      <c r="J542">
        <v>2222</v>
      </c>
      <c r="K542">
        <f>COUNTIF(DF_Calculation!E:E,Table1[[#This Row],[ACS_CODE]])</f>
        <v>1</v>
      </c>
    </row>
    <row r="543" spans="1:11" x14ac:dyDescent="0.25">
      <c r="A543">
        <v>61347</v>
      </c>
      <c r="B543" t="s">
        <v>1270</v>
      </c>
      <c r="C543" t="s">
        <v>1288</v>
      </c>
      <c r="D543" t="s">
        <v>1985</v>
      </c>
      <c r="E543">
        <v>195</v>
      </c>
      <c r="F543">
        <v>1221</v>
      </c>
      <c r="G543">
        <v>0</v>
      </c>
      <c r="H543">
        <v>2497</v>
      </c>
      <c r="I543">
        <v>55</v>
      </c>
      <c r="J543">
        <v>3968</v>
      </c>
      <c r="K543">
        <f>COUNTIF(DF_Calculation!E:E,Table1[[#This Row],[ACS_CODE]])</f>
        <v>1</v>
      </c>
    </row>
    <row r="544" spans="1:11" x14ac:dyDescent="0.25">
      <c r="A544">
        <v>22731</v>
      </c>
      <c r="B544" t="s">
        <v>916</v>
      </c>
      <c r="C544" t="s">
        <v>915</v>
      </c>
      <c r="D544" t="s">
        <v>1051</v>
      </c>
      <c r="E544">
        <v>194</v>
      </c>
      <c r="F544">
        <v>0</v>
      </c>
      <c r="G544">
        <v>0</v>
      </c>
      <c r="H544">
        <v>1042</v>
      </c>
      <c r="I544">
        <v>11</v>
      </c>
      <c r="J544">
        <v>1247</v>
      </c>
      <c r="K544">
        <f>COUNTIF(DF_Calculation!E:E,Table1[[#This Row],[ACS_CODE]])</f>
        <v>1</v>
      </c>
    </row>
    <row r="545" spans="1:11" x14ac:dyDescent="0.25">
      <c r="A545">
        <v>26153</v>
      </c>
      <c r="B545" t="s">
        <v>916</v>
      </c>
      <c r="C545" t="s">
        <v>1295</v>
      </c>
      <c r="D545" t="s">
        <v>1986</v>
      </c>
      <c r="E545">
        <v>194</v>
      </c>
      <c r="F545">
        <v>0</v>
      </c>
      <c r="G545">
        <v>0</v>
      </c>
      <c r="H545">
        <v>1148</v>
      </c>
      <c r="I545">
        <v>66</v>
      </c>
      <c r="J545">
        <v>1408</v>
      </c>
      <c r="K545">
        <f>COUNTIF(DF_Calculation!E:E,Table1[[#This Row],[ACS_CODE]])</f>
        <v>1</v>
      </c>
    </row>
    <row r="546" spans="1:11" x14ac:dyDescent="0.25">
      <c r="A546">
        <v>24417</v>
      </c>
      <c r="B546" t="s">
        <v>916</v>
      </c>
      <c r="C546" t="s">
        <v>1282</v>
      </c>
      <c r="D546" t="s">
        <v>1987</v>
      </c>
      <c r="E546">
        <v>193</v>
      </c>
      <c r="F546">
        <v>0</v>
      </c>
      <c r="G546">
        <v>0</v>
      </c>
      <c r="H546">
        <v>1646</v>
      </c>
      <c r="I546">
        <v>10</v>
      </c>
      <c r="J546">
        <v>1849</v>
      </c>
      <c r="K546">
        <f>COUNTIF(DF_Calculation!E:E,Table1[[#This Row],[ACS_CODE]])</f>
        <v>1</v>
      </c>
    </row>
    <row r="547" spans="1:11" x14ac:dyDescent="0.25">
      <c r="A547">
        <v>32175</v>
      </c>
      <c r="B547" t="s">
        <v>919</v>
      </c>
      <c r="C547" t="s">
        <v>934</v>
      </c>
      <c r="D547" t="s">
        <v>1052</v>
      </c>
      <c r="E547">
        <v>193</v>
      </c>
      <c r="F547">
        <v>0</v>
      </c>
      <c r="G547">
        <v>0</v>
      </c>
      <c r="H547">
        <v>283</v>
      </c>
      <c r="I547">
        <v>2</v>
      </c>
      <c r="J547">
        <v>478</v>
      </c>
      <c r="K547">
        <f>COUNTIF(DF_Calculation!E:E,Table1[[#This Row],[ACS_CODE]])</f>
        <v>1</v>
      </c>
    </row>
    <row r="548" spans="1:11" x14ac:dyDescent="0.25">
      <c r="A548">
        <v>25319</v>
      </c>
      <c r="B548" t="s">
        <v>916</v>
      </c>
      <c r="C548" t="s">
        <v>1307</v>
      </c>
      <c r="D548" t="s">
        <v>1988</v>
      </c>
      <c r="E548">
        <v>192</v>
      </c>
      <c r="F548">
        <v>0</v>
      </c>
      <c r="G548">
        <v>0</v>
      </c>
      <c r="H548">
        <v>2984</v>
      </c>
      <c r="I548">
        <v>73</v>
      </c>
      <c r="J548">
        <v>3249</v>
      </c>
      <c r="K548">
        <f>COUNTIF(DF_Calculation!E:E,Table1[[#This Row],[ACS_CODE]])</f>
        <v>1</v>
      </c>
    </row>
    <row r="549" spans="1:11" x14ac:dyDescent="0.25">
      <c r="A549">
        <v>62293</v>
      </c>
      <c r="B549" t="s">
        <v>1270</v>
      </c>
      <c r="C549" t="s">
        <v>1269</v>
      </c>
      <c r="D549" t="s">
        <v>1989</v>
      </c>
      <c r="E549">
        <v>192</v>
      </c>
      <c r="F549">
        <v>0</v>
      </c>
      <c r="G549">
        <v>0</v>
      </c>
      <c r="H549">
        <v>701</v>
      </c>
      <c r="I549">
        <v>10</v>
      </c>
      <c r="J549">
        <v>903</v>
      </c>
      <c r="K549">
        <f>COUNTIF(DF_Calculation!E:E,Table1[[#This Row],[ACS_CODE]])</f>
        <v>1</v>
      </c>
    </row>
    <row r="550" spans="1:11" x14ac:dyDescent="0.25">
      <c r="A550">
        <v>33167</v>
      </c>
      <c r="B550" t="s">
        <v>919</v>
      </c>
      <c r="C550" t="s">
        <v>1297</v>
      </c>
      <c r="D550" t="s">
        <v>1990</v>
      </c>
      <c r="E550">
        <v>192</v>
      </c>
      <c r="F550">
        <v>0</v>
      </c>
      <c r="G550">
        <v>0</v>
      </c>
      <c r="H550">
        <v>417</v>
      </c>
      <c r="I550">
        <v>14</v>
      </c>
      <c r="J550">
        <v>623</v>
      </c>
      <c r="K550">
        <f>COUNTIF(DF_Calculation!E:E,Table1[[#This Row],[ACS_CODE]])</f>
        <v>1</v>
      </c>
    </row>
    <row r="551" spans="1:11" x14ac:dyDescent="0.25">
      <c r="A551">
        <v>22279</v>
      </c>
      <c r="B551" t="s">
        <v>916</v>
      </c>
      <c r="C551" t="s">
        <v>915</v>
      </c>
      <c r="D551" t="s">
        <v>1053</v>
      </c>
      <c r="E551">
        <v>191</v>
      </c>
      <c r="F551">
        <v>0</v>
      </c>
      <c r="G551">
        <v>0</v>
      </c>
      <c r="H551">
        <v>748</v>
      </c>
      <c r="I551">
        <v>276</v>
      </c>
      <c r="J551">
        <v>1215</v>
      </c>
      <c r="K551">
        <f>COUNTIF(DF_Calculation!E:E,Table1[[#This Row],[ACS_CODE]])</f>
        <v>1</v>
      </c>
    </row>
    <row r="552" spans="1:11" x14ac:dyDescent="0.25">
      <c r="A552">
        <v>37337</v>
      </c>
      <c r="B552" t="s">
        <v>919</v>
      </c>
      <c r="C552" t="s">
        <v>918</v>
      </c>
      <c r="D552" t="s">
        <v>1991</v>
      </c>
      <c r="E552">
        <v>191</v>
      </c>
      <c r="F552">
        <v>0</v>
      </c>
      <c r="G552">
        <v>0</v>
      </c>
      <c r="H552">
        <v>1971</v>
      </c>
      <c r="I552">
        <v>28</v>
      </c>
      <c r="J552">
        <v>2190</v>
      </c>
      <c r="K552">
        <f>COUNTIF(DF_Calculation!E:E,Table1[[#This Row],[ACS_CODE]])</f>
        <v>1</v>
      </c>
    </row>
    <row r="553" spans="1:11" x14ac:dyDescent="0.25">
      <c r="A553">
        <v>52116</v>
      </c>
      <c r="B553" t="s">
        <v>1260</v>
      </c>
      <c r="C553" t="s">
        <v>1323</v>
      </c>
      <c r="D553" t="s">
        <v>1992</v>
      </c>
      <c r="E553">
        <v>190</v>
      </c>
      <c r="F553">
        <v>0</v>
      </c>
      <c r="G553">
        <v>0</v>
      </c>
      <c r="H553">
        <v>1287</v>
      </c>
      <c r="I553">
        <v>15</v>
      </c>
      <c r="J553">
        <v>1492</v>
      </c>
      <c r="K553">
        <f>COUNTIF(DF_Calculation!E:E,Table1[[#This Row],[ACS_CODE]])</f>
        <v>1</v>
      </c>
    </row>
    <row r="554" spans="1:11" x14ac:dyDescent="0.25">
      <c r="A554">
        <v>32129</v>
      </c>
      <c r="B554" t="s">
        <v>919</v>
      </c>
      <c r="C554" t="s">
        <v>934</v>
      </c>
      <c r="D554" t="s">
        <v>1054</v>
      </c>
      <c r="E554">
        <v>189</v>
      </c>
      <c r="F554">
        <v>0</v>
      </c>
      <c r="G554">
        <v>0</v>
      </c>
      <c r="H554">
        <v>416</v>
      </c>
      <c r="I554">
        <v>8</v>
      </c>
      <c r="J554">
        <v>613</v>
      </c>
      <c r="K554">
        <f>COUNTIF(DF_Calculation!E:E,Table1[[#This Row],[ACS_CODE]])</f>
        <v>1</v>
      </c>
    </row>
    <row r="555" spans="1:11" x14ac:dyDescent="0.25">
      <c r="A555">
        <v>55164</v>
      </c>
      <c r="B555" t="s">
        <v>1260</v>
      </c>
      <c r="C555" t="s">
        <v>1291</v>
      </c>
      <c r="D555" t="s">
        <v>1993</v>
      </c>
      <c r="E555">
        <v>189</v>
      </c>
      <c r="F555">
        <v>0</v>
      </c>
      <c r="G555">
        <v>0</v>
      </c>
      <c r="H555">
        <v>1385</v>
      </c>
      <c r="I555">
        <v>11</v>
      </c>
      <c r="J555">
        <v>1585</v>
      </c>
      <c r="K555">
        <f>COUNTIF(DF_Calculation!E:E,Table1[[#This Row],[ACS_CODE]])</f>
        <v>1</v>
      </c>
    </row>
    <row r="556" spans="1:11" x14ac:dyDescent="0.25">
      <c r="A556">
        <v>62162</v>
      </c>
      <c r="B556" t="s">
        <v>1270</v>
      </c>
      <c r="C556" t="s">
        <v>1269</v>
      </c>
      <c r="D556" t="s">
        <v>1994</v>
      </c>
      <c r="E556">
        <v>189</v>
      </c>
      <c r="F556">
        <v>261</v>
      </c>
      <c r="G556">
        <v>0</v>
      </c>
      <c r="H556">
        <v>2680</v>
      </c>
      <c r="I556">
        <v>102</v>
      </c>
      <c r="J556">
        <v>3232</v>
      </c>
      <c r="K556">
        <f>COUNTIF(DF_Calculation!E:E,Table1[[#This Row],[ACS_CODE]])</f>
        <v>1</v>
      </c>
    </row>
    <row r="557" spans="1:11" x14ac:dyDescent="0.25">
      <c r="A557">
        <v>61111</v>
      </c>
      <c r="B557" t="s">
        <v>1270</v>
      </c>
      <c r="C557" t="s">
        <v>1288</v>
      </c>
      <c r="D557" t="s">
        <v>1995</v>
      </c>
      <c r="E557">
        <v>187</v>
      </c>
      <c r="F557">
        <v>539</v>
      </c>
      <c r="G557">
        <v>1530</v>
      </c>
      <c r="H557">
        <v>8354</v>
      </c>
      <c r="I557">
        <v>139</v>
      </c>
      <c r="J557">
        <v>10749</v>
      </c>
      <c r="K557">
        <f>COUNTIF(DF_Calculation!E:E,Table1[[#This Row],[ACS_CODE]])</f>
        <v>1</v>
      </c>
    </row>
    <row r="558" spans="1:11" x14ac:dyDescent="0.25">
      <c r="A558">
        <v>53375</v>
      </c>
      <c r="B558" t="s">
        <v>1201</v>
      </c>
      <c r="C558" t="s">
        <v>1266</v>
      </c>
      <c r="D558" t="s">
        <v>1996</v>
      </c>
      <c r="E558">
        <v>186</v>
      </c>
      <c r="F558">
        <v>0</v>
      </c>
      <c r="G558">
        <v>0</v>
      </c>
      <c r="H558">
        <v>795</v>
      </c>
      <c r="I558">
        <v>12</v>
      </c>
      <c r="J558">
        <v>993</v>
      </c>
      <c r="K558">
        <f>COUNTIF(DF_Calculation!E:E,Table1[[#This Row],[ACS_CODE]])</f>
        <v>1</v>
      </c>
    </row>
    <row r="559" spans="1:11" x14ac:dyDescent="0.25">
      <c r="A559">
        <v>62271</v>
      </c>
      <c r="B559" t="s">
        <v>1270</v>
      </c>
      <c r="C559" t="s">
        <v>1269</v>
      </c>
      <c r="D559" t="s">
        <v>1997</v>
      </c>
      <c r="E559">
        <v>186</v>
      </c>
      <c r="F559">
        <v>0</v>
      </c>
      <c r="G559">
        <v>0</v>
      </c>
      <c r="H559">
        <v>1764</v>
      </c>
      <c r="I559">
        <v>18</v>
      </c>
      <c r="J559">
        <v>1968</v>
      </c>
      <c r="K559">
        <f>COUNTIF(DF_Calculation!E:E,Table1[[#This Row],[ACS_CODE]])</f>
        <v>1</v>
      </c>
    </row>
    <row r="560" spans="1:11" x14ac:dyDescent="0.25">
      <c r="A560">
        <v>35324</v>
      </c>
      <c r="B560" t="s">
        <v>991</v>
      </c>
      <c r="C560" t="s">
        <v>991</v>
      </c>
      <c r="D560" t="s">
        <v>1998</v>
      </c>
      <c r="E560">
        <v>185</v>
      </c>
      <c r="F560">
        <v>0</v>
      </c>
      <c r="G560">
        <v>0</v>
      </c>
      <c r="H560">
        <v>1370</v>
      </c>
      <c r="J560">
        <v>1555</v>
      </c>
      <c r="K560">
        <f>COUNTIF(DF_Calculation!E:E,Table1[[#This Row],[ACS_CODE]])</f>
        <v>1</v>
      </c>
    </row>
    <row r="561" spans="1:11" x14ac:dyDescent="0.25">
      <c r="A561">
        <v>23219</v>
      </c>
      <c r="B561" t="s">
        <v>916</v>
      </c>
      <c r="C561" t="s">
        <v>921</v>
      </c>
      <c r="D561" t="s">
        <v>1055</v>
      </c>
      <c r="E561">
        <v>185</v>
      </c>
      <c r="F561">
        <v>0</v>
      </c>
      <c r="G561">
        <v>0</v>
      </c>
      <c r="H561">
        <v>2467</v>
      </c>
      <c r="I561">
        <v>60</v>
      </c>
      <c r="J561">
        <v>2712</v>
      </c>
      <c r="K561">
        <f>COUNTIF(DF_Calculation!E:E,Table1[[#This Row],[ACS_CODE]])</f>
        <v>1</v>
      </c>
    </row>
    <row r="562" spans="1:11" x14ac:dyDescent="0.25">
      <c r="A562">
        <v>32163</v>
      </c>
      <c r="B562" t="s">
        <v>919</v>
      </c>
      <c r="C562" t="s">
        <v>934</v>
      </c>
      <c r="D562" t="s">
        <v>1056</v>
      </c>
      <c r="E562">
        <v>185</v>
      </c>
      <c r="F562">
        <v>0</v>
      </c>
      <c r="G562">
        <v>0</v>
      </c>
      <c r="H562">
        <v>295</v>
      </c>
      <c r="J562">
        <v>480</v>
      </c>
      <c r="K562">
        <f>COUNTIF(DF_Calculation!E:E,Table1[[#This Row],[ACS_CODE]])</f>
        <v>1</v>
      </c>
    </row>
    <row r="563" spans="1:11" x14ac:dyDescent="0.25">
      <c r="A563">
        <v>53247</v>
      </c>
      <c r="B563" t="s">
        <v>1201</v>
      </c>
      <c r="C563" t="s">
        <v>1266</v>
      </c>
      <c r="D563" t="s">
        <v>1999</v>
      </c>
      <c r="E563">
        <v>184</v>
      </c>
      <c r="F563">
        <v>0</v>
      </c>
      <c r="G563">
        <v>0</v>
      </c>
      <c r="H563">
        <v>550</v>
      </c>
      <c r="I563">
        <v>5</v>
      </c>
      <c r="J563">
        <v>739</v>
      </c>
      <c r="K563">
        <f>COUNTIF(DF_Calculation!E:E,Table1[[#This Row],[ACS_CODE]])</f>
        <v>1</v>
      </c>
    </row>
    <row r="564" spans="1:11" x14ac:dyDescent="0.25">
      <c r="A564">
        <v>71266</v>
      </c>
      <c r="B564" t="s">
        <v>937</v>
      </c>
      <c r="C564" t="s">
        <v>937</v>
      </c>
      <c r="D564" t="s">
        <v>1057</v>
      </c>
      <c r="E564">
        <v>183</v>
      </c>
      <c r="F564">
        <v>0</v>
      </c>
      <c r="G564">
        <v>0</v>
      </c>
      <c r="H564">
        <v>2072</v>
      </c>
      <c r="I564">
        <v>65</v>
      </c>
      <c r="J564">
        <v>2320</v>
      </c>
      <c r="K564">
        <f>COUNTIF(DF_Calculation!E:E,Table1[[#This Row],[ACS_CODE]])</f>
        <v>1</v>
      </c>
    </row>
    <row r="565" spans="1:11" x14ac:dyDescent="0.25">
      <c r="A565">
        <v>25435</v>
      </c>
      <c r="B565" t="s">
        <v>916</v>
      </c>
      <c r="C565" t="s">
        <v>1307</v>
      </c>
      <c r="D565" t="s">
        <v>2000</v>
      </c>
      <c r="E565">
        <v>183</v>
      </c>
      <c r="F565">
        <v>0</v>
      </c>
      <c r="G565">
        <v>0</v>
      </c>
      <c r="H565">
        <v>1498</v>
      </c>
      <c r="I565">
        <v>66</v>
      </c>
      <c r="J565">
        <v>1747</v>
      </c>
      <c r="K565">
        <f>COUNTIF(DF_Calculation!E:E,Table1[[#This Row],[ACS_CODE]])</f>
        <v>1</v>
      </c>
    </row>
    <row r="566" spans="1:11" x14ac:dyDescent="0.25">
      <c r="A566">
        <v>51244</v>
      </c>
      <c r="B566" t="s">
        <v>1260</v>
      </c>
      <c r="C566" t="s">
        <v>1259</v>
      </c>
      <c r="D566" t="s">
        <v>2001</v>
      </c>
      <c r="E566">
        <v>183</v>
      </c>
      <c r="F566">
        <v>0</v>
      </c>
      <c r="G566">
        <v>0</v>
      </c>
      <c r="H566">
        <v>1086</v>
      </c>
      <c r="I566">
        <v>10</v>
      </c>
      <c r="J566">
        <v>1279</v>
      </c>
      <c r="K566">
        <f>COUNTIF(DF_Calculation!E:E,Table1[[#This Row],[ACS_CODE]])</f>
        <v>1</v>
      </c>
    </row>
    <row r="567" spans="1:11" x14ac:dyDescent="0.25">
      <c r="A567">
        <v>35139</v>
      </c>
      <c r="B567" t="s">
        <v>991</v>
      </c>
      <c r="C567" t="s">
        <v>991</v>
      </c>
      <c r="D567" t="s">
        <v>2002</v>
      </c>
      <c r="E567">
        <v>181</v>
      </c>
      <c r="F567">
        <v>0</v>
      </c>
      <c r="G567">
        <v>0</v>
      </c>
      <c r="H567">
        <v>1301</v>
      </c>
      <c r="I567">
        <v>5</v>
      </c>
      <c r="J567">
        <v>1487</v>
      </c>
      <c r="K567">
        <f>COUNTIF(DF_Calculation!E:E,Table1[[#This Row],[ACS_CODE]])</f>
        <v>1</v>
      </c>
    </row>
    <row r="568" spans="1:11" x14ac:dyDescent="0.25">
      <c r="A568">
        <v>25363</v>
      </c>
      <c r="B568" t="s">
        <v>916</v>
      </c>
      <c r="C568" t="s">
        <v>1307</v>
      </c>
      <c r="D568" t="s">
        <v>2003</v>
      </c>
      <c r="E568">
        <v>181</v>
      </c>
      <c r="F568">
        <v>0</v>
      </c>
      <c r="G568">
        <v>0</v>
      </c>
      <c r="H568">
        <v>1451</v>
      </c>
      <c r="J568">
        <v>1632</v>
      </c>
      <c r="K568">
        <f>COUNTIF(DF_Calculation!E:E,Table1[[#This Row],[ACS_CODE]])</f>
        <v>1</v>
      </c>
    </row>
    <row r="569" spans="1:11" x14ac:dyDescent="0.25">
      <c r="A569">
        <v>23469</v>
      </c>
      <c r="B569" t="s">
        <v>916</v>
      </c>
      <c r="C569" t="s">
        <v>921</v>
      </c>
      <c r="D569" t="s">
        <v>1058</v>
      </c>
      <c r="E569">
        <v>180</v>
      </c>
      <c r="F569">
        <v>0</v>
      </c>
      <c r="G569">
        <v>0</v>
      </c>
      <c r="H569">
        <v>2377</v>
      </c>
      <c r="I569">
        <v>20</v>
      </c>
      <c r="J569">
        <v>2577</v>
      </c>
      <c r="K569">
        <f>COUNTIF(DF_Calculation!E:E,Table1[[#This Row],[ACS_CODE]])</f>
        <v>1</v>
      </c>
    </row>
    <row r="570" spans="1:11" x14ac:dyDescent="0.25">
      <c r="A570">
        <v>10510</v>
      </c>
      <c r="B570" t="s">
        <v>1315</v>
      </c>
      <c r="C570" t="s">
        <v>1315</v>
      </c>
      <c r="D570" t="s">
        <v>2004</v>
      </c>
      <c r="E570">
        <v>178</v>
      </c>
      <c r="F570">
        <v>0</v>
      </c>
      <c r="G570">
        <v>0</v>
      </c>
      <c r="H570">
        <v>1862</v>
      </c>
      <c r="I570">
        <v>112</v>
      </c>
      <c r="J570">
        <v>2152</v>
      </c>
      <c r="K570">
        <f>COUNTIF(DF_Calculation!E:E,Table1[[#This Row],[ACS_CODE]])</f>
        <v>1</v>
      </c>
    </row>
    <row r="571" spans="1:11" x14ac:dyDescent="0.25">
      <c r="A571">
        <v>51173</v>
      </c>
      <c r="B571" t="s">
        <v>1260</v>
      </c>
      <c r="C571" t="s">
        <v>1259</v>
      </c>
      <c r="D571" t="s">
        <v>2005</v>
      </c>
      <c r="E571">
        <v>177</v>
      </c>
      <c r="F571">
        <v>0</v>
      </c>
      <c r="G571">
        <v>0</v>
      </c>
      <c r="H571">
        <v>1350</v>
      </c>
      <c r="I571">
        <v>25</v>
      </c>
      <c r="J571">
        <v>1552</v>
      </c>
      <c r="K571">
        <f>COUNTIF(DF_Calculation!E:E,Table1[[#This Row],[ACS_CODE]])</f>
        <v>1</v>
      </c>
    </row>
    <row r="572" spans="1:11" x14ac:dyDescent="0.25">
      <c r="A572">
        <v>71387</v>
      </c>
      <c r="B572" t="s">
        <v>937</v>
      </c>
      <c r="C572" t="s">
        <v>937</v>
      </c>
      <c r="D572" t="s">
        <v>1059</v>
      </c>
      <c r="E572">
        <v>176</v>
      </c>
      <c r="F572">
        <v>0</v>
      </c>
      <c r="G572">
        <v>0</v>
      </c>
      <c r="H572">
        <v>2091</v>
      </c>
      <c r="I572">
        <v>34</v>
      </c>
      <c r="J572">
        <v>2301</v>
      </c>
      <c r="K572">
        <f>COUNTIF(DF_Calculation!E:E,Table1[[#This Row],[ACS_CODE]])</f>
        <v>1</v>
      </c>
    </row>
    <row r="573" spans="1:11" x14ac:dyDescent="0.25">
      <c r="A573">
        <v>23461</v>
      </c>
      <c r="B573" t="s">
        <v>916</v>
      </c>
      <c r="C573" t="s">
        <v>921</v>
      </c>
      <c r="D573" t="s">
        <v>1324</v>
      </c>
      <c r="E573">
        <v>175</v>
      </c>
      <c r="F573">
        <v>0</v>
      </c>
      <c r="G573">
        <v>0</v>
      </c>
      <c r="H573">
        <v>1</v>
      </c>
      <c r="I573">
        <v>26</v>
      </c>
      <c r="J573">
        <v>202</v>
      </c>
      <c r="K573">
        <f>COUNTIF(DF_Calculation!E:E,Table1[[#This Row],[ACS_CODE]])</f>
        <v>1</v>
      </c>
    </row>
    <row r="574" spans="1:11" x14ac:dyDescent="0.25">
      <c r="A574">
        <v>51241</v>
      </c>
      <c r="B574" t="s">
        <v>1260</v>
      </c>
      <c r="C574" t="s">
        <v>1259</v>
      </c>
      <c r="D574" t="s">
        <v>2006</v>
      </c>
      <c r="E574">
        <v>175</v>
      </c>
      <c r="F574">
        <v>0</v>
      </c>
      <c r="G574">
        <v>0</v>
      </c>
      <c r="H574">
        <v>1094</v>
      </c>
      <c r="I574">
        <v>25</v>
      </c>
      <c r="J574">
        <v>1294</v>
      </c>
      <c r="K574">
        <f>COUNTIF(DF_Calculation!E:E,Table1[[#This Row],[ACS_CODE]])</f>
        <v>1</v>
      </c>
    </row>
    <row r="575" spans="1:11" x14ac:dyDescent="0.25">
      <c r="A575">
        <v>33141</v>
      </c>
      <c r="B575" t="s">
        <v>919</v>
      </c>
      <c r="C575" t="s">
        <v>1297</v>
      </c>
      <c r="D575" t="s">
        <v>2007</v>
      </c>
      <c r="E575">
        <v>175</v>
      </c>
      <c r="F575">
        <v>0</v>
      </c>
      <c r="G575">
        <v>0</v>
      </c>
      <c r="H575">
        <v>874</v>
      </c>
      <c r="I575">
        <v>5</v>
      </c>
      <c r="J575">
        <v>1054</v>
      </c>
      <c r="K575">
        <f>COUNTIF(DF_Calculation!E:E,Table1[[#This Row],[ACS_CODE]])</f>
        <v>1</v>
      </c>
    </row>
    <row r="576" spans="1:11" x14ac:dyDescent="0.25">
      <c r="A576">
        <v>22343</v>
      </c>
      <c r="B576" t="s">
        <v>916</v>
      </c>
      <c r="C576" t="s">
        <v>915</v>
      </c>
      <c r="D576" t="s">
        <v>1325</v>
      </c>
      <c r="E576">
        <v>174</v>
      </c>
      <c r="F576">
        <v>0</v>
      </c>
      <c r="G576">
        <v>0</v>
      </c>
      <c r="H576">
        <v>3033</v>
      </c>
      <c r="I576">
        <v>471</v>
      </c>
      <c r="J576">
        <v>3678</v>
      </c>
      <c r="K576">
        <f>COUNTIF(DF_Calculation!E:E,Table1[[#This Row],[ACS_CODE]])</f>
        <v>1</v>
      </c>
    </row>
    <row r="577" spans="1:11" x14ac:dyDescent="0.25">
      <c r="A577">
        <v>72221</v>
      </c>
      <c r="B577" t="s">
        <v>937</v>
      </c>
      <c r="C577" t="s">
        <v>1514</v>
      </c>
      <c r="D577" t="s">
        <v>2008</v>
      </c>
      <c r="E577">
        <v>173</v>
      </c>
      <c r="F577">
        <v>0</v>
      </c>
      <c r="G577">
        <v>0</v>
      </c>
      <c r="H577">
        <v>1263</v>
      </c>
      <c r="I577">
        <v>20</v>
      </c>
      <c r="J577">
        <v>1456</v>
      </c>
      <c r="K577">
        <f>COUNTIF(DF_Calculation!E:E,Table1[[#This Row],[ACS_CODE]])</f>
        <v>1</v>
      </c>
    </row>
    <row r="578" spans="1:11" x14ac:dyDescent="0.25">
      <c r="A578">
        <v>35158</v>
      </c>
      <c r="B578" t="s">
        <v>991</v>
      </c>
      <c r="C578" t="s">
        <v>991</v>
      </c>
      <c r="D578" t="s">
        <v>1326</v>
      </c>
      <c r="E578">
        <v>171</v>
      </c>
      <c r="F578">
        <v>0</v>
      </c>
      <c r="G578">
        <v>0</v>
      </c>
      <c r="H578">
        <v>984</v>
      </c>
      <c r="I578">
        <v>10</v>
      </c>
      <c r="J578">
        <v>1165</v>
      </c>
      <c r="K578">
        <f>COUNTIF(DF_Calculation!E:E,Table1[[#This Row],[ACS_CODE]])</f>
        <v>1</v>
      </c>
    </row>
    <row r="579" spans="1:11" x14ac:dyDescent="0.25">
      <c r="A579">
        <v>34263</v>
      </c>
      <c r="B579" t="s">
        <v>919</v>
      </c>
      <c r="C579" t="s">
        <v>931</v>
      </c>
      <c r="D579" t="s">
        <v>1060</v>
      </c>
      <c r="E579">
        <v>171</v>
      </c>
      <c r="F579">
        <v>0</v>
      </c>
      <c r="G579">
        <v>0</v>
      </c>
      <c r="H579">
        <v>856</v>
      </c>
      <c r="I579">
        <v>5</v>
      </c>
      <c r="J579">
        <v>1032</v>
      </c>
      <c r="K579">
        <f>COUNTIF(DF_Calculation!E:E,Table1[[#This Row],[ACS_CODE]])</f>
        <v>1</v>
      </c>
    </row>
    <row r="580" spans="1:11" x14ac:dyDescent="0.25">
      <c r="A580">
        <v>23423</v>
      </c>
      <c r="B580" t="s">
        <v>916</v>
      </c>
      <c r="C580" t="s">
        <v>921</v>
      </c>
      <c r="D580" t="s">
        <v>1061</v>
      </c>
      <c r="E580">
        <v>169</v>
      </c>
      <c r="F580">
        <v>0</v>
      </c>
      <c r="G580">
        <v>0</v>
      </c>
      <c r="H580">
        <v>2259</v>
      </c>
      <c r="I580">
        <v>19</v>
      </c>
      <c r="J580">
        <v>2447</v>
      </c>
      <c r="K580">
        <f>COUNTIF(DF_Calculation!E:E,Table1[[#This Row],[ACS_CODE]])</f>
        <v>1</v>
      </c>
    </row>
    <row r="581" spans="1:11" x14ac:dyDescent="0.25">
      <c r="A581">
        <v>22551</v>
      </c>
      <c r="B581" t="s">
        <v>916</v>
      </c>
      <c r="C581" t="s">
        <v>915</v>
      </c>
      <c r="D581" t="s">
        <v>1062</v>
      </c>
      <c r="E581">
        <v>168</v>
      </c>
      <c r="F581">
        <v>0</v>
      </c>
      <c r="G581">
        <v>0</v>
      </c>
      <c r="H581">
        <v>1071</v>
      </c>
      <c r="I581">
        <v>42</v>
      </c>
      <c r="J581">
        <v>1281</v>
      </c>
      <c r="K581">
        <f>COUNTIF(DF_Calculation!E:E,Table1[[#This Row],[ACS_CODE]])</f>
        <v>1</v>
      </c>
    </row>
    <row r="582" spans="1:11" x14ac:dyDescent="0.25">
      <c r="A582">
        <v>53264</v>
      </c>
      <c r="B582" t="s">
        <v>1201</v>
      </c>
      <c r="C582" t="s">
        <v>1266</v>
      </c>
      <c r="D582" t="s">
        <v>2009</v>
      </c>
      <c r="E582">
        <v>167</v>
      </c>
      <c r="F582">
        <v>0</v>
      </c>
      <c r="G582">
        <v>0</v>
      </c>
      <c r="H582">
        <v>1339</v>
      </c>
      <c r="I582">
        <v>4</v>
      </c>
      <c r="J582">
        <v>1510</v>
      </c>
      <c r="K582">
        <f>COUNTIF(DF_Calculation!E:E,Table1[[#This Row],[ACS_CODE]])</f>
        <v>1</v>
      </c>
    </row>
    <row r="583" spans="1:11" x14ac:dyDescent="0.25">
      <c r="A583">
        <v>23588</v>
      </c>
      <c r="B583" t="s">
        <v>916</v>
      </c>
      <c r="C583" t="s">
        <v>921</v>
      </c>
      <c r="D583" t="s">
        <v>1063</v>
      </c>
      <c r="E583">
        <v>167</v>
      </c>
      <c r="F583">
        <v>0</v>
      </c>
      <c r="G583">
        <v>0</v>
      </c>
      <c r="H583">
        <v>1051</v>
      </c>
      <c r="J583">
        <v>1218</v>
      </c>
      <c r="K583">
        <f>COUNTIF(DF_Calculation!E:E,Table1[[#This Row],[ACS_CODE]])</f>
        <v>1</v>
      </c>
    </row>
    <row r="584" spans="1:11" x14ac:dyDescent="0.25">
      <c r="A584">
        <v>21243</v>
      </c>
      <c r="B584" t="s">
        <v>916</v>
      </c>
      <c r="C584" t="s">
        <v>1275</v>
      </c>
      <c r="D584" t="s">
        <v>2010</v>
      </c>
      <c r="E584">
        <v>166</v>
      </c>
      <c r="F584">
        <v>0</v>
      </c>
      <c r="G584">
        <v>0</v>
      </c>
      <c r="H584">
        <v>1511</v>
      </c>
      <c r="I584">
        <v>330</v>
      </c>
      <c r="J584">
        <v>2007</v>
      </c>
      <c r="K584">
        <f>COUNTIF(DF_Calculation!E:E,Table1[[#This Row],[ACS_CODE]])</f>
        <v>1</v>
      </c>
    </row>
    <row r="585" spans="1:11" x14ac:dyDescent="0.25">
      <c r="A585">
        <v>37261</v>
      </c>
      <c r="B585" t="s">
        <v>919</v>
      </c>
      <c r="C585" t="s">
        <v>918</v>
      </c>
      <c r="D585" t="s">
        <v>1064</v>
      </c>
      <c r="E585">
        <v>165</v>
      </c>
      <c r="F585">
        <v>0</v>
      </c>
      <c r="G585">
        <v>0</v>
      </c>
      <c r="H585">
        <v>2003</v>
      </c>
      <c r="I585">
        <v>10</v>
      </c>
      <c r="J585">
        <v>2178</v>
      </c>
      <c r="K585">
        <f>COUNTIF(DF_Calculation!E:E,Table1[[#This Row],[ACS_CODE]])</f>
        <v>1</v>
      </c>
    </row>
    <row r="586" spans="1:11" x14ac:dyDescent="0.25">
      <c r="A586">
        <v>72251</v>
      </c>
      <c r="B586" t="s">
        <v>937</v>
      </c>
      <c r="C586" t="s">
        <v>1514</v>
      </c>
      <c r="D586" t="s">
        <v>2011</v>
      </c>
      <c r="E586">
        <v>164</v>
      </c>
      <c r="F586">
        <v>0</v>
      </c>
      <c r="G586">
        <v>0</v>
      </c>
      <c r="H586">
        <v>255</v>
      </c>
      <c r="I586">
        <v>15</v>
      </c>
      <c r="J586">
        <v>434</v>
      </c>
      <c r="K586">
        <f>COUNTIF(DF_Calculation!E:E,Table1[[#This Row],[ACS_CODE]])</f>
        <v>1</v>
      </c>
    </row>
    <row r="587" spans="1:11" x14ac:dyDescent="0.25">
      <c r="A587">
        <v>71226</v>
      </c>
      <c r="B587" t="s">
        <v>937</v>
      </c>
      <c r="C587" t="s">
        <v>937</v>
      </c>
      <c r="D587" t="s">
        <v>1065</v>
      </c>
      <c r="E587">
        <v>164</v>
      </c>
      <c r="F587">
        <v>0</v>
      </c>
      <c r="G587">
        <v>0</v>
      </c>
      <c r="H587">
        <v>2895</v>
      </c>
      <c r="I587">
        <v>10</v>
      </c>
      <c r="J587">
        <v>3069</v>
      </c>
      <c r="K587">
        <f>COUNTIF(DF_Calculation!E:E,Table1[[#This Row],[ACS_CODE]])</f>
        <v>1</v>
      </c>
    </row>
    <row r="588" spans="1:11" x14ac:dyDescent="0.25">
      <c r="A588">
        <v>35223</v>
      </c>
      <c r="B588" t="s">
        <v>991</v>
      </c>
      <c r="C588" t="s">
        <v>991</v>
      </c>
      <c r="D588" t="s">
        <v>1327</v>
      </c>
      <c r="E588">
        <v>163</v>
      </c>
      <c r="F588">
        <v>0</v>
      </c>
      <c r="G588">
        <v>0</v>
      </c>
      <c r="H588">
        <v>311</v>
      </c>
      <c r="I588">
        <v>26</v>
      </c>
      <c r="J588">
        <v>500</v>
      </c>
      <c r="K588">
        <f>COUNTIF(DF_Calculation!E:E,Table1[[#This Row],[ACS_CODE]])</f>
        <v>1</v>
      </c>
    </row>
    <row r="589" spans="1:11" x14ac:dyDescent="0.25">
      <c r="A589">
        <v>35518</v>
      </c>
      <c r="B589" t="s">
        <v>991</v>
      </c>
      <c r="C589" t="s">
        <v>991</v>
      </c>
      <c r="D589" t="s">
        <v>1328</v>
      </c>
      <c r="E589">
        <v>162</v>
      </c>
      <c r="F589">
        <v>0</v>
      </c>
      <c r="G589">
        <v>0</v>
      </c>
      <c r="H589">
        <v>666</v>
      </c>
      <c r="J589">
        <v>828</v>
      </c>
      <c r="K589">
        <f>COUNTIF(DF_Calculation!E:E,Table1[[#This Row],[ACS_CODE]])</f>
        <v>1</v>
      </c>
    </row>
    <row r="590" spans="1:11" x14ac:dyDescent="0.25">
      <c r="A590">
        <v>23577</v>
      </c>
      <c r="B590" t="s">
        <v>916</v>
      </c>
      <c r="C590" t="s">
        <v>921</v>
      </c>
      <c r="D590" t="s">
        <v>1066</v>
      </c>
      <c r="E590">
        <v>162</v>
      </c>
      <c r="F590">
        <v>0</v>
      </c>
      <c r="G590">
        <v>0</v>
      </c>
      <c r="H590">
        <v>3420</v>
      </c>
      <c r="I590">
        <v>20</v>
      </c>
      <c r="J590">
        <v>3602</v>
      </c>
      <c r="K590">
        <f>COUNTIF(DF_Calculation!E:E,Table1[[#This Row],[ACS_CODE]])</f>
        <v>1</v>
      </c>
    </row>
    <row r="591" spans="1:11" x14ac:dyDescent="0.25">
      <c r="A591">
        <v>24323</v>
      </c>
      <c r="B591" t="s">
        <v>916</v>
      </c>
      <c r="C591" t="s">
        <v>1282</v>
      </c>
      <c r="D591" t="s">
        <v>2012</v>
      </c>
      <c r="E591">
        <v>160</v>
      </c>
      <c r="F591">
        <v>0</v>
      </c>
      <c r="G591">
        <v>0</v>
      </c>
      <c r="H591">
        <v>1226</v>
      </c>
      <c r="I591">
        <v>22</v>
      </c>
      <c r="J591">
        <v>1408</v>
      </c>
      <c r="K591">
        <f>COUNTIF(DF_Calculation!E:E,Table1[[#This Row],[ACS_CODE]])</f>
        <v>1</v>
      </c>
    </row>
    <row r="592" spans="1:11" x14ac:dyDescent="0.25">
      <c r="A592">
        <v>51151</v>
      </c>
      <c r="B592" t="s">
        <v>1260</v>
      </c>
      <c r="C592" t="s">
        <v>1259</v>
      </c>
      <c r="D592" t="s">
        <v>2013</v>
      </c>
      <c r="E592">
        <v>160</v>
      </c>
      <c r="F592">
        <v>0</v>
      </c>
      <c r="G592">
        <v>0</v>
      </c>
      <c r="H592">
        <v>537</v>
      </c>
      <c r="I592">
        <v>20</v>
      </c>
      <c r="J592">
        <v>717</v>
      </c>
      <c r="K592">
        <f>COUNTIF(DF_Calculation!E:E,Table1[[#This Row],[ACS_CODE]])</f>
        <v>1</v>
      </c>
    </row>
    <row r="593" spans="1:11" x14ac:dyDescent="0.25">
      <c r="A593">
        <v>35245</v>
      </c>
      <c r="B593" t="s">
        <v>991</v>
      </c>
      <c r="C593" t="s">
        <v>991</v>
      </c>
      <c r="D593" t="s">
        <v>2014</v>
      </c>
      <c r="E593">
        <v>159</v>
      </c>
      <c r="F593">
        <v>0</v>
      </c>
      <c r="G593">
        <v>0</v>
      </c>
      <c r="H593">
        <v>697</v>
      </c>
      <c r="I593">
        <v>4</v>
      </c>
      <c r="J593">
        <v>860</v>
      </c>
      <c r="K593">
        <f>COUNTIF(DF_Calculation!E:E,Table1[[#This Row],[ACS_CODE]])</f>
        <v>1</v>
      </c>
    </row>
    <row r="594" spans="1:11" x14ac:dyDescent="0.25">
      <c r="A594">
        <v>61477</v>
      </c>
      <c r="B594" t="s">
        <v>1270</v>
      </c>
      <c r="C594" t="s">
        <v>1288</v>
      </c>
      <c r="D594" t="s">
        <v>2015</v>
      </c>
      <c r="E594">
        <v>158</v>
      </c>
      <c r="F594">
        <v>0</v>
      </c>
      <c r="G594">
        <v>0</v>
      </c>
      <c r="H594">
        <v>794</v>
      </c>
      <c r="I594">
        <v>61</v>
      </c>
      <c r="J594">
        <v>1013</v>
      </c>
      <c r="K594">
        <f>COUNTIF(DF_Calculation!E:E,Table1[[#This Row],[ACS_CODE]])</f>
        <v>1</v>
      </c>
    </row>
    <row r="595" spans="1:11" x14ac:dyDescent="0.25">
      <c r="A595">
        <v>62297</v>
      </c>
      <c r="B595" t="s">
        <v>1270</v>
      </c>
      <c r="C595" t="s">
        <v>1269</v>
      </c>
      <c r="D595" t="s">
        <v>2016</v>
      </c>
      <c r="E595">
        <v>158</v>
      </c>
      <c r="F595">
        <v>0</v>
      </c>
      <c r="G595">
        <v>0</v>
      </c>
      <c r="H595">
        <v>927</v>
      </c>
      <c r="J595">
        <v>1085</v>
      </c>
      <c r="K595">
        <f>COUNTIF(DF_Calculation!E:E,Table1[[#This Row],[ACS_CODE]])</f>
        <v>1</v>
      </c>
    </row>
    <row r="596" spans="1:11" x14ac:dyDescent="0.25">
      <c r="A596">
        <v>26284</v>
      </c>
      <c r="B596" t="s">
        <v>916</v>
      </c>
      <c r="C596" t="s">
        <v>1295</v>
      </c>
      <c r="D596" t="s">
        <v>1329</v>
      </c>
      <c r="E596">
        <v>157</v>
      </c>
      <c r="F596">
        <v>0</v>
      </c>
      <c r="G596">
        <v>0</v>
      </c>
      <c r="H596">
        <v>1442</v>
      </c>
      <c r="I596">
        <v>128</v>
      </c>
      <c r="J596">
        <v>1727</v>
      </c>
      <c r="K596">
        <f>COUNTIF(DF_Calculation!E:E,Table1[[#This Row],[ACS_CODE]])</f>
        <v>1</v>
      </c>
    </row>
    <row r="597" spans="1:11" x14ac:dyDescent="0.25">
      <c r="A597">
        <v>63274</v>
      </c>
      <c r="B597" t="s">
        <v>1270</v>
      </c>
      <c r="C597" t="s">
        <v>1332</v>
      </c>
      <c r="D597" t="s">
        <v>2017</v>
      </c>
      <c r="E597">
        <v>156</v>
      </c>
      <c r="F597">
        <v>0</v>
      </c>
      <c r="G597">
        <v>0</v>
      </c>
      <c r="H597">
        <v>594</v>
      </c>
      <c r="I597">
        <v>6</v>
      </c>
      <c r="J597">
        <v>756</v>
      </c>
      <c r="K597">
        <f>COUNTIF(DF_Calculation!E:E,Table1[[#This Row],[ACS_CODE]])</f>
        <v>1</v>
      </c>
    </row>
    <row r="598" spans="1:11" x14ac:dyDescent="0.25">
      <c r="A598">
        <v>33259</v>
      </c>
      <c r="B598" t="s">
        <v>919</v>
      </c>
      <c r="C598" t="s">
        <v>1297</v>
      </c>
      <c r="D598" t="s">
        <v>2018</v>
      </c>
      <c r="E598">
        <v>156</v>
      </c>
      <c r="F598">
        <v>0</v>
      </c>
      <c r="G598">
        <v>0</v>
      </c>
      <c r="H598">
        <v>1227</v>
      </c>
      <c r="J598">
        <v>1383</v>
      </c>
      <c r="K598">
        <f>COUNTIF(DF_Calculation!E:E,Table1[[#This Row],[ACS_CODE]])</f>
        <v>1</v>
      </c>
    </row>
    <row r="599" spans="1:11" x14ac:dyDescent="0.25">
      <c r="A599">
        <v>23615</v>
      </c>
      <c r="B599" t="s">
        <v>916</v>
      </c>
      <c r="C599" t="s">
        <v>921</v>
      </c>
      <c r="D599" t="s">
        <v>1067</v>
      </c>
      <c r="E599">
        <v>152</v>
      </c>
      <c r="F599">
        <v>0</v>
      </c>
      <c r="G599">
        <v>0</v>
      </c>
      <c r="H599">
        <v>1534</v>
      </c>
      <c r="I599">
        <v>8</v>
      </c>
      <c r="J599">
        <v>1694</v>
      </c>
      <c r="K599">
        <f>COUNTIF(DF_Calculation!E:E,Table1[[#This Row],[ACS_CODE]])</f>
        <v>1</v>
      </c>
    </row>
    <row r="600" spans="1:11" x14ac:dyDescent="0.25">
      <c r="A600">
        <v>23679</v>
      </c>
      <c r="B600" t="s">
        <v>916</v>
      </c>
      <c r="C600" t="s">
        <v>921</v>
      </c>
      <c r="D600" t="s">
        <v>1068</v>
      </c>
      <c r="E600">
        <v>151</v>
      </c>
      <c r="F600">
        <v>0</v>
      </c>
      <c r="G600">
        <v>0</v>
      </c>
      <c r="H600">
        <v>3591</v>
      </c>
      <c r="I600">
        <v>45</v>
      </c>
      <c r="J600">
        <v>3787</v>
      </c>
      <c r="K600">
        <f>COUNTIF(DF_Calculation!E:E,Table1[[#This Row],[ACS_CODE]])</f>
        <v>1</v>
      </c>
    </row>
    <row r="601" spans="1:11" x14ac:dyDescent="0.25">
      <c r="A601">
        <v>61415</v>
      </c>
      <c r="B601" t="s">
        <v>1270</v>
      </c>
      <c r="C601" t="s">
        <v>1288</v>
      </c>
      <c r="D601" t="s">
        <v>1330</v>
      </c>
      <c r="E601">
        <v>151</v>
      </c>
      <c r="F601">
        <v>0</v>
      </c>
      <c r="G601">
        <v>0</v>
      </c>
      <c r="H601">
        <v>354</v>
      </c>
      <c r="I601">
        <v>25</v>
      </c>
      <c r="J601">
        <v>530</v>
      </c>
      <c r="K601">
        <f>COUNTIF(DF_Calculation!E:E,Table1[[#This Row],[ACS_CODE]])</f>
        <v>1</v>
      </c>
    </row>
    <row r="602" spans="1:11" x14ac:dyDescent="0.25">
      <c r="A602">
        <v>37333</v>
      </c>
      <c r="B602" t="s">
        <v>919</v>
      </c>
      <c r="C602" t="s">
        <v>918</v>
      </c>
      <c r="D602" t="s">
        <v>1069</v>
      </c>
      <c r="E602">
        <v>150</v>
      </c>
      <c r="F602">
        <v>0</v>
      </c>
      <c r="G602">
        <v>0</v>
      </c>
      <c r="H602">
        <v>799</v>
      </c>
      <c r="J602">
        <v>949</v>
      </c>
      <c r="K602">
        <f>COUNTIF(DF_Calculation!E:E,Table1[[#This Row],[ACS_CODE]])</f>
        <v>1</v>
      </c>
    </row>
    <row r="603" spans="1:11" x14ac:dyDescent="0.25">
      <c r="A603">
        <v>63167</v>
      </c>
      <c r="B603" t="s">
        <v>1270</v>
      </c>
      <c r="C603" t="s">
        <v>1332</v>
      </c>
      <c r="D603" t="s">
        <v>2019</v>
      </c>
      <c r="E603">
        <v>150</v>
      </c>
      <c r="F603">
        <v>0</v>
      </c>
      <c r="G603">
        <v>0</v>
      </c>
      <c r="H603">
        <v>1821</v>
      </c>
      <c r="I603">
        <v>10</v>
      </c>
      <c r="J603">
        <v>1981</v>
      </c>
      <c r="K603">
        <f>COUNTIF(DF_Calculation!E:E,Table1[[#This Row],[ACS_CODE]])</f>
        <v>1</v>
      </c>
    </row>
    <row r="604" spans="1:11" x14ac:dyDescent="0.25">
      <c r="A604">
        <v>24321</v>
      </c>
      <c r="B604" t="s">
        <v>916</v>
      </c>
      <c r="C604" t="s">
        <v>1282</v>
      </c>
      <c r="D604" t="s">
        <v>2020</v>
      </c>
      <c r="E604">
        <v>149</v>
      </c>
      <c r="F604">
        <v>0</v>
      </c>
      <c r="G604">
        <v>0</v>
      </c>
      <c r="H604">
        <v>587</v>
      </c>
      <c r="I604">
        <v>100</v>
      </c>
      <c r="J604">
        <v>836</v>
      </c>
      <c r="K604">
        <f>COUNTIF(DF_Calculation!E:E,Table1[[#This Row],[ACS_CODE]])</f>
        <v>1</v>
      </c>
    </row>
    <row r="605" spans="1:11" x14ac:dyDescent="0.25">
      <c r="A605">
        <v>54119</v>
      </c>
      <c r="B605" t="s">
        <v>1201</v>
      </c>
      <c r="C605" t="s">
        <v>1200</v>
      </c>
      <c r="D605" t="s">
        <v>2021</v>
      </c>
      <c r="E605">
        <v>149</v>
      </c>
      <c r="F605">
        <v>0</v>
      </c>
      <c r="G605">
        <v>0</v>
      </c>
      <c r="H605">
        <v>864</v>
      </c>
      <c r="J605">
        <v>1013</v>
      </c>
      <c r="K605">
        <f>COUNTIF(DF_Calculation!E:E,Table1[[#This Row],[ACS_CODE]])</f>
        <v>1</v>
      </c>
    </row>
    <row r="606" spans="1:11" x14ac:dyDescent="0.25">
      <c r="A606">
        <v>74160</v>
      </c>
      <c r="B606" t="s">
        <v>937</v>
      </c>
      <c r="C606" t="s">
        <v>1280</v>
      </c>
      <c r="D606" t="s">
        <v>2022</v>
      </c>
      <c r="E606">
        <v>148</v>
      </c>
      <c r="F606">
        <v>0</v>
      </c>
      <c r="G606">
        <v>0</v>
      </c>
      <c r="H606">
        <v>1417</v>
      </c>
      <c r="J606">
        <v>1565</v>
      </c>
      <c r="K606">
        <f>COUNTIF(DF_Calculation!E:E,Table1[[#This Row],[ACS_CODE]])</f>
        <v>1</v>
      </c>
    </row>
    <row r="607" spans="1:11" x14ac:dyDescent="0.25">
      <c r="A607">
        <v>34276</v>
      </c>
      <c r="B607" t="s">
        <v>919</v>
      </c>
      <c r="C607" t="s">
        <v>931</v>
      </c>
      <c r="D607" t="s">
        <v>1070</v>
      </c>
      <c r="E607">
        <v>147</v>
      </c>
      <c r="F607">
        <v>0</v>
      </c>
      <c r="G607">
        <v>0</v>
      </c>
      <c r="H607">
        <v>390</v>
      </c>
      <c r="I607">
        <v>1</v>
      </c>
      <c r="J607">
        <v>538</v>
      </c>
      <c r="K607">
        <f>COUNTIF(DF_Calculation!E:E,Table1[[#This Row],[ACS_CODE]])</f>
        <v>1</v>
      </c>
    </row>
    <row r="608" spans="1:11" x14ac:dyDescent="0.25">
      <c r="A608">
        <v>26239</v>
      </c>
      <c r="B608" t="s">
        <v>916</v>
      </c>
      <c r="C608" t="s">
        <v>1295</v>
      </c>
      <c r="D608" t="s">
        <v>2023</v>
      </c>
      <c r="E608">
        <v>147</v>
      </c>
      <c r="F608">
        <v>0</v>
      </c>
      <c r="G608">
        <v>0</v>
      </c>
      <c r="H608">
        <v>778</v>
      </c>
      <c r="I608">
        <v>3</v>
      </c>
      <c r="J608">
        <v>928</v>
      </c>
      <c r="K608">
        <f>COUNTIF(DF_Calculation!E:E,Table1[[#This Row],[ACS_CODE]])</f>
        <v>1</v>
      </c>
    </row>
    <row r="609" spans="1:11" x14ac:dyDescent="0.25">
      <c r="A609">
        <v>63267</v>
      </c>
      <c r="B609" t="s">
        <v>1270</v>
      </c>
      <c r="C609" t="s">
        <v>1332</v>
      </c>
      <c r="D609" t="s">
        <v>2024</v>
      </c>
      <c r="E609">
        <v>147</v>
      </c>
      <c r="F609">
        <v>0</v>
      </c>
      <c r="G609">
        <v>0</v>
      </c>
      <c r="H609">
        <v>260</v>
      </c>
      <c r="I609">
        <v>40</v>
      </c>
      <c r="J609">
        <v>447</v>
      </c>
      <c r="K609">
        <f>COUNTIF(DF_Calculation!E:E,Table1[[#This Row],[ACS_CODE]])</f>
        <v>1</v>
      </c>
    </row>
    <row r="610" spans="1:11" x14ac:dyDescent="0.25">
      <c r="A610">
        <v>61323</v>
      </c>
      <c r="B610" t="s">
        <v>1270</v>
      </c>
      <c r="C610" t="s">
        <v>1288</v>
      </c>
      <c r="D610" t="s">
        <v>2025</v>
      </c>
      <c r="E610">
        <v>147</v>
      </c>
      <c r="F610">
        <v>1221</v>
      </c>
      <c r="G610">
        <v>0</v>
      </c>
      <c r="H610">
        <v>3196</v>
      </c>
      <c r="J610">
        <v>4564</v>
      </c>
      <c r="K610">
        <f>COUNTIF(DF_Calculation!E:E,Table1[[#This Row],[ACS_CODE]])</f>
        <v>1</v>
      </c>
    </row>
    <row r="611" spans="1:11" x14ac:dyDescent="0.25">
      <c r="A611">
        <v>24371</v>
      </c>
      <c r="B611" t="s">
        <v>916</v>
      </c>
      <c r="C611" t="s">
        <v>1282</v>
      </c>
      <c r="D611" t="s">
        <v>2026</v>
      </c>
      <c r="E611">
        <v>146</v>
      </c>
      <c r="F611">
        <v>0</v>
      </c>
      <c r="G611">
        <v>0</v>
      </c>
      <c r="H611">
        <v>515</v>
      </c>
      <c r="I611">
        <v>18</v>
      </c>
      <c r="J611">
        <v>679</v>
      </c>
      <c r="K611">
        <f>COUNTIF(DF_Calculation!E:E,Table1[[#This Row],[ACS_CODE]])</f>
        <v>1</v>
      </c>
    </row>
    <row r="612" spans="1:11" x14ac:dyDescent="0.25">
      <c r="A612">
        <v>23663</v>
      </c>
      <c r="B612" t="s">
        <v>916</v>
      </c>
      <c r="C612" t="s">
        <v>921</v>
      </c>
      <c r="D612" t="s">
        <v>1071</v>
      </c>
      <c r="E612">
        <v>146</v>
      </c>
      <c r="F612">
        <v>0</v>
      </c>
      <c r="G612">
        <v>0</v>
      </c>
      <c r="H612">
        <v>2767</v>
      </c>
      <c r="I612">
        <v>29</v>
      </c>
      <c r="J612">
        <v>2942</v>
      </c>
      <c r="K612">
        <f>COUNTIF(DF_Calculation!E:E,Table1[[#This Row],[ACS_CODE]])</f>
        <v>1</v>
      </c>
    </row>
    <row r="613" spans="1:11" x14ac:dyDescent="0.25">
      <c r="A613">
        <v>62218</v>
      </c>
      <c r="B613" t="s">
        <v>1270</v>
      </c>
      <c r="C613" t="s">
        <v>1269</v>
      </c>
      <c r="D613" t="s">
        <v>2027</v>
      </c>
      <c r="E613">
        <v>146</v>
      </c>
      <c r="F613">
        <v>261</v>
      </c>
      <c r="G613">
        <v>0</v>
      </c>
      <c r="H613">
        <v>1017</v>
      </c>
      <c r="I613">
        <v>51</v>
      </c>
      <c r="J613">
        <v>1475</v>
      </c>
      <c r="K613">
        <f>COUNTIF(DF_Calculation!E:E,Table1[[#This Row],[ACS_CODE]])</f>
        <v>1</v>
      </c>
    </row>
    <row r="614" spans="1:11" x14ac:dyDescent="0.25">
      <c r="A614">
        <v>63319</v>
      </c>
      <c r="B614" t="s">
        <v>1270</v>
      </c>
      <c r="C614" t="s">
        <v>1332</v>
      </c>
      <c r="D614" t="s">
        <v>1331</v>
      </c>
      <c r="E614">
        <v>145</v>
      </c>
      <c r="F614">
        <v>0</v>
      </c>
      <c r="G614">
        <v>0</v>
      </c>
      <c r="H614">
        <v>1059</v>
      </c>
      <c r="I614">
        <v>11</v>
      </c>
      <c r="J614">
        <v>1215</v>
      </c>
      <c r="K614">
        <f>COUNTIF(DF_Calculation!E:E,Table1[[#This Row],[ACS_CODE]])</f>
        <v>1</v>
      </c>
    </row>
    <row r="615" spans="1:11" x14ac:dyDescent="0.25">
      <c r="A615">
        <v>72244</v>
      </c>
      <c r="B615" t="s">
        <v>937</v>
      </c>
      <c r="C615" t="s">
        <v>1514</v>
      </c>
      <c r="D615" t="s">
        <v>2028</v>
      </c>
      <c r="E615">
        <v>144</v>
      </c>
      <c r="F615">
        <v>0</v>
      </c>
      <c r="G615">
        <v>0</v>
      </c>
      <c r="H615">
        <v>1857</v>
      </c>
      <c r="I615">
        <v>52</v>
      </c>
      <c r="J615">
        <v>2053</v>
      </c>
      <c r="K615">
        <f>COUNTIF(DF_Calculation!E:E,Table1[[#This Row],[ACS_CODE]])</f>
        <v>1</v>
      </c>
    </row>
    <row r="616" spans="1:11" x14ac:dyDescent="0.25">
      <c r="A616">
        <v>25339</v>
      </c>
      <c r="B616" t="s">
        <v>916</v>
      </c>
      <c r="C616" t="s">
        <v>1307</v>
      </c>
      <c r="D616" t="s">
        <v>2029</v>
      </c>
      <c r="E616">
        <v>144</v>
      </c>
      <c r="F616">
        <v>0</v>
      </c>
      <c r="G616">
        <v>0</v>
      </c>
      <c r="H616">
        <v>625</v>
      </c>
      <c r="I616">
        <v>57</v>
      </c>
      <c r="J616">
        <v>826</v>
      </c>
      <c r="K616">
        <f>COUNTIF(DF_Calculation!E:E,Table1[[#This Row],[ACS_CODE]])</f>
        <v>1</v>
      </c>
    </row>
    <row r="617" spans="1:11" x14ac:dyDescent="0.25">
      <c r="A617">
        <v>35316</v>
      </c>
      <c r="B617" t="s">
        <v>991</v>
      </c>
      <c r="C617" t="s">
        <v>991</v>
      </c>
      <c r="D617" t="s">
        <v>2030</v>
      </c>
      <c r="E617">
        <v>143</v>
      </c>
      <c r="F617">
        <v>0</v>
      </c>
      <c r="G617">
        <v>0</v>
      </c>
      <c r="H617">
        <v>2792</v>
      </c>
      <c r="J617">
        <v>2935</v>
      </c>
      <c r="K617">
        <f>COUNTIF(DF_Calculation!E:E,Table1[[#This Row],[ACS_CODE]])</f>
        <v>1</v>
      </c>
    </row>
    <row r="618" spans="1:11" x14ac:dyDescent="0.25">
      <c r="A618">
        <v>21481</v>
      </c>
      <c r="B618" t="s">
        <v>916</v>
      </c>
      <c r="C618" t="s">
        <v>1275</v>
      </c>
      <c r="D618" t="s">
        <v>2031</v>
      </c>
      <c r="E618">
        <v>142</v>
      </c>
      <c r="F618">
        <v>0</v>
      </c>
      <c r="G618">
        <v>0</v>
      </c>
      <c r="H618">
        <v>19</v>
      </c>
      <c r="I618">
        <v>11</v>
      </c>
      <c r="J618">
        <v>172</v>
      </c>
      <c r="K618">
        <f>COUNTIF(DF_Calculation!E:E,Table1[[#This Row],[ACS_CODE]])</f>
        <v>1</v>
      </c>
    </row>
    <row r="619" spans="1:11" x14ac:dyDescent="0.25">
      <c r="A619">
        <v>62279</v>
      </c>
      <c r="B619" t="s">
        <v>1270</v>
      </c>
      <c r="C619" t="s">
        <v>1269</v>
      </c>
      <c r="D619" t="s">
        <v>2032</v>
      </c>
      <c r="E619">
        <v>142</v>
      </c>
      <c r="F619">
        <v>0</v>
      </c>
      <c r="G619">
        <v>0</v>
      </c>
      <c r="H619">
        <v>1069</v>
      </c>
      <c r="I619">
        <v>15</v>
      </c>
      <c r="J619">
        <v>1226</v>
      </c>
      <c r="K619">
        <f>COUNTIF(DF_Calculation!E:E,Table1[[#This Row],[ACS_CODE]])</f>
        <v>1</v>
      </c>
    </row>
    <row r="620" spans="1:11" x14ac:dyDescent="0.25">
      <c r="A620">
        <v>24275</v>
      </c>
      <c r="B620" t="s">
        <v>916</v>
      </c>
      <c r="C620" t="s">
        <v>1282</v>
      </c>
      <c r="D620" t="s">
        <v>2033</v>
      </c>
      <c r="E620">
        <v>141</v>
      </c>
      <c r="F620">
        <v>0</v>
      </c>
      <c r="G620">
        <v>0</v>
      </c>
      <c r="H620">
        <v>1504</v>
      </c>
      <c r="I620">
        <v>50</v>
      </c>
      <c r="J620">
        <v>1695</v>
      </c>
      <c r="K620">
        <f>COUNTIF(DF_Calculation!E:E,Table1[[#This Row],[ACS_CODE]])</f>
        <v>1</v>
      </c>
    </row>
    <row r="621" spans="1:11" x14ac:dyDescent="0.25">
      <c r="A621">
        <v>35145</v>
      </c>
      <c r="B621" t="s">
        <v>991</v>
      </c>
      <c r="C621" t="s">
        <v>991</v>
      </c>
      <c r="D621" t="s">
        <v>2034</v>
      </c>
      <c r="E621">
        <v>139</v>
      </c>
      <c r="F621">
        <v>0</v>
      </c>
      <c r="G621">
        <v>0</v>
      </c>
      <c r="H621">
        <v>908</v>
      </c>
      <c r="I621">
        <v>2</v>
      </c>
      <c r="J621">
        <v>1049</v>
      </c>
      <c r="K621">
        <f>COUNTIF(DF_Calculation!E:E,Table1[[#This Row],[ACS_CODE]])</f>
        <v>1</v>
      </c>
    </row>
    <row r="622" spans="1:11" x14ac:dyDescent="0.25">
      <c r="A622">
        <v>35433</v>
      </c>
      <c r="B622" t="s">
        <v>991</v>
      </c>
      <c r="C622" t="s">
        <v>991</v>
      </c>
      <c r="D622" t="s">
        <v>2035</v>
      </c>
      <c r="E622">
        <v>137</v>
      </c>
      <c r="F622">
        <v>0</v>
      </c>
      <c r="G622">
        <v>0</v>
      </c>
      <c r="H622">
        <v>386</v>
      </c>
      <c r="J622">
        <v>523</v>
      </c>
      <c r="K622">
        <f>COUNTIF(DF_Calculation!E:E,Table1[[#This Row],[ACS_CODE]])</f>
        <v>1</v>
      </c>
    </row>
    <row r="623" spans="1:11" x14ac:dyDescent="0.25">
      <c r="A623">
        <v>71394</v>
      </c>
      <c r="B623" t="s">
        <v>937</v>
      </c>
      <c r="C623" t="s">
        <v>937</v>
      </c>
      <c r="D623" t="s">
        <v>2036</v>
      </c>
      <c r="E623">
        <v>137</v>
      </c>
      <c r="F623">
        <v>0</v>
      </c>
      <c r="G623">
        <v>0</v>
      </c>
      <c r="H623">
        <v>2426</v>
      </c>
      <c r="J623">
        <v>2563</v>
      </c>
      <c r="K623">
        <f>COUNTIF(DF_Calculation!E:E,Table1[[#This Row],[ACS_CODE]])</f>
        <v>1</v>
      </c>
    </row>
    <row r="624" spans="1:11" x14ac:dyDescent="0.25">
      <c r="A624">
        <v>72254</v>
      </c>
      <c r="B624" t="s">
        <v>937</v>
      </c>
      <c r="C624" t="s">
        <v>1514</v>
      </c>
      <c r="D624" t="s">
        <v>2037</v>
      </c>
      <c r="E624">
        <v>136</v>
      </c>
      <c r="F624">
        <v>0</v>
      </c>
      <c r="G624">
        <v>0</v>
      </c>
      <c r="H624">
        <v>314</v>
      </c>
      <c r="J624">
        <v>450</v>
      </c>
      <c r="K624">
        <f>COUNTIF(DF_Calculation!E:E,Table1[[#This Row],[ACS_CODE]])</f>
        <v>1</v>
      </c>
    </row>
    <row r="625" spans="1:11" x14ac:dyDescent="0.25">
      <c r="A625">
        <v>22741</v>
      </c>
      <c r="B625" t="s">
        <v>916</v>
      </c>
      <c r="C625" t="s">
        <v>915</v>
      </c>
      <c r="D625" t="s">
        <v>1072</v>
      </c>
      <c r="E625">
        <v>136</v>
      </c>
      <c r="F625">
        <v>0</v>
      </c>
      <c r="G625">
        <v>0</v>
      </c>
      <c r="H625">
        <v>463</v>
      </c>
      <c r="I625">
        <v>10</v>
      </c>
      <c r="J625">
        <v>609</v>
      </c>
      <c r="K625">
        <f>COUNTIF(DF_Calculation!E:E,Table1[[#This Row],[ACS_CODE]])</f>
        <v>1</v>
      </c>
    </row>
    <row r="626" spans="1:11" x14ac:dyDescent="0.25">
      <c r="A626">
        <v>51287</v>
      </c>
      <c r="B626" t="s">
        <v>1260</v>
      </c>
      <c r="C626" t="s">
        <v>1259</v>
      </c>
      <c r="D626" t="s">
        <v>2038</v>
      </c>
      <c r="E626">
        <v>135</v>
      </c>
      <c r="F626">
        <v>0</v>
      </c>
      <c r="G626">
        <v>0</v>
      </c>
      <c r="H626">
        <v>22</v>
      </c>
      <c r="J626">
        <v>157</v>
      </c>
      <c r="K626">
        <f>COUNTIF(DF_Calculation!E:E,Table1[[#This Row],[ACS_CODE]])</f>
        <v>1</v>
      </c>
    </row>
    <row r="627" spans="1:11" x14ac:dyDescent="0.25">
      <c r="A627">
        <v>23171</v>
      </c>
      <c r="B627" t="s">
        <v>916</v>
      </c>
      <c r="C627" t="s">
        <v>921</v>
      </c>
      <c r="D627" t="s">
        <v>1073</v>
      </c>
      <c r="E627">
        <v>134</v>
      </c>
      <c r="F627">
        <v>0</v>
      </c>
      <c r="G627">
        <v>0</v>
      </c>
      <c r="H627">
        <v>744</v>
      </c>
      <c r="I627">
        <v>54</v>
      </c>
      <c r="J627">
        <v>932</v>
      </c>
      <c r="K627">
        <f>COUNTIF(DF_Calculation!E:E,Table1[[#This Row],[ACS_CODE]])</f>
        <v>1</v>
      </c>
    </row>
    <row r="628" spans="1:11" x14ac:dyDescent="0.25">
      <c r="A628">
        <v>24349</v>
      </c>
      <c r="B628" t="s">
        <v>916</v>
      </c>
      <c r="C628" t="s">
        <v>1282</v>
      </c>
      <c r="D628" t="s">
        <v>2039</v>
      </c>
      <c r="E628">
        <v>133</v>
      </c>
      <c r="F628">
        <v>0</v>
      </c>
      <c r="G628">
        <v>0</v>
      </c>
      <c r="H628">
        <v>2180</v>
      </c>
      <c r="I628">
        <v>10</v>
      </c>
      <c r="J628">
        <v>2323</v>
      </c>
      <c r="K628">
        <f>COUNTIF(DF_Calculation!E:E,Table1[[#This Row],[ACS_CODE]])</f>
        <v>1</v>
      </c>
    </row>
    <row r="629" spans="1:11" x14ac:dyDescent="0.25">
      <c r="A629">
        <v>34217</v>
      </c>
      <c r="B629" t="s">
        <v>919</v>
      </c>
      <c r="C629" t="s">
        <v>931</v>
      </c>
      <c r="D629" t="s">
        <v>1074</v>
      </c>
      <c r="E629">
        <v>133</v>
      </c>
      <c r="F629">
        <v>0</v>
      </c>
      <c r="G629">
        <v>0</v>
      </c>
      <c r="H629">
        <v>598</v>
      </c>
      <c r="I629">
        <v>5</v>
      </c>
      <c r="J629">
        <v>736</v>
      </c>
      <c r="K629">
        <f>COUNTIF(DF_Calculation!E:E,Table1[[#This Row],[ACS_CODE]])</f>
        <v>1</v>
      </c>
    </row>
    <row r="630" spans="1:11" x14ac:dyDescent="0.25">
      <c r="A630">
        <v>32177</v>
      </c>
      <c r="B630" t="s">
        <v>919</v>
      </c>
      <c r="C630" t="s">
        <v>934</v>
      </c>
      <c r="D630" t="s">
        <v>1333</v>
      </c>
      <c r="E630">
        <v>133</v>
      </c>
      <c r="F630">
        <v>0</v>
      </c>
      <c r="G630">
        <v>0</v>
      </c>
      <c r="H630">
        <v>1548</v>
      </c>
      <c r="I630">
        <v>33</v>
      </c>
      <c r="J630">
        <v>1714</v>
      </c>
      <c r="K630">
        <f>COUNTIF(DF_Calculation!E:E,Table1[[#This Row],[ACS_CODE]])</f>
        <v>1</v>
      </c>
    </row>
    <row r="631" spans="1:11" x14ac:dyDescent="0.25">
      <c r="A631">
        <v>33275</v>
      </c>
      <c r="B631" t="s">
        <v>919</v>
      </c>
      <c r="C631" t="s">
        <v>1297</v>
      </c>
      <c r="D631" t="s">
        <v>2040</v>
      </c>
      <c r="E631">
        <v>133</v>
      </c>
      <c r="F631">
        <v>0</v>
      </c>
      <c r="G631">
        <v>0</v>
      </c>
      <c r="H631">
        <v>815</v>
      </c>
      <c r="I631">
        <v>10</v>
      </c>
      <c r="J631">
        <v>958</v>
      </c>
      <c r="K631">
        <f>COUNTIF(DF_Calculation!E:E,Table1[[#This Row],[ACS_CODE]])</f>
        <v>1</v>
      </c>
    </row>
    <row r="632" spans="1:11" x14ac:dyDescent="0.25">
      <c r="A632">
        <v>55161</v>
      </c>
      <c r="B632" t="s">
        <v>1260</v>
      </c>
      <c r="C632" t="s">
        <v>1291</v>
      </c>
      <c r="D632" t="s">
        <v>1334</v>
      </c>
      <c r="E632">
        <v>132</v>
      </c>
      <c r="F632">
        <v>0</v>
      </c>
      <c r="G632">
        <v>0</v>
      </c>
      <c r="H632">
        <v>432</v>
      </c>
      <c r="J632">
        <v>564</v>
      </c>
      <c r="K632">
        <f>COUNTIF(DF_Calculation!E:E,Table1[[#This Row],[ACS_CODE]])</f>
        <v>1</v>
      </c>
    </row>
    <row r="633" spans="1:11" x14ac:dyDescent="0.25">
      <c r="A633">
        <v>72257</v>
      </c>
      <c r="B633" t="s">
        <v>937</v>
      </c>
      <c r="C633" t="s">
        <v>1514</v>
      </c>
      <c r="D633" t="s">
        <v>2041</v>
      </c>
      <c r="E633">
        <v>131</v>
      </c>
      <c r="F633">
        <v>0</v>
      </c>
      <c r="G633">
        <v>0</v>
      </c>
      <c r="H633">
        <v>1293</v>
      </c>
      <c r="I633">
        <v>42</v>
      </c>
      <c r="J633">
        <v>1466</v>
      </c>
      <c r="K633">
        <f>COUNTIF(DF_Calculation!E:E,Table1[[#This Row],[ACS_CODE]])</f>
        <v>1</v>
      </c>
    </row>
    <row r="634" spans="1:11" x14ac:dyDescent="0.25">
      <c r="A634">
        <v>35402</v>
      </c>
      <c r="B634" t="s">
        <v>991</v>
      </c>
      <c r="C634" t="s">
        <v>991</v>
      </c>
      <c r="D634" t="s">
        <v>2042</v>
      </c>
      <c r="E634">
        <v>130</v>
      </c>
      <c r="F634">
        <v>0</v>
      </c>
      <c r="G634">
        <v>0</v>
      </c>
      <c r="H634">
        <v>651</v>
      </c>
      <c r="I634">
        <v>3</v>
      </c>
      <c r="J634">
        <v>784</v>
      </c>
      <c r="K634">
        <f>COUNTIF(DF_Calculation!E:E,Table1[[#This Row],[ACS_CODE]])</f>
        <v>1</v>
      </c>
    </row>
    <row r="635" spans="1:11" x14ac:dyDescent="0.25">
      <c r="A635">
        <v>71377</v>
      </c>
      <c r="B635" t="s">
        <v>937</v>
      </c>
      <c r="C635" t="s">
        <v>937</v>
      </c>
      <c r="D635" t="s">
        <v>1075</v>
      </c>
      <c r="E635">
        <v>130</v>
      </c>
      <c r="F635">
        <v>0</v>
      </c>
      <c r="G635">
        <v>0</v>
      </c>
      <c r="H635">
        <v>840</v>
      </c>
      <c r="I635">
        <v>7</v>
      </c>
      <c r="J635">
        <v>977</v>
      </c>
      <c r="K635">
        <f>COUNTIF(DF_Calculation!E:E,Table1[[#This Row],[ACS_CODE]])</f>
        <v>1</v>
      </c>
    </row>
    <row r="636" spans="1:11" x14ac:dyDescent="0.25">
      <c r="A636">
        <v>33223</v>
      </c>
      <c r="B636" t="s">
        <v>919</v>
      </c>
      <c r="C636" t="s">
        <v>1297</v>
      </c>
      <c r="D636" t="s">
        <v>2043</v>
      </c>
      <c r="E636">
        <v>130</v>
      </c>
      <c r="F636">
        <v>0</v>
      </c>
      <c r="G636">
        <v>0</v>
      </c>
      <c r="H636">
        <v>13</v>
      </c>
      <c r="J636">
        <v>143</v>
      </c>
      <c r="K636">
        <f>COUNTIF(DF_Calculation!E:E,Table1[[#This Row],[ACS_CODE]])</f>
        <v>1</v>
      </c>
    </row>
    <row r="637" spans="1:11" x14ac:dyDescent="0.25">
      <c r="A637">
        <v>24339</v>
      </c>
      <c r="B637" t="s">
        <v>916</v>
      </c>
      <c r="C637" t="s">
        <v>1282</v>
      </c>
      <c r="D637" t="s">
        <v>2044</v>
      </c>
      <c r="E637">
        <v>129</v>
      </c>
      <c r="F637">
        <v>0</v>
      </c>
      <c r="G637">
        <v>0</v>
      </c>
      <c r="H637">
        <v>373</v>
      </c>
      <c r="I637">
        <v>14</v>
      </c>
      <c r="J637">
        <v>516</v>
      </c>
      <c r="K637">
        <f>COUNTIF(DF_Calculation!E:E,Table1[[#This Row],[ACS_CODE]])</f>
        <v>1</v>
      </c>
    </row>
    <row r="638" spans="1:11" x14ac:dyDescent="0.25">
      <c r="A638">
        <v>61476</v>
      </c>
      <c r="B638" t="s">
        <v>1270</v>
      </c>
      <c r="C638" t="s">
        <v>1288</v>
      </c>
      <c r="D638" t="s">
        <v>2045</v>
      </c>
      <c r="E638">
        <v>128</v>
      </c>
      <c r="F638">
        <v>0</v>
      </c>
      <c r="G638">
        <v>0</v>
      </c>
      <c r="H638">
        <v>656</v>
      </c>
      <c r="I638">
        <v>8</v>
      </c>
      <c r="J638">
        <v>792</v>
      </c>
      <c r="K638">
        <f>COUNTIF(DF_Calculation!E:E,Table1[[#This Row],[ACS_CODE]])</f>
        <v>1</v>
      </c>
    </row>
    <row r="639" spans="1:11" x14ac:dyDescent="0.25">
      <c r="A639">
        <v>62311</v>
      </c>
      <c r="B639" t="s">
        <v>1270</v>
      </c>
      <c r="C639" t="s">
        <v>1269</v>
      </c>
      <c r="D639" t="s">
        <v>2046</v>
      </c>
      <c r="E639">
        <v>128</v>
      </c>
      <c r="F639">
        <v>0</v>
      </c>
      <c r="G639">
        <v>0</v>
      </c>
      <c r="H639">
        <v>1501</v>
      </c>
      <c r="J639">
        <v>1629</v>
      </c>
      <c r="K639">
        <f>COUNTIF(DF_Calculation!E:E,Table1[[#This Row],[ACS_CODE]])</f>
        <v>1</v>
      </c>
    </row>
    <row r="640" spans="1:11" x14ac:dyDescent="0.25">
      <c r="A640">
        <v>33143</v>
      </c>
      <c r="B640" t="s">
        <v>919</v>
      </c>
      <c r="C640" t="s">
        <v>1297</v>
      </c>
      <c r="D640" t="s">
        <v>2047</v>
      </c>
      <c r="E640">
        <v>127</v>
      </c>
      <c r="F640">
        <v>0</v>
      </c>
      <c r="G640">
        <v>0</v>
      </c>
      <c r="H640">
        <v>861</v>
      </c>
      <c r="I640">
        <v>7</v>
      </c>
      <c r="J640">
        <v>995</v>
      </c>
      <c r="K640">
        <f>COUNTIF(DF_Calculation!E:E,Table1[[#This Row],[ACS_CODE]])</f>
        <v>1</v>
      </c>
    </row>
    <row r="641" spans="1:11" x14ac:dyDescent="0.25">
      <c r="A641">
        <v>32153</v>
      </c>
      <c r="B641" t="s">
        <v>919</v>
      </c>
      <c r="C641" t="s">
        <v>934</v>
      </c>
      <c r="D641" t="s">
        <v>1076</v>
      </c>
      <c r="E641">
        <v>126</v>
      </c>
      <c r="F641">
        <v>0</v>
      </c>
      <c r="G641">
        <v>0</v>
      </c>
      <c r="H641">
        <v>711</v>
      </c>
      <c r="I641">
        <v>4</v>
      </c>
      <c r="J641">
        <v>841</v>
      </c>
      <c r="K641">
        <f>COUNTIF(DF_Calculation!E:E,Table1[[#This Row],[ACS_CODE]])</f>
        <v>1</v>
      </c>
    </row>
    <row r="642" spans="1:11" x14ac:dyDescent="0.25">
      <c r="A642">
        <v>53427</v>
      </c>
      <c r="B642" t="s">
        <v>1201</v>
      </c>
      <c r="C642" t="s">
        <v>1266</v>
      </c>
      <c r="D642" t="s">
        <v>2048</v>
      </c>
      <c r="E642">
        <v>125</v>
      </c>
      <c r="F642">
        <v>0</v>
      </c>
      <c r="G642">
        <v>0</v>
      </c>
      <c r="H642">
        <v>466</v>
      </c>
      <c r="I642">
        <v>10</v>
      </c>
      <c r="J642">
        <v>601</v>
      </c>
      <c r="K642">
        <f>COUNTIF(DF_Calculation!E:E,Table1[[#This Row],[ACS_CODE]])</f>
        <v>1</v>
      </c>
    </row>
    <row r="643" spans="1:11" x14ac:dyDescent="0.25">
      <c r="A643">
        <v>34259</v>
      </c>
      <c r="B643" t="s">
        <v>919</v>
      </c>
      <c r="C643" t="s">
        <v>931</v>
      </c>
      <c r="D643" t="s">
        <v>1335</v>
      </c>
      <c r="E643">
        <v>125</v>
      </c>
      <c r="F643">
        <v>0</v>
      </c>
      <c r="G643">
        <v>0</v>
      </c>
      <c r="H643">
        <v>684</v>
      </c>
      <c r="I643">
        <v>10</v>
      </c>
      <c r="J643">
        <v>819</v>
      </c>
      <c r="K643">
        <f>COUNTIF(DF_Calculation!E:E,Table1[[#This Row],[ACS_CODE]])</f>
        <v>1</v>
      </c>
    </row>
    <row r="644" spans="1:11" x14ac:dyDescent="0.25">
      <c r="A644">
        <v>24325</v>
      </c>
      <c r="B644" t="s">
        <v>916</v>
      </c>
      <c r="C644" t="s">
        <v>1282</v>
      </c>
      <c r="D644" t="s">
        <v>2049</v>
      </c>
      <c r="E644">
        <v>124</v>
      </c>
      <c r="F644">
        <v>0</v>
      </c>
      <c r="G644">
        <v>0</v>
      </c>
      <c r="H644">
        <v>367</v>
      </c>
      <c r="I644">
        <v>37</v>
      </c>
      <c r="J644">
        <v>528</v>
      </c>
      <c r="K644">
        <f>COUNTIF(DF_Calculation!E:E,Table1[[#This Row],[ACS_CODE]])</f>
        <v>1</v>
      </c>
    </row>
    <row r="645" spans="1:11" x14ac:dyDescent="0.25">
      <c r="A645">
        <v>24267</v>
      </c>
      <c r="B645" t="s">
        <v>916</v>
      </c>
      <c r="C645" t="s">
        <v>1282</v>
      </c>
      <c r="D645" t="s">
        <v>2050</v>
      </c>
      <c r="E645">
        <v>124</v>
      </c>
      <c r="F645">
        <v>0</v>
      </c>
      <c r="G645">
        <v>0</v>
      </c>
      <c r="H645">
        <v>717</v>
      </c>
      <c r="I645">
        <v>85</v>
      </c>
      <c r="J645">
        <v>926</v>
      </c>
      <c r="K645">
        <f>COUNTIF(DF_Calculation!E:E,Table1[[#This Row],[ACS_CODE]])</f>
        <v>1</v>
      </c>
    </row>
    <row r="646" spans="1:11" x14ac:dyDescent="0.25">
      <c r="A646">
        <v>24227</v>
      </c>
      <c r="B646" t="s">
        <v>916</v>
      </c>
      <c r="C646" t="s">
        <v>1282</v>
      </c>
      <c r="D646" t="s">
        <v>2051</v>
      </c>
      <c r="E646">
        <v>124</v>
      </c>
      <c r="F646">
        <v>299</v>
      </c>
      <c r="G646">
        <v>0</v>
      </c>
      <c r="H646">
        <v>787</v>
      </c>
      <c r="I646">
        <v>8</v>
      </c>
      <c r="J646">
        <v>1218</v>
      </c>
      <c r="K646">
        <f>COUNTIF(DF_Calculation!E:E,Table1[[#This Row],[ACS_CODE]])</f>
        <v>1</v>
      </c>
    </row>
    <row r="647" spans="1:11" x14ac:dyDescent="0.25">
      <c r="A647">
        <v>72227</v>
      </c>
      <c r="B647" t="s">
        <v>937</v>
      </c>
      <c r="C647" t="s">
        <v>1514</v>
      </c>
      <c r="D647" t="s">
        <v>2052</v>
      </c>
      <c r="E647">
        <v>124</v>
      </c>
      <c r="F647">
        <v>0</v>
      </c>
      <c r="G647">
        <v>0</v>
      </c>
      <c r="H647">
        <v>1318</v>
      </c>
      <c r="J647">
        <v>1442</v>
      </c>
      <c r="K647">
        <f>COUNTIF(DF_Calculation!E:E,Table1[[#This Row],[ACS_CODE]])</f>
        <v>1</v>
      </c>
    </row>
    <row r="648" spans="1:11" x14ac:dyDescent="0.25">
      <c r="A648">
        <v>52281</v>
      </c>
      <c r="B648" t="s">
        <v>1260</v>
      </c>
      <c r="C648" t="s">
        <v>1323</v>
      </c>
      <c r="D648" t="s">
        <v>1336</v>
      </c>
      <c r="E648">
        <v>124</v>
      </c>
      <c r="F648">
        <v>0</v>
      </c>
      <c r="G648">
        <v>0</v>
      </c>
      <c r="H648">
        <v>1819</v>
      </c>
      <c r="J648">
        <v>1943</v>
      </c>
      <c r="K648">
        <f>COUNTIF(DF_Calculation!E:E,Table1[[#This Row],[ACS_CODE]])</f>
        <v>1</v>
      </c>
    </row>
    <row r="649" spans="1:11" x14ac:dyDescent="0.25">
      <c r="A649">
        <v>54159</v>
      </c>
      <c r="B649" t="s">
        <v>1201</v>
      </c>
      <c r="C649" t="s">
        <v>1200</v>
      </c>
      <c r="D649" t="s">
        <v>1337</v>
      </c>
      <c r="E649">
        <v>123</v>
      </c>
      <c r="F649">
        <v>0</v>
      </c>
      <c r="G649">
        <v>0</v>
      </c>
      <c r="H649">
        <v>1</v>
      </c>
      <c r="I649">
        <v>2</v>
      </c>
      <c r="J649">
        <v>126</v>
      </c>
      <c r="K649">
        <f>COUNTIF(DF_Calculation!E:E,Table1[[#This Row],[ACS_CODE]])</f>
        <v>1</v>
      </c>
    </row>
    <row r="650" spans="1:11" x14ac:dyDescent="0.25">
      <c r="A650">
        <v>24477</v>
      </c>
      <c r="B650" t="s">
        <v>916</v>
      </c>
      <c r="C650" t="s">
        <v>1282</v>
      </c>
      <c r="D650" t="s">
        <v>2053</v>
      </c>
      <c r="E650">
        <v>122</v>
      </c>
      <c r="F650">
        <v>0</v>
      </c>
      <c r="G650">
        <v>0</v>
      </c>
      <c r="H650">
        <v>2552</v>
      </c>
      <c r="I650">
        <v>25</v>
      </c>
      <c r="J650">
        <v>2699</v>
      </c>
      <c r="K650">
        <f>COUNTIF(DF_Calculation!E:E,Table1[[#This Row],[ACS_CODE]])</f>
        <v>1</v>
      </c>
    </row>
    <row r="651" spans="1:11" x14ac:dyDescent="0.25">
      <c r="A651">
        <v>55144</v>
      </c>
      <c r="B651" t="s">
        <v>1260</v>
      </c>
      <c r="C651" t="s">
        <v>1291</v>
      </c>
      <c r="D651" t="s">
        <v>2054</v>
      </c>
      <c r="E651">
        <v>122</v>
      </c>
      <c r="F651">
        <v>0</v>
      </c>
      <c r="G651">
        <v>0</v>
      </c>
      <c r="H651">
        <v>716</v>
      </c>
      <c r="I651">
        <v>2</v>
      </c>
      <c r="J651">
        <v>840</v>
      </c>
      <c r="K651">
        <f>COUNTIF(DF_Calculation!E:E,Table1[[#This Row],[ACS_CODE]])</f>
        <v>1</v>
      </c>
    </row>
    <row r="652" spans="1:11" x14ac:dyDescent="0.25">
      <c r="A652">
        <v>34321</v>
      </c>
      <c r="B652" t="s">
        <v>919</v>
      </c>
      <c r="C652" t="s">
        <v>931</v>
      </c>
      <c r="D652" t="s">
        <v>1077</v>
      </c>
      <c r="E652">
        <v>121</v>
      </c>
      <c r="F652">
        <v>0</v>
      </c>
      <c r="G652">
        <v>0</v>
      </c>
      <c r="H652">
        <v>432</v>
      </c>
      <c r="I652">
        <v>3</v>
      </c>
      <c r="J652">
        <v>556</v>
      </c>
      <c r="K652">
        <f>COUNTIF(DF_Calculation!E:E,Table1[[#This Row],[ACS_CODE]])</f>
        <v>1</v>
      </c>
    </row>
    <row r="653" spans="1:11" x14ac:dyDescent="0.25">
      <c r="A653">
        <v>55174</v>
      </c>
      <c r="B653" t="s">
        <v>1260</v>
      </c>
      <c r="C653" t="s">
        <v>1291</v>
      </c>
      <c r="D653" t="s">
        <v>2055</v>
      </c>
      <c r="E653">
        <v>121</v>
      </c>
      <c r="F653">
        <v>0</v>
      </c>
      <c r="G653">
        <v>0</v>
      </c>
      <c r="H653">
        <v>1130</v>
      </c>
      <c r="I653">
        <v>1</v>
      </c>
      <c r="J653">
        <v>1252</v>
      </c>
      <c r="K653">
        <f>COUNTIF(DF_Calculation!E:E,Table1[[#This Row],[ACS_CODE]])</f>
        <v>1</v>
      </c>
    </row>
    <row r="654" spans="1:11" x14ac:dyDescent="0.25">
      <c r="A654">
        <v>52146</v>
      </c>
      <c r="B654" t="s">
        <v>1260</v>
      </c>
      <c r="C654" t="s">
        <v>1323</v>
      </c>
      <c r="D654" t="s">
        <v>2056</v>
      </c>
      <c r="E654">
        <v>120</v>
      </c>
      <c r="F654">
        <v>0</v>
      </c>
      <c r="G654">
        <v>0</v>
      </c>
      <c r="H654">
        <v>968</v>
      </c>
      <c r="I654">
        <v>13</v>
      </c>
      <c r="J654">
        <v>1101</v>
      </c>
      <c r="K654">
        <f>COUNTIF(DF_Calculation!E:E,Table1[[#This Row],[ACS_CODE]])</f>
        <v>1</v>
      </c>
    </row>
    <row r="655" spans="1:11" x14ac:dyDescent="0.25">
      <c r="A655">
        <v>51347</v>
      </c>
      <c r="B655" t="s">
        <v>1260</v>
      </c>
      <c r="C655" t="s">
        <v>1259</v>
      </c>
      <c r="D655" t="s">
        <v>2057</v>
      </c>
      <c r="E655">
        <v>120</v>
      </c>
      <c r="F655">
        <v>0</v>
      </c>
      <c r="G655">
        <v>0</v>
      </c>
      <c r="H655">
        <v>444</v>
      </c>
      <c r="I655">
        <v>7</v>
      </c>
      <c r="J655">
        <v>571</v>
      </c>
      <c r="K655">
        <f>COUNTIF(DF_Calculation!E:E,Table1[[#This Row],[ACS_CODE]])</f>
        <v>1</v>
      </c>
    </row>
    <row r="656" spans="1:11" x14ac:dyDescent="0.25">
      <c r="A656">
        <v>33251</v>
      </c>
      <c r="B656" t="s">
        <v>919</v>
      </c>
      <c r="C656" t="s">
        <v>1297</v>
      </c>
      <c r="D656" t="s">
        <v>2058</v>
      </c>
      <c r="E656">
        <v>120</v>
      </c>
      <c r="F656">
        <v>0</v>
      </c>
      <c r="G656">
        <v>0</v>
      </c>
      <c r="H656">
        <v>3919</v>
      </c>
      <c r="I656">
        <v>225</v>
      </c>
      <c r="J656">
        <v>4264</v>
      </c>
      <c r="K656">
        <f>COUNTIF(DF_Calculation!E:E,Table1[[#This Row],[ACS_CODE]])</f>
        <v>1</v>
      </c>
    </row>
    <row r="657" spans="1:11" x14ac:dyDescent="0.25">
      <c r="A657">
        <v>63214</v>
      </c>
      <c r="B657" t="s">
        <v>1270</v>
      </c>
      <c r="C657" t="s">
        <v>1332</v>
      </c>
      <c r="D657" t="s">
        <v>1338</v>
      </c>
      <c r="E657">
        <v>119</v>
      </c>
      <c r="F657">
        <v>0</v>
      </c>
      <c r="G657">
        <v>0</v>
      </c>
      <c r="H657">
        <v>497</v>
      </c>
      <c r="I657">
        <v>12</v>
      </c>
      <c r="J657">
        <v>628</v>
      </c>
      <c r="K657">
        <f>COUNTIF(DF_Calculation!E:E,Table1[[#This Row],[ACS_CODE]])</f>
        <v>1</v>
      </c>
    </row>
    <row r="658" spans="1:11" x14ac:dyDescent="0.25">
      <c r="A658">
        <v>55141</v>
      </c>
      <c r="B658" t="s">
        <v>1260</v>
      </c>
      <c r="C658" t="s">
        <v>1291</v>
      </c>
      <c r="D658" t="s">
        <v>2059</v>
      </c>
      <c r="E658">
        <v>119</v>
      </c>
      <c r="F658">
        <v>0</v>
      </c>
      <c r="G658">
        <v>0</v>
      </c>
      <c r="H658">
        <v>845</v>
      </c>
      <c r="I658">
        <v>16</v>
      </c>
      <c r="J658">
        <v>980</v>
      </c>
      <c r="K658">
        <f>COUNTIF(DF_Calculation!E:E,Table1[[#This Row],[ACS_CODE]])</f>
        <v>1</v>
      </c>
    </row>
    <row r="659" spans="1:11" x14ac:dyDescent="0.25">
      <c r="A659">
        <v>24471</v>
      </c>
      <c r="B659" t="s">
        <v>916</v>
      </c>
      <c r="C659" t="s">
        <v>1282</v>
      </c>
      <c r="D659" t="s">
        <v>2060</v>
      </c>
      <c r="E659">
        <v>118</v>
      </c>
      <c r="F659">
        <v>0</v>
      </c>
      <c r="G659">
        <v>0</v>
      </c>
      <c r="H659">
        <v>485</v>
      </c>
      <c r="I659">
        <v>6</v>
      </c>
      <c r="J659">
        <v>609</v>
      </c>
      <c r="K659">
        <f>COUNTIF(DF_Calculation!E:E,Table1[[#This Row],[ACS_CODE]])</f>
        <v>1</v>
      </c>
    </row>
    <row r="660" spans="1:11" x14ac:dyDescent="0.25">
      <c r="A660">
        <v>34277</v>
      </c>
      <c r="B660" t="s">
        <v>919</v>
      </c>
      <c r="C660" t="s">
        <v>931</v>
      </c>
      <c r="D660" t="s">
        <v>1078</v>
      </c>
      <c r="E660">
        <v>118</v>
      </c>
      <c r="F660">
        <v>0</v>
      </c>
      <c r="G660">
        <v>0</v>
      </c>
      <c r="H660">
        <v>661</v>
      </c>
      <c r="I660">
        <v>12</v>
      </c>
      <c r="J660">
        <v>791</v>
      </c>
      <c r="K660">
        <f>COUNTIF(DF_Calculation!E:E,Table1[[#This Row],[ACS_CODE]])</f>
        <v>1</v>
      </c>
    </row>
    <row r="661" spans="1:11" x14ac:dyDescent="0.25">
      <c r="A661">
        <v>37323</v>
      </c>
      <c r="B661" t="s">
        <v>919</v>
      </c>
      <c r="C661" t="s">
        <v>918</v>
      </c>
      <c r="D661" t="s">
        <v>1079</v>
      </c>
      <c r="E661">
        <v>118</v>
      </c>
      <c r="F661">
        <v>0</v>
      </c>
      <c r="G661">
        <v>0</v>
      </c>
      <c r="H661">
        <v>1750</v>
      </c>
      <c r="I661">
        <v>5</v>
      </c>
      <c r="J661">
        <v>1873</v>
      </c>
      <c r="K661">
        <f>COUNTIF(DF_Calculation!E:E,Table1[[#This Row],[ACS_CODE]])</f>
        <v>1</v>
      </c>
    </row>
    <row r="662" spans="1:11" x14ac:dyDescent="0.25">
      <c r="A662">
        <v>61426</v>
      </c>
      <c r="B662" t="s">
        <v>1270</v>
      </c>
      <c r="C662" t="s">
        <v>1288</v>
      </c>
      <c r="D662" t="s">
        <v>1339</v>
      </c>
      <c r="E662">
        <v>118</v>
      </c>
      <c r="F662">
        <v>141</v>
      </c>
      <c r="G662">
        <v>0</v>
      </c>
      <c r="H662">
        <v>1285</v>
      </c>
      <c r="I662">
        <v>15</v>
      </c>
      <c r="J662">
        <v>1559</v>
      </c>
      <c r="K662">
        <f>COUNTIF(DF_Calculation!E:E,Table1[[#This Row],[ACS_CODE]])</f>
        <v>1</v>
      </c>
    </row>
    <row r="663" spans="1:11" x14ac:dyDescent="0.25">
      <c r="A663">
        <v>10450</v>
      </c>
      <c r="B663" t="s">
        <v>1315</v>
      </c>
      <c r="C663" t="s">
        <v>1315</v>
      </c>
      <c r="D663" t="s">
        <v>2061</v>
      </c>
      <c r="E663">
        <v>117</v>
      </c>
      <c r="F663">
        <v>0</v>
      </c>
      <c r="G663">
        <v>0</v>
      </c>
      <c r="H663">
        <v>2</v>
      </c>
      <c r="I663">
        <v>32</v>
      </c>
      <c r="J663">
        <v>151</v>
      </c>
      <c r="K663">
        <f>COUNTIF(DF_Calculation!E:E,Table1[[#This Row],[ACS_CODE]])</f>
        <v>1</v>
      </c>
    </row>
    <row r="664" spans="1:11" x14ac:dyDescent="0.25">
      <c r="A664">
        <v>23247</v>
      </c>
      <c r="B664" t="s">
        <v>916</v>
      </c>
      <c r="C664" t="s">
        <v>921</v>
      </c>
      <c r="D664" t="s">
        <v>1080</v>
      </c>
      <c r="E664">
        <v>117</v>
      </c>
      <c r="F664">
        <v>513</v>
      </c>
      <c r="G664">
        <v>0</v>
      </c>
      <c r="H664">
        <v>1881</v>
      </c>
      <c r="I664">
        <v>10</v>
      </c>
      <c r="J664">
        <v>2521</v>
      </c>
      <c r="K664">
        <f>COUNTIF(DF_Calculation!E:E,Table1[[#This Row],[ACS_CODE]])</f>
        <v>1</v>
      </c>
    </row>
    <row r="665" spans="1:11" x14ac:dyDescent="0.25">
      <c r="A665">
        <v>73288</v>
      </c>
      <c r="B665" t="s">
        <v>937</v>
      </c>
      <c r="C665" t="s">
        <v>1278</v>
      </c>
      <c r="D665" t="s">
        <v>2062</v>
      </c>
      <c r="E665">
        <v>117</v>
      </c>
      <c r="F665">
        <v>0</v>
      </c>
      <c r="G665">
        <v>0</v>
      </c>
      <c r="H665">
        <v>738</v>
      </c>
      <c r="J665">
        <v>855</v>
      </c>
      <c r="K665">
        <f>COUNTIF(DF_Calculation!E:E,Table1[[#This Row],[ACS_CODE]])</f>
        <v>1</v>
      </c>
    </row>
    <row r="666" spans="1:11" x14ac:dyDescent="0.25">
      <c r="A666">
        <v>34224</v>
      </c>
      <c r="B666" t="s">
        <v>919</v>
      </c>
      <c r="C666" t="s">
        <v>931</v>
      </c>
      <c r="D666" t="s">
        <v>1081</v>
      </c>
      <c r="E666">
        <v>116</v>
      </c>
      <c r="F666">
        <v>0</v>
      </c>
      <c r="G666">
        <v>0</v>
      </c>
      <c r="H666">
        <v>229</v>
      </c>
      <c r="I666">
        <v>3</v>
      </c>
      <c r="J666">
        <v>348</v>
      </c>
      <c r="K666">
        <f>COUNTIF(DF_Calculation!E:E,Table1[[#This Row],[ACS_CODE]])</f>
        <v>1</v>
      </c>
    </row>
    <row r="667" spans="1:11" x14ac:dyDescent="0.25">
      <c r="A667">
        <v>22784</v>
      </c>
      <c r="B667" t="s">
        <v>916</v>
      </c>
      <c r="C667" t="s">
        <v>915</v>
      </c>
      <c r="D667" t="s">
        <v>1082</v>
      </c>
      <c r="E667">
        <v>116</v>
      </c>
      <c r="F667">
        <v>0</v>
      </c>
      <c r="G667">
        <v>0</v>
      </c>
      <c r="H667">
        <v>346</v>
      </c>
      <c r="I667">
        <v>70</v>
      </c>
      <c r="J667">
        <v>532</v>
      </c>
      <c r="K667">
        <f>COUNTIF(DF_Calculation!E:E,Table1[[#This Row],[ACS_CODE]])</f>
        <v>1</v>
      </c>
    </row>
    <row r="668" spans="1:11" x14ac:dyDescent="0.25">
      <c r="A668">
        <v>62286</v>
      </c>
      <c r="B668" t="s">
        <v>1270</v>
      </c>
      <c r="C668" t="s">
        <v>1269</v>
      </c>
      <c r="D668" t="s">
        <v>2063</v>
      </c>
      <c r="E668">
        <v>116</v>
      </c>
      <c r="F668">
        <v>0</v>
      </c>
      <c r="G668">
        <v>0</v>
      </c>
      <c r="H668">
        <v>1079</v>
      </c>
      <c r="I668">
        <v>20</v>
      </c>
      <c r="J668">
        <v>1215</v>
      </c>
      <c r="K668">
        <f>COUNTIF(DF_Calculation!E:E,Table1[[#This Row],[ACS_CODE]])</f>
        <v>1</v>
      </c>
    </row>
    <row r="669" spans="1:11" x14ac:dyDescent="0.25">
      <c r="A669">
        <v>32189</v>
      </c>
      <c r="B669" t="s">
        <v>919</v>
      </c>
      <c r="C669" t="s">
        <v>934</v>
      </c>
      <c r="D669" t="s">
        <v>1083</v>
      </c>
      <c r="E669">
        <v>115</v>
      </c>
      <c r="F669">
        <v>0</v>
      </c>
      <c r="G669">
        <v>0</v>
      </c>
      <c r="H669">
        <v>1204</v>
      </c>
      <c r="I669">
        <v>6</v>
      </c>
      <c r="J669">
        <v>1325</v>
      </c>
      <c r="K669">
        <f>COUNTIF(DF_Calculation!E:E,Table1[[#This Row],[ACS_CODE]])</f>
        <v>1</v>
      </c>
    </row>
    <row r="670" spans="1:11" x14ac:dyDescent="0.25">
      <c r="A670">
        <v>26287</v>
      </c>
      <c r="B670" t="s">
        <v>916</v>
      </c>
      <c r="C670" t="s">
        <v>1295</v>
      </c>
      <c r="D670" t="s">
        <v>2064</v>
      </c>
      <c r="E670">
        <v>114</v>
      </c>
      <c r="F670">
        <v>0</v>
      </c>
      <c r="G670">
        <v>0</v>
      </c>
      <c r="H670">
        <v>622</v>
      </c>
      <c r="I670">
        <v>32</v>
      </c>
      <c r="J670">
        <v>768</v>
      </c>
      <c r="K670">
        <f>COUNTIF(DF_Calculation!E:E,Table1[[#This Row],[ACS_CODE]])</f>
        <v>1</v>
      </c>
    </row>
    <row r="671" spans="1:11" x14ac:dyDescent="0.25">
      <c r="A671">
        <v>62277</v>
      </c>
      <c r="B671" t="s">
        <v>1270</v>
      </c>
      <c r="C671" t="s">
        <v>1269</v>
      </c>
      <c r="D671" t="s">
        <v>2065</v>
      </c>
      <c r="E671">
        <v>114</v>
      </c>
      <c r="F671">
        <v>261</v>
      </c>
      <c r="G671">
        <v>0</v>
      </c>
      <c r="H671">
        <v>2085</v>
      </c>
      <c r="I671">
        <v>7</v>
      </c>
      <c r="J671">
        <v>2467</v>
      </c>
      <c r="K671">
        <f>COUNTIF(DF_Calculation!E:E,Table1[[#This Row],[ACS_CODE]])</f>
        <v>1</v>
      </c>
    </row>
    <row r="672" spans="1:11" x14ac:dyDescent="0.25">
      <c r="A672">
        <v>62264</v>
      </c>
      <c r="B672" t="s">
        <v>1270</v>
      </c>
      <c r="C672" t="s">
        <v>1269</v>
      </c>
      <c r="D672" t="s">
        <v>2066</v>
      </c>
      <c r="E672">
        <v>114</v>
      </c>
      <c r="F672">
        <v>0</v>
      </c>
      <c r="G672">
        <v>0</v>
      </c>
      <c r="H672">
        <v>1448</v>
      </c>
      <c r="I672">
        <v>32</v>
      </c>
      <c r="J672">
        <v>1594</v>
      </c>
      <c r="K672">
        <f>COUNTIF(DF_Calculation!E:E,Table1[[#This Row],[ACS_CODE]])</f>
        <v>1</v>
      </c>
    </row>
    <row r="673" spans="1:11" x14ac:dyDescent="0.25">
      <c r="A673">
        <v>72237</v>
      </c>
      <c r="B673" t="s">
        <v>937</v>
      </c>
      <c r="C673" t="s">
        <v>1514</v>
      </c>
      <c r="D673" t="s">
        <v>2067</v>
      </c>
      <c r="E673">
        <v>112</v>
      </c>
      <c r="F673">
        <v>0</v>
      </c>
      <c r="G673">
        <v>0</v>
      </c>
      <c r="H673">
        <v>196</v>
      </c>
      <c r="I673">
        <v>12</v>
      </c>
      <c r="J673">
        <v>320</v>
      </c>
      <c r="K673">
        <f>COUNTIF(DF_Calculation!E:E,Table1[[#This Row],[ACS_CODE]])</f>
        <v>1</v>
      </c>
    </row>
    <row r="674" spans="1:11" x14ac:dyDescent="0.25">
      <c r="A674">
        <v>26212</v>
      </c>
      <c r="B674" t="s">
        <v>916</v>
      </c>
      <c r="C674" t="s">
        <v>1295</v>
      </c>
      <c r="D674" t="s">
        <v>2068</v>
      </c>
      <c r="E674">
        <v>112</v>
      </c>
      <c r="F674">
        <v>0</v>
      </c>
      <c r="G674">
        <v>0</v>
      </c>
      <c r="H674">
        <v>757</v>
      </c>
      <c r="I674">
        <v>18</v>
      </c>
      <c r="J674">
        <v>887</v>
      </c>
      <c r="K674">
        <f>COUNTIF(DF_Calculation!E:E,Table1[[#This Row],[ACS_CODE]])</f>
        <v>1</v>
      </c>
    </row>
    <row r="675" spans="1:11" x14ac:dyDescent="0.25">
      <c r="A675">
        <v>34356</v>
      </c>
      <c r="B675" t="s">
        <v>919</v>
      </c>
      <c r="C675" t="s">
        <v>931</v>
      </c>
      <c r="D675" t="s">
        <v>1084</v>
      </c>
      <c r="E675">
        <v>111</v>
      </c>
      <c r="F675">
        <v>0</v>
      </c>
      <c r="G675">
        <v>0</v>
      </c>
      <c r="H675">
        <v>989</v>
      </c>
      <c r="I675">
        <v>25</v>
      </c>
      <c r="J675">
        <v>1125</v>
      </c>
      <c r="K675">
        <f>COUNTIF(DF_Calculation!E:E,Table1[[#This Row],[ACS_CODE]])</f>
        <v>1</v>
      </c>
    </row>
    <row r="676" spans="1:11" x14ac:dyDescent="0.25">
      <c r="A676">
        <v>51117</v>
      </c>
      <c r="B676" t="s">
        <v>1260</v>
      </c>
      <c r="C676" t="s">
        <v>1259</v>
      </c>
      <c r="D676" t="s">
        <v>2069</v>
      </c>
      <c r="E676">
        <v>111</v>
      </c>
      <c r="F676">
        <v>0</v>
      </c>
      <c r="G676">
        <v>0</v>
      </c>
      <c r="H676">
        <v>3755</v>
      </c>
      <c r="I676">
        <v>265</v>
      </c>
      <c r="J676">
        <v>4131</v>
      </c>
      <c r="K676">
        <f>COUNTIF(DF_Calculation!E:E,Table1[[#This Row],[ACS_CODE]])</f>
        <v>1</v>
      </c>
    </row>
    <row r="677" spans="1:11" x14ac:dyDescent="0.25">
      <c r="A677">
        <v>22459</v>
      </c>
      <c r="B677" t="s">
        <v>916</v>
      </c>
      <c r="C677" t="s">
        <v>915</v>
      </c>
      <c r="D677" t="s">
        <v>1085</v>
      </c>
      <c r="E677">
        <v>110</v>
      </c>
      <c r="F677">
        <v>0</v>
      </c>
      <c r="G677">
        <v>0</v>
      </c>
      <c r="H677">
        <v>3344</v>
      </c>
      <c r="I677">
        <v>572</v>
      </c>
      <c r="J677">
        <v>4026</v>
      </c>
      <c r="K677">
        <f>COUNTIF(DF_Calculation!E:E,Table1[[#This Row],[ACS_CODE]])</f>
        <v>1</v>
      </c>
    </row>
    <row r="678" spans="1:11" x14ac:dyDescent="0.25">
      <c r="A678">
        <v>61437</v>
      </c>
      <c r="B678" t="s">
        <v>1270</v>
      </c>
      <c r="C678" t="s">
        <v>1288</v>
      </c>
      <c r="D678" t="s">
        <v>1340</v>
      </c>
      <c r="E678">
        <v>110</v>
      </c>
      <c r="F678">
        <v>0</v>
      </c>
      <c r="G678">
        <v>0</v>
      </c>
      <c r="H678">
        <v>772</v>
      </c>
      <c r="I678">
        <v>17</v>
      </c>
      <c r="J678">
        <v>899</v>
      </c>
      <c r="K678">
        <f>COUNTIF(DF_Calculation!E:E,Table1[[#This Row],[ACS_CODE]])</f>
        <v>1</v>
      </c>
    </row>
    <row r="679" spans="1:11" x14ac:dyDescent="0.25">
      <c r="A679">
        <v>32143</v>
      </c>
      <c r="B679" t="s">
        <v>919</v>
      </c>
      <c r="C679" t="s">
        <v>934</v>
      </c>
      <c r="D679" t="s">
        <v>1341</v>
      </c>
      <c r="E679">
        <v>109</v>
      </c>
      <c r="F679">
        <v>0</v>
      </c>
      <c r="G679">
        <v>0</v>
      </c>
      <c r="H679">
        <v>669</v>
      </c>
      <c r="J679">
        <v>778</v>
      </c>
      <c r="K679">
        <f>COUNTIF(DF_Calculation!E:E,Table1[[#This Row],[ACS_CODE]])</f>
        <v>1</v>
      </c>
    </row>
    <row r="680" spans="1:11" x14ac:dyDescent="0.25">
      <c r="A680">
        <v>33147</v>
      </c>
      <c r="B680" t="s">
        <v>919</v>
      </c>
      <c r="C680" t="s">
        <v>1297</v>
      </c>
      <c r="D680" t="s">
        <v>2070</v>
      </c>
      <c r="E680">
        <v>109</v>
      </c>
      <c r="F680">
        <v>0</v>
      </c>
      <c r="G680">
        <v>0</v>
      </c>
      <c r="H680">
        <v>149</v>
      </c>
      <c r="I680">
        <v>5</v>
      </c>
      <c r="J680">
        <v>263</v>
      </c>
      <c r="K680">
        <f>COUNTIF(DF_Calculation!E:E,Table1[[#This Row],[ACS_CODE]])</f>
        <v>1</v>
      </c>
    </row>
    <row r="681" spans="1:11" x14ac:dyDescent="0.25">
      <c r="A681">
        <v>24369</v>
      </c>
      <c r="B681" t="s">
        <v>916</v>
      </c>
      <c r="C681" t="s">
        <v>1282</v>
      </c>
      <c r="D681" t="s">
        <v>1342</v>
      </c>
      <c r="E681">
        <v>108</v>
      </c>
      <c r="F681">
        <v>0</v>
      </c>
      <c r="G681">
        <v>0</v>
      </c>
      <c r="H681">
        <v>1599</v>
      </c>
      <c r="I681">
        <v>20</v>
      </c>
      <c r="J681">
        <v>1727</v>
      </c>
      <c r="K681">
        <f>COUNTIF(DF_Calculation!E:E,Table1[[#This Row],[ACS_CODE]])</f>
        <v>1</v>
      </c>
    </row>
    <row r="682" spans="1:11" x14ac:dyDescent="0.25">
      <c r="A682">
        <v>53377</v>
      </c>
      <c r="B682" t="s">
        <v>1201</v>
      </c>
      <c r="C682" t="s">
        <v>1266</v>
      </c>
      <c r="D682" t="s">
        <v>2071</v>
      </c>
      <c r="E682">
        <v>108</v>
      </c>
      <c r="F682">
        <v>0</v>
      </c>
      <c r="G682">
        <v>0</v>
      </c>
      <c r="H682">
        <v>972</v>
      </c>
      <c r="I682">
        <v>20</v>
      </c>
      <c r="J682">
        <v>1100</v>
      </c>
      <c r="K682">
        <f>COUNTIF(DF_Calculation!E:E,Table1[[#This Row],[ACS_CODE]])</f>
        <v>1</v>
      </c>
    </row>
    <row r="683" spans="1:11" x14ac:dyDescent="0.25">
      <c r="A683">
        <v>23631</v>
      </c>
      <c r="B683" t="s">
        <v>916</v>
      </c>
      <c r="C683" t="s">
        <v>921</v>
      </c>
      <c r="D683" t="s">
        <v>1086</v>
      </c>
      <c r="E683">
        <v>108</v>
      </c>
      <c r="F683">
        <v>0</v>
      </c>
      <c r="G683">
        <v>0</v>
      </c>
      <c r="H683">
        <v>2135</v>
      </c>
      <c r="I683">
        <v>10</v>
      </c>
      <c r="J683">
        <v>2253</v>
      </c>
      <c r="K683">
        <f>COUNTIF(DF_Calculation!E:E,Table1[[#This Row],[ACS_CODE]])</f>
        <v>1</v>
      </c>
    </row>
    <row r="684" spans="1:11" x14ac:dyDescent="0.25">
      <c r="A684">
        <v>25156</v>
      </c>
      <c r="B684" t="s">
        <v>916</v>
      </c>
      <c r="C684" t="s">
        <v>1307</v>
      </c>
      <c r="D684" t="s">
        <v>2072</v>
      </c>
      <c r="E684">
        <v>108</v>
      </c>
      <c r="F684">
        <v>0</v>
      </c>
      <c r="G684">
        <v>0</v>
      </c>
      <c r="H684">
        <v>2572</v>
      </c>
      <c r="I684">
        <v>186</v>
      </c>
      <c r="J684">
        <v>2866</v>
      </c>
      <c r="K684">
        <f>COUNTIF(DF_Calculation!E:E,Table1[[#This Row],[ACS_CODE]])</f>
        <v>1</v>
      </c>
    </row>
    <row r="685" spans="1:11" x14ac:dyDescent="0.25">
      <c r="A685">
        <v>62223</v>
      </c>
      <c r="B685" t="s">
        <v>1270</v>
      </c>
      <c r="C685" t="s">
        <v>1269</v>
      </c>
      <c r="D685" t="s">
        <v>2073</v>
      </c>
      <c r="E685">
        <v>108</v>
      </c>
      <c r="F685">
        <v>0</v>
      </c>
      <c r="G685">
        <v>0</v>
      </c>
      <c r="H685">
        <v>1053</v>
      </c>
      <c r="I685">
        <v>5</v>
      </c>
      <c r="J685">
        <v>1166</v>
      </c>
      <c r="K685">
        <f>COUNTIF(DF_Calculation!E:E,Table1[[#This Row],[ACS_CODE]])</f>
        <v>1</v>
      </c>
    </row>
    <row r="686" spans="1:11" x14ac:dyDescent="0.25">
      <c r="A686">
        <v>26135</v>
      </c>
      <c r="B686" t="s">
        <v>916</v>
      </c>
      <c r="C686" t="s">
        <v>1295</v>
      </c>
      <c r="D686" t="s">
        <v>2074</v>
      </c>
      <c r="E686">
        <v>107</v>
      </c>
      <c r="F686">
        <v>0</v>
      </c>
      <c r="G686">
        <v>0</v>
      </c>
      <c r="H686">
        <v>1533</v>
      </c>
      <c r="I686">
        <v>116</v>
      </c>
      <c r="J686">
        <v>1756</v>
      </c>
      <c r="K686">
        <f>COUNTIF(DF_Calculation!E:E,Table1[[#This Row],[ACS_CODE]])</f>
        <v>1</v>
      </c>
    </row>
    <row r="687" spans="1:11" x14ac:dyDescent="0.25">
      <c r="A687">
        <v>35183</v>
      </c>
      <c r="B687" t="s">
        <v>991</v>
      </c>
      <c r="C687" t="s">
        <v>991</v>
      </c>
      <c r="D687" t="s">
        <v>2075</v>
      </c>
      <c r="E687">
        <v>106</v>
      </c>
      <c r="F687">
        <v>0</v>
      </c>
      <c r="G687">
        <v>0</v>
      </c>
      <c r="H687">
        <v>817</v>
      </c>
      <c r="I687">
        <v>4</v>
      </c>
      <c r="J687">
        <v>927</v>
      </c>
      <c r="K687">
        <f>COUNTIF(DF_Calculation!E:E,Table1[[#This Row],[ACS_CODE]])</f>
        <v>1</v>
      </c>
    </row>
    <row r="688" spans="1:11" x14ac:dyDescent="0.25">
      <c r="A688">
        <v>21227</v>
      </c>
      <c r="B688" t="s">
        <v>916</v>
      </c>
      <c r="C688" t="s">
        <v>1275</v>
      </c>
      <c r="D688" t="s">
        <v>2076</v>
      </c>
      <c r="E688">
        <v>106</v>
      </c>
      <c r="F688">
        <v>0</v>
      </c>
      <c r="G688">
        <v>0</v>
      </c>
      <c r="H688">
        <v>910</v>
      </c>
      <c r="I688">
        <v>117</v>
      </c>
      <c r="J688">
        <v>1133</v>
      </c>
      <c r="K688">
        <f>COUNTIF(DF_Calculation!E:E,Table1[[#This Row],[ACS_CODE]])</f>
        <v>1</v>
      </c>
    </row>
    <row r="689" spans="1:11" x14ac:dyDescent="0.25">
      <c r="A689">
        <v>25313</v>
      </c>
      <c r="B689" t="s">
        <v>916</v>
      </c>
      <c r="C689" t="s">
        <v>1307</v>
      </c>
      <c r="D689" t="s">
        <v>2077</v>
      </c>
      <c r="E689">
        <v>106</v>
      </c>
      <c r="F689">
        <v>0</v>
      </c>
      <c r="G689">
        <v>0</v>
      </c>
      <c r="H689">
        <v>1751</v>
      </c>
      <c r="I689">
        <v>119</v>
      </c>
      <c r="J689">
        <v>1976</v>
      </c>
      <c r="K689">
        <f>COUNTIF(DF_Calculation!E:E,Table1[[#This Row],[ACS_CODE]])</f>
        <v>1</v>
      </c>
    </row>
    <row r="690" spans="1:11" x14ac:dyDescent="0.25">
      <c r="A690">
        <v>25241</v>
      </c>
      <c r="B690" t="s">
        <v>916</v>
      </c>
      <c r="C690" t="s">
        <v>1307</v>
      </c>
      <c r="D690" t="s">
        <v>2078</v>
      </c>
      <c r="E690">
        <v>106</v>
      </c>
      <c r="F690">
        <v>0</v>
      </c>
      <c r="G690">
        <v>0</v>
      </c>
      <c r="H690">
        <v>767</v>
      </c>
      <c r="I690">
        <v>20</v>
      </c>
      <c r="J690">
        <v>893</v>
      </c>
      <c r="K690">
        <f>COUNTIF(DF_Calculation!E:E,Table1[[#This Row],[ACS_CODE]])</f>
        <v>1</v>
      </c>
    </row>
    <row r="691" spans="1:11" x14ac:dyDescent="0.25">
      <c r="A691">
        <v>26218</v>
      </c>
      <c r="B691" t="s">
        <v>916</v>
      </c>
      <c r="C691" t="s">
        <v>1295</v>
      </c>
      <c r="D691" t="s">
        <v>2079</v>
      </c>
      <c r="E691">
        <v>105</v>
      </c>
      <c r="F691">
        <v>0</v>
      </c>
      <c r="G691">
        <v>0</v>
      </c>
      <c r="H691">
        <v>1885</v>
      </c>
      <c r="I691">
        <v>13</v>
      </c>
      <c r="J691">
        <v>2003</v>
      </c>
      <c r="K691">
        <f>COUNTIF(DF_Calculation!E:E,Table1[[#This Row],[ACS_CODE]])</f>
        <v>1</v>
      </c>
    </row>
    <row r="692" spans="1:11" x14ac:dyDescent="0.25">
      <c r="A692">
        <v>25146</v>
      </c>
      <c r="B692" t="s">
        <v>916</v>
      </c>
      <c r="C692" t="s">
        <v>1307</v>
      </c>
      <c r="D692" t="s">
        <v>2080</v>
      </c>
      <c r="E692">
        <v>105</v>
      </c>
      <c r="F692">
        <v>0</v>
      </c>
      <c r="G692">
        <v>0</v>
      </c>
      <c r="H692">
        <v>2470</v>
      </c>
      <c r="I692">
        <v>247</v>
      </c>
      <c r="J692">
        <v>2822</v>
      </c>
      <c r="K692">
        <f>COUNTIF(DF_Calculation!E:E,Table1[[#This Row],[ACS_CODE]])</f>
        <v>1</v>
      </c>
    </row>
    <row r="693" spans="1:11" x14ac:dyDescent="0.25">
      <c r="A693">
        <v>52176</v>
      </c>
      <c r="B693" t="s">
        <v>1260</v>
      </c>
      <c r="C693" t="s">
        <v>1323</v>
      </c>
      <c r="D693" t="s">
        <v>2081</v>
      </c>
      <c r="E693">
        <v>104</v>
      </c>
      <c r="F693">
        <v>0</v>
      </c>
      <c r="G693">
        <v>0</v>
      </c>
      <c r="H693">
        <v>625</v>
      </c>
      <c r="I693">
        <v>8</v>
      </c>
      <c r="J693">
        <v>737</v>
      </c>
      <c r="K693">
        <f>COUNTIF(DF_Calculation!E:E,Table1[[#This Row],[ACS_CODE]])</f>
        <v>1</v>
      </c>
    </row>
    <row r="694" spans="1:11" x14ac:dyDescent="0.25">
      <c r="A694">
        <v>35151</v>
      </c>
      <c r="B694" t="s">
        <v>991</v>
      </c>
      <c r="C694" t="s">
        <v>991</v>
      </c>
      <c r="D694" t="s">
        <v>2082</v>
      </c>
      <c r="E694">
        <v>103</v>
      </c>
      <c r="F694">
        <v>0</v>
      </c>
      <c r="G694">
        <v>0</v>
      </c>
      <c r="H694">
        <v>1605</v>
      </c>
      <c r="I694">
        <v>12</v>
      </c>
      <c r="J694">
        <v>1720</v>
      </c>
      <c r="K694">
        <f>COUNTIF(DF_Calculation!E:E,Table1[[#This Row],[ACS_CODE]])</f>
        <v>1</v>
      </c>
    </row>
    <row r="695" spans="1:11" x14ac:dyDescent="0.25">
      <c r="A695">
        <v>73262</v>
      </c>
      <c r="B695" t="s">
        <v>937</v>
      </c>
      <c r="C695" t="s">
        <v>1278</v>
      </c>
      <c r="D695" t="s">
        <v>2083</v>
      </c>
      <c r="E695">
        <v>103</v>
      </c>
      <c r="F695">
        <v>0</v>
      </c>
      <c r="G695">
        <v>0</v>
      </c>
      <c r="H695">
        <v>806</v>
      </c>
      <c r="I695">
        <v>200</v>
      </c>
      <c r="J695">
        <v>1109</v>
      </c>
      <c r="K695">
        <f>COUNTIF(DF_Calculation!E:E,Table1[[#This Row],[ACS_CODE]])</f>
        <v>1</v>
      </c>
    </row>
    <row r="696" spans="1:11" x14ac:dyDescent="0.25">
      <c r="A696">
        <v>33165</v>
      </c>
      <c r="B696" t="s">
        <v>919</v>
      </c>
      <c r="C696" t="s">
        <v>1297</v>
      </c>
      <c r="D696" t="s">
        <v>2084</v>
      </c>
      <c r="E696">
        <v>103</v>
      </c>
      <c r="F696">
        <v>0</v>
      </c>
      <c r="G696">
        <v>0</v>
      </c>
      <c r="H696">
        <v>561</v>
      </c>
      <c r="I696">
        <v>11</v>
      </c>
      <c r="J696">
        <v>675</v>
      </c>
      <c r="K696">
        <f>COUNTIF(DF_Calculation!E:E,Table1[[#This Row],[ACS_CODE]])</f>
        <v>1</v>
      </c>
    </row>
    <row r="697" spans="1:11" x14ac:dyDescent="0.25">
      <c r="A697">
        <v>25451</v>
      </c>
      <c r="B697" t="s">
        <v>916</v>
      </c>
      <c r="C697" t="s">
        <v>1307</v>
      </c>
      <c r="D697" t="s">
        <v>2085</v>
      </c>
      <c r="E697">
        <v>102</v>
      </c>
      <c r="F697">
        <v>0</v>
      </c>
      <c r="G697">
        <v>0</v>
      </c>
      <c r="H697">
        <v>867</v>
      </c>
      <c r="I697">
        <v>6</v>
      </c>
      <c r="J697">
        <v>975</v>
      </c>
      <c r="K697">
        <f>COUNTIF(DF_Calculation!E:E,Table1[[#This Row],[ACS_CODE]])</f>
        <v>1</v>
      </c>
    </row>
    <row r="698" spans="1:11" x14ac:dyDescent="0.25">
      <c r="A698">
        <v>62215</v>
      </c>
      <c r="B698" t="s">
        <v>1270</v>
      </c>
      <c r="C698" t="s">
        <v>1269</v>
      </c>
      <c r="D698" t="s">
        <v>2086</v>
      </c>
      <c r="E698">
        <v>102</v>
      </c>
      <c r="F698">
        <v>0</v>
      </c>
      <c r="G698">
        <v>0</v>
      </c>
      <c r="H698">
        <v>1517</v>
      </c>
      <c r="I698">
        <v>8</v>
      </c>
      <c r="J698">
        <v>1627</v>
      </c>
      <c r="K698">
        <f>COUNTIF(DF_Calculation!E:E,Table1[[#This Row],[ACS_CODE]])</f>
        <v>1</v>
      </c>
    </row>
    <row r="699" spans="1:11" x14ac:dyDescent="0.25">
      <c r="A699">
        <v>62227</v>
      </c>
      <c r="B699" t="s">
        <v>1270</v>
      </c>
      <c r="C699" t="s">
        <v>1269</v>
      </c>
      <c r="D699" t="s">
        <v>2087</v>
      </c>
      <c r="E699">
        <v>102</v>
      </c>
      <c r="F699">
        <v>0</v>
      </c>
      <c r="G699">
        <v>0</v>
      </c>
      <c r="H699">
        <v>1543</v>
      </c>
      <c r="I699">
        <v>7</v>
      </c>
      <c r="J699">
        <v>1652</v>
      </c>
      <c r="K699">
        <f>COUNTIF(DF_Calculation!E:E,Table1[[#This Row],[ACS_CODE]])</f>
        <v>1</v>
      </c>
    </row>
    <row r="700" spans="1:11" x14ac:dyDescent="0.25">
      <c r="A700">
        <v>24424</v>
      </c>
      <c r="B700" t="s">
        <v>916</v>
      </c>
      <c r="C700" t="s">
        <v>1282</v>
      </c>
      <c r="D700" t="s">
        <v>2088</v>
      </c>
      <c r="E700">
        <v>101</v>
      </c>
      <c r="F700">
        <v>0</v>
      </c>
      <c r="G700">
        <v>0</v>
      </c>
      <c r="H700">
        <v>3269</v>
      </c>
      <c r="I700">
        <v>70</v>
      </c>
      <c r="J700">
        <v>3440</v>
      </c>
      <c r="K700">
        <f>COUNTIF(DF_Calculation!E:E,Table1[[#This Row],[ACS_CODE]])</f>
        <v>1</v>
      </c>
    </row>
    <row r="701" spans="1:11" x14ac:dyDescent="0.25">
      <c r="A701">
        <v>73151</v>
      </c>
      <c r="B701" t="s">
        <v>937</v>
      </c>
      <c r="C701" t="s">
        <v>1278</v>
      </c>
      <c r="D701" t="s">
        <v>2089</v>
      </c>
      <c r="E701">
        <v>101</v>
      </c>
      <c r="F701">
        <v>0</v>
      </c>
      <c r="G701">
        <v>0</v>
      </c>
      <c r="H701">
        <v>1847</v>
      </c>
      <c r="I701">
        <v>22</v>
      </c>
      <c r="J701">
        <v>1970</v>
      </c>
      <c r="K701">
        <f>COUNTIF(DF_Calculation!E:E,Table1[[#This Row],[ACS_CODE]])</f>
        <v>1</v>
      </c>
    </row>
    <row r="702" spans="1:11" x14ac:dyDescent="0.25">
      <c r="A702">
        <v>35125</v>
      </c>
      <c r="B702" t="s">
        <v>991</v>
      </c>
      <c r="C702" t="s">
        <v>991</v>
      </c>
      <c r="D702" t="s">
        <v>1343</v>
      </c>
      <c r="E702">
        <v>100</v>
      </c>
      <c r="F702">
        <v>0</v>
      </c>
      <c r="G702">
        <v>0</v>
      </c>
      <c r="H702">
        <v>2467</v>
      </c>
      <c r="I702">
        <v>40</v>
      </c>
      <c r="J702">
        <v>2607</v>
      </c>
      <c r="K702">
        <f>COUNTIF(DF_Calculation!E:E,Table1[[#This Row],[ACS_CODE]])</f>
        <v>1</v>
      </c>
    </row>
    <row r="703" spans="1:11" x14ac:dyDescent="0.25">
      <c r="A703">
        <v>34266</v>
      </c>
      <c r="B703" t="s">
        <v>919</v>
      </c>
      <c r="C703" t="s">
        <v>931</v>
      </c>
      <c r="D703" t="s">
        <v>1087</v>
      </c>
      <c r="E703">
        <v>100</v>
      </c>
      <c r="F703">
        <v>0</v>
      </c>
      <c r="G703">
        <v>0</v>
      </c>
      <c r="H703">
        <v>534</v>
      </c>
      <c r="I703">
        <v>10</v>
      </c>
      <c r="J703">
        <v>644</v>
      </c>
      <c r="K703">
        <f>COUNTIF(DF_Calculation!E:E,Table1[[#This Row],[ACS_CODE]])</f>
        <v>1</v>
      </c>
    </row>
    <row r="704" spans="1:11" x14ac:dyDescent="0.25">
      <c r="A704">
        <v>22571</v>
      </c>
      <c r="B704" t="s">
        <v>916</v>
      </c>
      <c r="C704" t="s">
        <v>915</v>
      </c>
      <c r="D704" t="s">
        <v>1088</v>
      </c>
      <c r="E704">
        <v>100</v>
      </c>
      <c r="F704">
        <v>0</v>
      </c>
      <c r="G704">
        <v>0</v>
      </c>
      <c r="H704">
        <v>616</v>
      </c>
      <c r="I704">
        <v>6</v>
      </c>
      <c r="J704">
        <v>722</v>
      </c>
      <c r="K704">
        <f>COUNTIF(DF_Calculation!E:E,Table1[[#This Row],[ACS_CODE]])</f>
        <v>1</v>
      </c>
    </row>
    <row r="705" spans="1:11" x14ac:dyDescent="0.25">
      <c r="A705">
        <v>72159</v>
      </c>
      <c r="B705" t="s">
        <v>937</v>
      </c>
      <c r="C705" t="s">
        <v>1514</v>
      </c>
      <c r="D705" t="s">
        <v>2090</v>
      </c>
      <c r="E705">
        <v>99</v>
      </c>
      <c r="F705">
        <v>0</v>
      </c>
      <c r="G705">
        <v>0</v>
      </c>
      <c r="H705">
        <v>2247</v>
      </c>
      <c r="J705">
        <v>2346</v>
      </c>
      <c r="K705">
        <f>COUNTIF(DF_Calculation!E:E,Table1[[#This Row],[ACS_CODE]])</f>
        <v>1</v>
      </c>
    </row>
    <row r="706" spans="1:11" x14ac:dyDescent="0.25">
      <c r="A706">
        <v>63355</v>
      </c>
      <c r="B706" t="s">
        <v>1270</v>
      </c>
      <c r="C706" t="s">
        <v>1332</v>
      </c>
      <c r="D706" t="s">
        <v>2091</v>
      </c>
      <c r="E706">
        <v>99</v>
      </c>
      <c r="F706">
        <v>0</v>
      </c>
      <c r="G706">
        <v>0</v>
      </c>
      <c r="H706">
        <v>486</v>
      </c>
      <c r="I706">
        <v>3</v>
      </c>
      <c r="J706">
        <v>588</v>
      </c>
      <c r="K706">
        <f>COUNTIF(DF_Calculation!E:E,Table1[[#This Row],[ACS_CODE]])</f>
        <v>1</v>
      </c>
    </row>
    <row r="707" spans="1:11" x14ac:dyDescent="0.25">
      <c r="A707">
        <v>61123</v>
      </c>
      <c r="B707" t="s">
        <v>1270</v>
      </c>
      <c r="C707" t="s">
        <v>1288</v>
      </c>
      <c r="D707" t="s">
        <v>2092</v>
      </c>
      <c r="E707">
        <v>99</v>
      </c>
      <c r="F707">
        <v>539</v>
      </c>
      <c r="G707">
        <v>0</v>
      </c>
      <c r="H707">
        <v>740</v>
      </c>
      <c r="I707">
        <v>21</v>
      </c>
      <c r="J707">
        <v>1399</v>
      </c>
      <c r="K707">
        <f>COUNTIF(DF_Calculation!E:E,Table1[[#This Row],[ACS_CODE]])</f>
        <v>1</v>
      </c>
    </row>
    <row r="708" spans="1:11" x14ac:dyDescent="0.25">
      <c r="A708">
        <v>26331</v>
      </c>
      <c r="B708" t="s">
        <v>916</v>
      </c>
      <c r="C708" t="s">
        <v>1295</v>
      </c>
      <c r="D708" t="s">
        <v>2093</v>
      </c>
      <c r="E708">
        <v>98</v>
      </c>
      <c r="F708">
        <v>0</v>
      </c>
      <c r="G708">
        <v>0</v>
      </c>
      <c r="H708">
        <v>231</v>
      </c>
      <c r="I708">
        <v>5</v>
      </c>
      <c r="J708">
        <v>334</v>
      </c>
      <c r="K708">
        <f>COUNTIF(DF_Calculation!E:E,Table1[[#This Row],[ACS_CODE]])</f>
        <v>1</v>
      </c>
    </row>
    <row r="709" spans="1:11" x14ac:dyDescent="0.25">
      <c r="A709">
        <v>61211</v>
      </c>
      <c r="B709" t="s">
        <v>1270</v>
      </c>
      <c r="C709" t="s">
        <v>1288</v>
      </c>
      <c r="D709" t="s">
        <v>2094</v>
      </c>
      <c r="E709">
        <v>98</v>
      </c>
      <c r="F709">
        <v>539</v>
      </c>
      <c r="G709">
        <v>0</v>
      </c>
      <c r="H709">
        <v>440</v>
      </c>
      <c r="I709">
        <v>12</v>
      </c>
      <c r="J709">
        <v>1089</v>
      </c>
      <c r="K709">
        <f>COUNTIF(DF_Calculation!E:E,Table1[[#This Row],[ACS_CODE]])</f>
        <v>1</v>
      </c>
    </row>
    <row r="710" spans="1:11" x14ac:dyDescent="0.25">
      <c r="A710">
        <v>23326</v>
      </c>
      <c r="B710" t="s">
        <v>916</v>
      </c>
      <c r="C710" t="s">
        <v>921</v>
      </c>
      <c r="D710" t="s">
        <v>1089</v>
      </c>
      <c r="E710">
        <v>97</v>
      </c>
      <c r="F710">
        <v>0</v>
      </c>
      <c r="G710">
        <v>0</v>
      </c>
      <c r="H710">
        <v>1</v>
      </c>
      <c r="J710">
        <v>98</v>
      </c>
      <c r="K710">
        <f>COUNTIF(DF_Calculation!E:E,Table1[[#This Row],[ACS_CODE]])</f>
        <v>1</v>
      </c>
    </row>
    <row r="711" spans="1:11" x14ac:dyDescent="0.25">
      <c r="A711">
        <v>34133</v>
      </c>
      <c r="B711" t="s">
        <v>919</v>
      </c>
      <c r="C711" t="s">
        <v>931</v>
      </c>
      <c r="D711" t="s">
        <v>1090</v>
      </c>
      <c r="E711">
        <v>97</v>
      </c>
      <c r="F711">
        <v>0</v>
      </c>
      <c r="G711">
        <v>0</v>
      </c>
      <c r="H711">
        <v>517</v>
      </c>
      <c r="I711">
        <v>21</v>
      </c>
      <c r="J711">
        <v>635</v>
      </c>
      <c r="K711">
        <f>COUNTIF(DF_Calculation!E:E,Table1[[#This Row],[ACS_CODE]])</f>
        <v>1</v>
      </c>
    </row>
    <row r="712" spans="1:11" x14ac:dyDescent="0.25">
      <c r="A712">
        <v>34212</v>
      </c>
      <c r="B712" t="s">
        <v>919</v>
      </c>
      <c r="C712" t="s">
        <v>931</v>
      </c>
      <c r="D712" t="s">
        <v>2095</v>
      </c>
      <c r="E712">
        <v>97</v>
      </c>
      <c r="F712">
        <v>0</v>
      </c>
      <c r="G712">
        <v>0</v>
      </c>
      <c r="H712">
        <v>408</v>
      </c>
      <c r="J712">
        <v>505</v>
      </c>
      <c r="K712">
        <f>COUNTIF(DF_Calculation!E:E,Table1[[#This Row],[ACS_CODE]])</f>
        <v>1</v>
      </c>
    </row>
    <row r="713" spans="1:11" x14ac:dyDescent="0.25">
      <c r="A713">
        <v>62308</v>
      </c>
      <c r="B713" t="s">
        <v>1270</v>
      </c>
      <c r="C713" t="s">
        <v>1269</v>
      </c>
      <c r="D713" t="s">
        <v>2096</v>
      </c>
      <c r="E713">
        <v>97</v>
      </c>
      <c r="F713">
        <v>0</v>
      </c>
      <c r="G713">
        <v>0</v>
      </c>
      <c r="H713">
        <v>1233</v>
      </c>
      <c r="J713">
        <v>1330</v>
      </c>
      <c r="K713">
        <f>COUNTIF(DF_Calculation!E:E,Table1[[#This Row],[ACS_CODE]])</f>
        <v>1</v>
      </c>
    </row>
    <row r="714" spans="1:11" x14ac:dyDescent="0.25">
      <c r="A714">
        <v>25431</v>
      </c>
      <c r="B714" t="s">
        <v>916</v>
      </c>
      <c r="C714" t="s">
        <v>1307</v>
      </c>
      <c r="D714" t="s">
        <v>2097</v>
      </c>
      <c r="E714">
        <v>96</v>
      </c>
      <c r="F714">
        <v>0</v>
      </c>
      <c r="G714">
        <v>0</v>
      </c>
      <c r="H714">
        <v>878</v>
      </c>
      <c r="I714">
        <v>6</v>
      </c>
      <c r="J714">
        <v>980</v>
      </c>
      <c r="K714">
        <f>COUNTIF(DF_Calculation!E:E,Table1[[#This Row],[ACS_CODE]])</f>
        <v>1</v>
      </c>
    </row>
    <row r="715" spans="1:11" x14ac:dyDescent="0.25">
      <c r="A715">
        <v>35265</v>
      </c>
      <c r="B715" t="s">
        <v>991</v>
      </c>
      <c r="C715" t="s">
        <v>991</v>
      </c>
      <c r="D715" t="s">
        <v>2098</v>
      </c>
      <c r="E715">
        <v>95</v>
      </c>
      <c r="F715">
        <v>0</v>
      </c>
      <c r="G715">
        <v>0</v>
      </c>
      <c r="H715">
        <v>1211</v>
      </c>
      <c r="J715">
        <v>1306</v>
      </c>
      <c r="K715">
        <f>COUNTIF(DF_Calculation!E:E,Table1[[#This Row],[ACS_CODE]])</f>
        <v>1</v>
      </c>
    </row>
    <row r="716" spans="1:11" x14ac:dyDescent="0.25">
      <c r="A716">
        <v>21317</v>
      </c>
      <c r="B716" t="s">
        <v>916</v>
      </c>
      <c r="C716" t="s">
        <v>1275</v>
      </c>
      <c r="D716" t="s">
        <v>2099</v>
      </c>
      <c r="E716">
        <v>95</v>
      </c>
      <c r="F716">
        <v>0</v>
      </c>
      <c r="G716">
        <v>0</v>
      </c>
      <c r="H716">
        <v>671</v>
      </c>
      <c r="I716">
        <v>56</v>
      </c>
      <c r="J716">
        <v>822</v>
      </c>
      <c r="K716">
        <f>COUNTIF(DF_Calculation!E:E,Table1[[#This Row],[ACS_CODE]])</f>
        <v>1</v>
      </c>
    </row>
    <row r="717" spans="1:11" x14ac:dyDescent="0.25">
      <c r="A717">
        <v>25271</v>
      </c>
      <c r="B717" t="s">
        <v>916</v>
      </c>
      <c r="C717" t="s">
        <v>1307</v>
      </c>
      <c r="D717" t="s">
        <v>2100</v>
      </c>
      <c r="E717">
        <v>95</v>
      </c>
      <c r="F717">
        <v>0</v>
      </c>
      <c r="G717">
        <v>0</v>
      </c>
      <c r="H717">
        <v>2530</v>
      </c>
      <c r="I717">
        <v>40</v>
      </c>
      <c r="J717">
        <v>2665</v>
      </c>
      <c r="K717">
        <f>COUNTIF(DF_Calculation!E:E,Table1[[#This Row],[ACS_CODE]])</f>
        <v>1</v>
      </c>
    </row>
    <row r="718" spans="1:11" x14ac:dyDescent="0.25">
      <c r="A718">
        <v>35443</v>
      </c>
      <c r="B718" t="s">
        <v>991</v>
      </c>
      <c r="C718" t="s">
        <v>991</v>
      </c>
      <c r="D718" t="s">
        <v>2101</v>
      </c>
      <c r="E718">
        <v>94</v>
      </c>
      <c r="F718">
        <v>0</v>
      </c>
      <c r="G718">
        <v>0</v>
      </c>
      <c r="H718">
        <v>454</v>
      </c>
      <c r="J718">
        <v>548</v>
      </c>
      <c r="K718">
        <f>COUNTIF(DF_Calculation!E:E,Table1[[#This Row],[ACS_CODE]])</f>
        <v>1</v>
      </c>
    </row>
    <row r="719" spans="1:11" x14ac:dyDescent="0.25">
      <c r="A719">
        <v>23533</v>
      </c>
      <c r="B719" t="s">
        <v>916</v>
      </c>
      <c r="C719" t="s">
        <v>921</v>
      </c>
      <c r="D719" t="s">
        <v>1091</v>
      </c>
      <c r="E719">
        <v>94</v>
      </c>
      <c r="F719">
        <v>0</v>
      </c>
      <c r="G719">
        <v>0</v>
      </c>
      <c r="H719">
        <v>1110</v>
      </c>
      <c r="I719">
        <v>16</v>
      </c>
      <c r="J719">
        <v>1220</v>
      </c>
      <c r="K719">
        <f>COUNTIF(DF_Calculation!E:E,Table1[[#This Row],[ACS_CODE]])</f>
        <v>1</v>
      </c>
    </row>
    <row r="720" spans="1:11" x14ac:dyDescent="0.25">
      <c r="A720">
        <v>34366</v>
      </c>
      <c r="B720" t="s">
        <v>919</v>
      </c>
      <c r="C720" t="s">
        <v>931</v>
      </c>
      <c r="D720" t="s">
        <v>1092</v>
      </c>
      <c r="E720">
        <v>94</v>
      </c>
      <c r="F720">
        <v>0</v>
      </c>
      <c r="G720">
        <v>0</v>
      </c>
      <c r="H720">
        <v>17</v>
      </c>
      <c r="J720">
        <v>111</v>
      </c>
      <c r="K720">
        <f>COUNTIF(DF_Calculation!E:E,Table1[[#This Row],[ACS_CODE]])</f>
        <v>1</v>
      </c>
    </row>
    <row r="721" spans="1:11" x14ac:dyDescent="0.25">
      <c r="A721">
        <v>32149</v>
      </c>
      <c r="B721" t="s">
        <v>919</v>
      </c>
      <c r="C721" t="s">
        <v>934</v>
      </c>
      <c r="D721" t="s">
        <v>1344</v>
      </c>
      <c r="E721">
        <v>94</v>
      </c>
      <c r="F721">
        <v>0</v>
      </c>
      <c r="G721">
        <v>0</v>
      </c>
      <c r="H721">
        <v>522</v>
      </c>
      <c r="I721">
        <v>4</v>
      </c>
      <c r="J721">
        <v>620</v>
      </c>
      <c r="K721">
        <f>COUNTIF(DF_Calculation!E:E,Table1[[#This Row],[ACS_CODE]])</f>
        <v>1</v>
      </c>
    </row>
    <row r="722" spans="1:11" x14ac:dyDescent="0.25">
      <c r="A722">
        <v>74133</v>
      </c>
      <c r="B722" t="s">
        <v>937</v>
      </c>
      <c r="C722" t="s">
        <v>1280</v>
      </c>
      <c r="D722" t="s">
        <v>2102</v>
      </c>
      <c r="E722">
        <v>94</v>
      </c>
      <c r="F722">
        <v>0</v>
      </c>
      <c r="G722">
        <v>0</v>
      </c>
      <c r="H722">
        <v>637</v>
      </c>
      <c r="I722">
        <v>2</v>
      </c>
      <c r="J722">
        <v>733</v>
      </c>
      <c r="K722">
        <f>COUNTIF(DF_Calculation!E:E,Table1[[#This Row],[ACS_CODE]])</f>
        <v>1</v>
      </c>
    </row>
    <row r="723" spans="1:11" x14ac:dyDescent="0.25">
      <c r="A723">
        <v>26371</v>
      </c>
      <c r="B723" t="s">
        <v>916</v>
      </c>
      <c r="C723" t="s">
        <v>1295</v>
      </c>
      <c r="D723" t="s">
        <v>2103</v>
      </c>
      <c r="E723">
        <v>94</v>
      </c>
      <c r="F723">
        <v>0</v>
      </c>
      <c r="G723">
        <v>0</v>
      </c>
      <c r="H723">
        <v>687</v>
      </c>
      <c r="I723">
        <v>64</v>
      </c>
      <c r="J723">
        <v>845</v>
      </c>
      <c r="K723">
        <f>COUNTIF(DF_Calculation!E:E,Table1[[#This Row],[ACS_CODE]])</f>
        <v>1</v>
      </c>
    </row>
    <row r="724" spans="1:11" x14ac:dyDescent="0.25">
      <c r="A724">
        <v>35117</v>
      </c>
      <c r="B724" t="s">
        <v>991</v>
      </c>
      <c r="C724" t="s">
        <v>991</v>
      </c>
      <c r="D724" t="s">
        <v>2104</v>
      </c>
      <c r="E724">
        <v>93</v>
      </c>
      <c r="F724">
        <v>0</v>
      </c>
      <c r="G724">
        <v>0</v>
      </c>
      <c r="H724">
        <v>1665</v>
      </c>
      <c r="I724">
        <v>11</v>
      </c>
      <c r="J724">
        <v>1769</v>
      </c>
      <c r="K724">
        <f>COUNTIF(DF_Calculation!E:E,Table1[[#This Row],[ACS_CODE]])</f>
        <v>1</v>
      </c>
    </row>
    <row r="725" spans="1:11" x14ac:dyDescent="0.25">
      <c r="A725">
        <v>53171</v>
      </c>
      <c r="B725" t="s">
        <v>1201</v>
      </c>
      <c r="C725" t="s">
        <v>1266</v>
      </c>
      <c r="D725" t="s">
        <v>2105</v>
      </c>
      <c r="E725">
        <v>93</v>
      </c>
      <c r="F725">
        <v>0</v>
      </c>
      <c r="G725">
        <v>0</v>
      </c>
      <c r="H725">
        <v>66</v>
      </c>
      <c r="I725">
        <v>4</v>
      </c>
      <c r="J725">
        <v>163</v>
      </c>
      <c r="K725">
        <f>COUNTIF(DF_Calculation!E:E,Table1[[#This Row],[ACS_CODE]])</f>
        <v>1</v>
      </c>
    </row>
    <row r="726" spans="1:11" x14ac:dyDescent="0.25">
      <c r="A726">
        <v>62239</v>
      </c>
      <c r="B726" t="s">
        <v>1270</v>
      </c>
      <c r="C726" t="s">
        <v>1269</v>
      </c>
      <c r="D726" t="s">
        <v>2106</v>
      </c>
      <c r="E726">
        <v>93</v>
      </c>
      <c r="F726">
        <v>0</v>
      </c>
      <c r="G726">
        <v>0</v>
      </c>
      <c r="H726">
        <v>521</v>
      </c>
      <c r="I726">
        <v>50</v>
      </c>
      <c r="J726">
        <v>664</v>
      </c>
      <c r="K726">
        <f>COUNTIF(DF_Calculation!E:E,Table1[[#This Row],[ACS_CODE]])</f>
        <v>1</v>
      </c>
    </row>
    <row r="727" spans="1:11" x14ac:dyDescent="0.25">
      <c r="A727">
        <v>23544</v>
      </c>
      <c r="B727" t="s">
        <v>916</v>
      </c>
      <c r="C727" t="s">
        <v>921</v>
      </c>
      <c r="D727" t="s">
        <v>1093</v>
      </c>
      <c r="E727">
        <v>92</v>
      </c>
      <c r="F727">
        <v>0</v>
      </c>
      <c r="G727">
        <v>0</v>
      </c>
      <c r="H727">
        <v>723</v>
      </c>
      <c r="J727">
        <v>815</v>
      </c>
      <c r="K727">
        <f>COUNTIF(DF_Calculation!E:E,Table1[[#This Row],[ACS_CODE]])</f>
        <v>1</v>
      </c>
    </row>
    <row r="728" spans="1:11" x14ac:dyDescent="0.25">
      <c r="A728">
        <v>61414</v>
      </c>
      <c r="B728" t="s">
        <v>1270</v>
      </c>
      <c r="C728" t="s">
        <v>1288</v>
      </c>
      <c r="D728" t="s">
        <v>1345</v>
      </c>
      <c r="E728">
        <v>92</v>
      </c>
      <c r="F728">
        <v>141</v>
      </c>
      <c r="G728">
        <v>0</v>
      </c>
      <c r="H728">
        <v>1111</v>
      </c>
      <c r="J728">
        <v>1344</v>
      </c>
      <c r="K728">
        <f>COUNTIF(DF_Calculation!E:E,Table1[[#This Row],[ACS_CODE]])</f>
        <v>1</v>
      </c>
    </row>
    <row r="729" spans="1:11" x14ac:dyDescent="0.25">
      <c r="A729">
        <v>53344</v>
      </c>
      <c r="B729" t="s">
        <v>1201</v>
      </c>
      <c r="C729" t="s">
        <v>1266</v>
      </c>
      <c r="D729" t="s">
        <v>2107</v>
      </c>
      <c r="E729">
        <v>91</v>
      </c>
      <c r="F729">
        <v>0</v>
      </c>
      <c r="G729">
        <v>0</v>
      </c>
      <c r="H729">
        <v>783</v>
      </c>
      <c r="I729">
        <v>24</v>
      </c>
      <c r="J729">
        <v>898</v>
      </c>
      <c r="K729">
        <f>COUNTIF(DF_Calculation!E:E,Table1[[#This Row],[ACS_CODE]])</f>
        <v>1</v>
      </c>
    </row>
    <row r="730" spans="1:11" x14ac:dyDescent="0.25">
      <c r="A730">
        <v>34233</v>
      </c>
      <c r="B730" t="s">
        <v>919</v>
      </c>
      <c r="C730" t="s">
        <v>931</v>
      </c>
      <c r="D730" t="s">
        <v>1094</v>
      </c>
      <c r="E730">
        <v>91</v>
      </c>
      <c r="F730">
        <v>0</v>
      </c>
      <c r="G730">
        <v>0</v>
      </c>
      <c r="H730">
        <v>460</v>
      </c>
      <c r="I730">
        <v>15</v>
      </c>
      <c r="J730">
        <v>566</v>
      </c>
      <c r="K730">
        <f>COUNTIF(DF_Calculation!E:E,Table1[[#This Row],[ACS_CODE]])</f>
        <v>1</v>
      </c>
    </row>
    <row r="731" spans="1:11" x14ac:dyDescent="0.25">
      <c r="A731">
        <v>62274</v>
      </c>
      <c r="B731" t="s">
        <v>1270</v>
      </c>
      <c r="C731" t="s">
        <v>1269</v>
      </c>
      <c r="D731" t="s">
        <v>2108</v>
      </c>
      <c r="E731">
        <v>91</v>
      </c>
      <c r="F731">
        <v>261</v>
      </c>
      <c r="G731">
        <v>0</v>
      </c>
      <c r="H731">
        <v>1053</v>
      </c>
      <c r="I731">
        <v>31</v>
      </c>
      <c r="J731">
        <v>1436</v>
      </c>
      <c r="K731">
        <f>COUNTIF(DF_Calculation!E:E,Table1[[#This Row],[ACS_CODE]])</f>
        <v>1</v>
      </c>
    </row>
    <row r="732" spans="1:11" x14ac:dyDescent="0.25">
      <c r="A732">
        <v>35247</v>
      </c>
      <c r="B732" t="s">
        <v>991</v>
      </c>
      <c r="C732" t="s">
        <v>991</v>
      </c>
      <c r="D732" t="s">
        <v>1346</v>
      </c>
      <c r="E732">
        <v>90</v>
      </c>
      <c r="F732">
        <v>0</v>
      </c>
      <c r="G732">
        <v>0</v>
      </c>
      <c r="H732">
        <v>90</v>
      </c>
      <c r="J732">
        <v>180</v>
      </c>
      <c r="K732">
        <f>COUNTIF(DF_Calculation!E:E,Table1[[#This Row],[ACS_CODE]])</f>
        <v>1</v>
      </c>
    </row>
    <row r="733" spans="1:11" x14ac:dyDescent="0.25">
      <c r="A733">
        <v>37382</v>
      </c>
      <c r="B733" t="s">
        <v>919</v>
      </c>
      <c r="C733" t="s">
        <v>918</v>
      </c>
      <c r="D733" t="s">
        <v>1095</v>
      </c>
      <c r="E733">
        <v>90</v>
      </c>
      <c r="F733">
        <v>0</v>
      </c>
      <c r="G733">
        <v>0</v>
      </c>
      <c r="H733">
        <v>628</v>
      </c>
      <c r="I733">
        <v>2</v>
      </c>
      <c r="J733">
        <v>720</v>
      </c>
      <c r="K733">
        <f>COUNTIF(DF_Calculation!E:E,Table1[[#This Row],[ACS_CODE]])</f>
        <v>1</v>
      </c>
    </row>
    <row r="734" spans="1:11" x14ac:dyDescent="0.25">
      <c r="A734">
        <v>35181</v>
      </c>
      <c r="B734" t="s">
        <v>991</v>
      </c>
      <c r="C734" t="s">
        <v>991</v>
      </c>
      <c r="D734" t="s">
        <v>2109</v>
      </c>
      <c r="E734">
        <v>89</v>
      </c>
      <c r="F734">
        <v>0</v>
      </c>
      <c r="G734">
        <v>0</v>
      </c>
      <c r="H734">
        <v>326</v>
      </c>
      <c r="I734">
        <v>3</v>
      </c>
      <c r="J734">
        <v>418</v>
      </c>
      <c r="K734">
        <f>COUNTIF(DF_Calculation!E:E,Table1[[#This Row],[ACS_CODE]])</f>
        <v>1</v>
      </c>
    </row>
    <row r="735" spans="1:11" x14ac:dyDescent="0.25">
      <c r="A735">
        <v>21471</v>
      </c>
      <c r="B735" t="s">
        <v>916</v>
      </c>
      <c r="C735" t="s">
        <v>1275</v>
      </c>
      <c r="D735" t="s">
        <v>2110</v>
      </c>
      <c r="E735">
        <v>89</v>
      </c>
      <c r="F735">
        <v>0</v>
      </c>
      <c r="G735">
        <v>0</v>
      </c>
      <c r="H735">
        <v>173</v>
      </c>
      <c r="I735">
        <v>9</v>
      </c>
      <c r="J735">
        <v>271</v>
      </c>
      <c r="K735">
        <f>COUNTIF(DF_Calculation!E:E,Table1[[#This Row],[ACS_CODE]])</f>
        <v>1</v>
      </c>
    </row>
    <row r="736" spans="1:11" x14ac:dyDescent="0.25">
      <c r="A736">
        <v>23366</v>
      </c>
      <c r="B736" t="s">
        <v>916</v>
      </c>
      <c r="C736" t="s">
        <v>921</v>
      </c>
      <c r="D736" t="s">
        <v>1096</v>
      </c>
      <c r="E736">
        <v>89</v>
      </c>
      <c r="F736">
        <v>0</v>
      </c>
      <c r="G736">
        <v>0</v>
      </c>
      <c r="H736">
        <v>340</v>
      </c>
      <c r="I736">
        <v>10</v>
      </c>
      <c r="J736">
        <v>439</v>
      </c>
      <c r="K736">
        <f>COUNTIF(DF_Calculation!E:E,Table1[[#This Row],[ACS_CODE]])</f>
        <v>1</v>
      </c>
    </row>
    <row r="737" spans="1:11" x14ac:dyDescent="0.25">
      <c r="A737">
        <v>37369</v>
      </c>
      <c r="B737" t="s">
        <v>919</v>
      </c>
      <c r="C737" t="s">
        <v>918</v>
      </c>
      <c r="D737" t="s">
        <v>1097</v>
      </c>
      <c r="E737">
        <v>89</v>
      </c>
      <c r="F737">
        <v>0</v>
      </c>
      <c r="G737">
        <v>0</v>
      </c>
      <c r="H737">
        <v>748</v>
      </c>
      <c r="I737">
        <v>8</v>
      </c>
      <c r="J737">
        <v>845</v>
      </c>
      <c r="K737">
        <f>COUNTIF(DF_Calculation!E:E,Table1[[#This Row],[ACS_CODE]])</f>
        <v>1</v>
      </c>
    </row>
    <row r="738" spans="1:11" x14ac:dyDescent="0.25">
      <c r="A738">
        <v>63277</v>
      </c>
      <c r="B738" t="s">
        <v>1270</v>
      </c>
      <c r="C738" t="s">
        <v>1332</v>
      </c>
      <c r="D738" t="s">
        <v>2111</v>
      </c>
      <c r="E738">
        <v>89</v>
      </c>
      <c r="F738">
        <v>0</v>
      </c>
      <c r="G738">
        <v>0</v>
      </c>
      <c r="H738">
        <v>1611</v>
      </c>
      <c r="I738">
        <v>23</v>
      </c>
      <c r="J738">
        <v>1723</v>
      </c>
      <c r="K738">
        <f>COUNTIF(DF_Calculation!E:E,Table1[[#This Row],[ACS_CODE]])</f>
        <v>1</v>
      </c>
    </row>
    <row r="739" spans="1:11" x14ac:dyDescent="0.25">
      <c r="A739">
        <v>25317</v>
      </c>
      <c r="B739" t="s">
        <v>916</v>
      </c>
      <c r="C739" t="s">
        <v>1307</v>
      </c>
      <c r="D739" t="s">
        <v>2112</v>
      </c>
      <c r="E739">
        <v>88</v>
      </c>
      <c r="F739">
        <v>0</v>
      </c>
      <c r="G739">
        <v>0</v>
      </c>
      <c r="H739">
        <v>1380</v>
      </c>
      <c r="I739">
        <v>40</v>
      </c>
      <c r="J739">
        <v>1508</v>
      </c>
      <c r="K739">
        <f>COUNTIF(DF_Calculation!E:E,Table1[[#This Row],[ACS_CODE]])</f>
        <v>1</v>
      </c>
    </row>
    <row r="740" spans="1:11" x14ac:dyDescent="0.25">
      <c r="A740">
        <v>73119</v>
      </c>
      <c r="B740" t="s">
        <v>937</v>
      </c>
      <c r="C740" t="s">
        <v>1278</v>
      </c>
      <c r="D740" t="s">
        <v>2113</v>
      </c>
      <c r="E740">
        <v>88</v>
      </c>
      <c r="F740">
        <v>0</v>
      </c>
      <c r="G740">
        <v>0</v>
      </c>
      <c r="H740">
        <v>583</v>
      </c>
      <c r="I740">
        <v>15</v>
      </c>
      <c r="J740">
        <v>686</v>
      </c>
      <c r="K740">
        <f>COUNTIF(DF_Calculation!E:E,Table1[[#This Row],[ACS_CODE]])</f>
        <v>1</v>
      </c>
    </row>
    <row r="741" spans="1:11" x14ac:dyDescent="0.25">
      <c r="A741">
        <v>61359</v>
      </c>
      <c r="B741" t="s">
        <v>1270</v>
      </c>
      <c r="C741" t="s">
        <v>1288</v>
      </c>
      <c r="D741" t="s">
        <v>2114</v>
      </c>
      <c r="E741">
        <v>88</v>
      </c>
      <c r="F741">
        <v>0</v>
      </c>
      <c r="G741">
        <v>0</v>
      </c>
      <c r="H741">
        <v>550</v>
      </c>
      <c r="I741">
        <v>4</v>
      </c>
      <c r="J741">
        <v>642</v>
      </c>
      <c r="K741">
        <f>COUNTIF(DF_Calculation!E:E,Table1[[#This Row],[ACS_CODE]])</f>
        <v>1</v>
      </c>
    </row>
    <row r="742" spans="1:11" x14ac:dyDescent="0.25">
      <c r="A742">
        <v>35455</v>
      </c>
      <c r="B742" t="s">
        <v>991</v>
      </c>
      <c r="C742" t="s">
        <v>991</v>
      </c>
      <c r="D742" t="s">
        <v>2115</v>
      </c>
      <c r="E742">
        <v>87</v>
      </c>
      <c r="F742">
        <v>0</v>
      </c>
      <c r="G742">
        <v>0</v>
      </c>
      <c r="H742">
        <v>355</v>
      </c>
      <c r="J742">
        <v>442</v>
      </c>
      <c r="K742">
        <f>COUNTIF(DF_Calculation!E:E,Table1[[#This Row],[ACS_CODE]])</f>
        <v>1</v>
      </c>
    </row>
    <row r="743" spans="1:11" x14ac:dyDescent="0.25">
      <c r="A743">
        <v>22761</v>
      </c>
      <c r="B743" t="s">
        <v>916</v>
      </c>
      <c r="C743" t="s">
        <v>915</v>
      </c>
      <c r="D743" t="s">
        <v>1098</v>
      </c>
      <c r="E743">
        <v>87</v>
      </c>
      <c r="F743">
        <v>0</v>
      </c>
      <c r="G743">
        <v>0</v>
      </c>
      <c r="H743">
        <v>1035</v>
      </c>
      <c r="I743">
        <v>20</v>
      </c>
      <c r="J743">
        <v>1142</v>
      </c>
      <c r="K743">
        <f>COUNTIF(DF_Calculation!E:E,Table1[[#This Row],[ACS_CODE]])</f>
        <v>1</v>
      </c>
    </row>
    <row r="744" spans="1:11" x14ac:dyDescent="0.25">
      <c r="A744">
        <v>74126</v>
      </c>
      <c r="B744" t="s">
        <v>937</v>
      </c>
      <c r="C744" t="s">
        <v>1280</v>
      </c>
      <c r="D744" t="s">
        <v>2116</v>
      </c>
      <c r="E744">
        <v>87</v>
      </c>
      <c r="F744">
        <v>0</v>
      </c>
      <c r="G744">
        <v>0</v>
      </c>
      <c r="H744">
        <v>1767</v>
      </c>
      <c r="I744">
        <v>2</v>
      </c>
      <c r="J744">
        <v>1856</v>
      </c>
      <c r="K744">
        <f>COUNTIF(DF_Calculation!E:E,Table1[[#This Row],[ACS_CODE]])</f>
        <v>1</v>
      </c>
    </row>
    <row r="745" spans="1:11" x14ac:dyDescent="0.25">
      <c r="A745">
        <v>63181</v>
      </c>
      <c r="B745" t="s">
        <v>1270</v>
      </c>
      <c r="C745" t="s">
        <v>1332</v>
      </c>
      <c r="D745" t="s">
        <v>2117</v>
      </c>
      <c r="E745">
        <v>87</v>
      </c>
      <c r="F745">
        <v>0</v>
      </c>
      <c r="G745">
        <v>0</v>
      </c>
      <c r="H745">
        <v>80</v>
      </c>
      <c r="J745">
        <v>167</v>
      </c>
      <c r="K745">
        <f>COUNTIF(DF_Calculation!E:E,Table1[[#This Row],[ACS_CODE]])</f>
        <v>1</v>
      </c>
    </row>
    <row r="746" spans="1:11" x14ac:dyDescent="0.25">
      <c r="A746">
        <v>63327</v>
      </c>
      <c r="B746" t="s">
        <v>1270</v>
      </c>
      <c r="C746" t="s">
        <v>1332</v>
      </c>
      <c r="D746" t="s">
        <v>2118</v>
      </c>
      <c r="E746">
        <v>87</v>
      </c>
      <c r="F746">
        <v>0</v>
      </c>
      <c r="G746">
        <v>0</v>
      </c>
      <c r="H746">
        <v>309</v>
      </c>
      <c r="J746">
        <v>396</v>
      </c>
      <c r="K746">
        <f>COUNTIF(DF_Calculation!E:E,Table1[[#This Row],[ACS_CODE]])</f>
        <v>1</v>
      </c>
    </row>
    <row r="747" spans="1:11" x14ac:dyDescent="0.25">
      <c r="A747">
        <v>72214</v>
      </c>
      <c r="B747" t="s">
        <v>937</v>
      </c>
      <c r="C747" t="s">
        <v>1514</v>
      </c>
      <c r="D747" t="s">
        <v>2119</v>
      </c>
      <c r="E747">
        <v>86</v>
      </c>
      <c r="F747">
        <v>0</v>
      </c>
      <c r="G747">
        <v>0</v>
      </c>
      <c r="H747">
        <v>664</v>
      </c>
      <c r="J747">
        <v>750</v>
      </c>
      <c r="K747">
        <f>COUNTIF(DF_Calculation!E:E,Table1[[#This Row],[ACS_CODE]])</f>
        <v>1</v>
      </c>
    </row>
    <row r="748" spans="1:11" x14ac:dyDescent="0.25">
      <c r="A748">
        <v>62221</v>
      </c>
      <c r="B748" t="s">
        <v>1270</v>
      </c>
      <c r="C748" t="s">
        <v>1269</v>
      </c>
      <c r="D748" t="s">
        <v>2120</v>
      </c>
      <c r="E748">
        <v>86</v>
      </c>
      <c r="F748">
        <v>0</v>
      </c>
      <c r="G748">
        <v>0</v>
      </c>
      <c r="H748">
        <v>947</v>
      </c>
      <c r="I748">
        <v>2</v>
      </c>
      <c r="J748">
        <v>1035</v>
      </c>
      <c r="K748">
        <f>COUNTIF(DF_Calculation!E:E,Table1[[#This Row],[ACS_CODE]])</f>
        <v>1</v>
      </c>
    </row>
    <row r="749" spans="1:11" x14ac:dyDescent="0.25">
      <c r="A749">
        <v>73135</v>
      </c>
      <c r="B749" t="s">
        <v>937</v>
      </c>
      <c r="C749" t="s">
        <v>1278</v>
      </c>
      <c r="D749" t="s">
        <v>2121</v>
      </c>
      <c r="E749">
        <v>85</v>
      </c>
      <c r="F749">
        <v>0</v>
      </c>
      <c r="G749">
        <v>0</v>
      </c>
      <c r="H749">
        <v>357</v>
      </c>
      <c r="I749">
        <v>13</v>
      </c>
      <c r="J749">
        <v>455</v>
      </c>
      <c r="K749">
        <f>COUNTIF(DF_Calculation!E:E,Table1[[#This Row],[ACS_CODE]])</f>
        <v>1</v>
      </c>
    </row>
    <row r="750" spans="1:11" x14ac:dyDescent="0.25">
      <c r="A750">
        <v>62251</v>
      </c>
      <c r="B750" t="s">
        <v>1270</v>
      </c>
      <c r="C750" t="s">
        <v>1269</v>
      </c>
      <c r="D750" t="s">
        <v>2122</v>
      </c>
      <c r="E750">
        <v>85</v>
      </c>
      <c r="F750">
        <v>0</v>
      </c>
      <c r="G750">
        <v>0</v>
      </c>
      <c r="H750">
        <v>1053</v>
      </c>
      <c r="I750">
        <v>817</v>
      </c>
      <c r="J750">
        <v>1955</v>
      </c>
      <c r="K750">
        <f>COUNTIF(DF_Calculation!E:E,Table1[[#This Row],[ACS_CODE]])</f>
        <v>1</v>
      </c>
    </row>
    <row r="751" spans="1:11" x14ac:dyDescent="0.25">
      <c r="A751">
        <v>23627</v>
      </c>
      <c r="B751" t="s">
        <v>916</v>
      </c>
      <c r="C751" t="s">
        <v>921</v>
      </c>
      <c r="D751" t="s">
        <v>1099</v>
      </c>
      <c r="E751">
        <v>84</v>
      </c>
      <c r="F751">
        <v>0</v>
      </c>
      <c r="G751">
        <v>0</v>
      </c>
      <c r="H751">
        <v>1716</v>
      </c>
      <c r="I751">
        <v>50</v>
      </c>
      <c r="J751">
        <v>1850</v>
      </c>
      <c r="K751">
        <f>COUNTIF(DF_Calculation!E:E,Table1[[#This Row],[ACS_CODE]])</f>
        <v>1</v>
      </c>
    </row>
    <row r="752" spans="1:11" x14ac:dyDescent="0.25">
      <c r="A752">
        <v>37351</v>
      </c>
      <c r="B752" t="s">
        <v>919</v>
      </c>
      <c r="C752" t="s">
        <v>918</v>
      </c>
      <c r="D752" t="s">
        <v>1100</v>
      </c>
      <c r="E752">
        <v>84</v>
      </c>
      <c r="F752">
        <v>0</v>
      </c>
      <c r="G752">
        <v>0</v>
      </c>
      <c r="H752">
        <v>1287</v>
      </c>
      <c r="I752">
        <v>16</v>
      </c>
      <c r="J752">
        <v>1387</v>
      </c>
      <c r="K752">
        <f>COUNTIF(DF_Calculation!E:E,Table1[[#This Row],[ACS_CODE]])</f>
        <v>1</v>
      </c>
    </row>
    <row r="753" spans="1:11" x14ac:dyDescent="0.25">
      <c r="A753">
        <v>24441</v>
      </c>
      <c r="B753" t="s">
        <v>916</v>
      </c>
      <c r="C753" t="s">
        <v>1282</v>
      </c>
      <c r="D753" t="s">
        <v>1347</v>
      </c>
      <c r="E753">
        <v>82</v>
      </c>
      <c r="F753">
        <v>0</v>
      </c>
      <c r="G753">
        <v>0</v>
      </c>
      <c r="H753">
        <v>248</v>
      </c>
      <c r="I753">
        <v>16</v>
      </c>
      <c r="J753">
        <v>346</v>
      </c>
      <c r="K753">
        <f>COUNTIF(DF_Calculation!E:E,Table1[[#This Row],[ACS_CODE]])</f>
        <v>1</v>
      </c>
    </row>
    <row r="754" spans="1:11" x14ac:dyDescent="0.25">
      <c r="A754">
        <v>31141</v>
      </c>
      <c r="B754" t="s">
        <v>919</v>
      </c>
      <c r="C754" t="s">
        <v>1255</v>
      </c>
      <c r="D754" t="s">
        <v>1348</v>
      </c>
      <c r="E754">
        <v>82</v>
      </c>
      <c r="F754">
        <v>207</v>
      </c>
      <c r="G754">
        <v>0</v>
      </c>
      <c r="H754">
        <v>7369</v>
      </c>
      <c r="J754">
        <v>7658</v>
      </c>
      <c r="K754">
        <f>COUNTIF(DF_Calculation!E:E,Table1[[#This Row],[ACS_CODE]])</f>
        <v>1</v>
      </c>
    </row>
    <row r="755" spans="1:11" x14ac:dyDescent="0.25">
      <c r="A755">
        <v>53281</v>
      </c>
      <c r="B755" t="s">
        <v>1201</v>
      </c>
      <c r="C755" t="s">
        <v>1266</v>
      </c>
      <c r="D755" t="s">
        <v>2123</v>
      </c>
      <c r="E755">
        <v>81</v>
      </c>
      <c r="F755">
        <v>0</v>
      </c>
      <c r="G755">
        <v>0</v>
      </c>
      <c r="H755">
        <v>383</v>
      </c>
      <c r="J755">
        <v>464</v>
      </c>
      <c r="K755">
        <f>COUNTIF(DF_Calculation!E:E,Table1[[#This Row],[ACS_CODE]])</f>
        <v>1</v>
      </c>
    </row>
    <row r="756" spans="1:11" x14ac:dyDescent="0.25">
      <c r="A756">
        <v>37361</v>
      </c>
      <c r="B756" t="s">
        <v>919</v>
      </c>
      <c r="C756" t="s">
        <v>918</v>
      </c>
      <c r="D756" t="s">
        <v>1101</v>
      </c>
      <c r="E756">
        <v>81</v>
      </c>
      <c r="F756">
        <v>0</v>
      </c>
      <c r="G756">
        <v>0</v>
      </c>
      <c r="H756">
        <v>1103</v>
      </c>
      <c r="J756">
        <v>1184</v>
      </c>
      <c r="K756">
        <f>COUNTIF(DF_Calculation!E:E,Table1[[#This Row],[ACS_CODE]])</f>
        <v>1</v>
      </c>
    </row>
    <row r="757" spans="1:11" x14ac:dyDescent="0.25">
      <c r="A757">
        <v>62312</v>
      </c>
      <c r="B757" t="s">
        <v>1270</v>
      </c>
      <c r="C757" t="s">
        <v>1269</v>
      </c>
      <c r="D757" t="s">
        <v>2124</v>
      </c>
      <c r="E757">
        <v>81</v>
      </c>
      <c r="F757">
        <v>0</v>
      </c>
      <c r="G757">
        <v>0</v>
      </c>
      <c r="H757">
        <v>1707</v>
      </c>
      <c r="J757">
        <v>1788</v>
      </c>
      <c r="K757">
        <f>COUNTIF(DF_Calculation!E:E,Table1[[#This Row],[ACS_CODE]])</f>
        <v>1</v>
      </c>
    </row>
    <row r="758" spans="1:11" x14ac:dyDescent="0.25">
      <c r="A758">
        <v>21431</v>
      </c>
      <c r="B758" t="s">
        <v>916</v>
      </c>
      <c r="C758" t="s">
        <v>1275</v>
      </c>
      <c r="D758" t="s">
        <v>2125</v>
      </c>
      <c r="E758">
        <v>80</v>
      </c>
      <c r="F758">
        <v>0</v>
      </c>
      <c r="G758">
        <v>0</v>
      </c>
      <c r="H758">
        <v>506</v>
      </c>
      <c r="I758">
        <v>33</v>
      </c>
      <c r="J758">
        <v>619</v>
      </c>
      <c r="K758">
        <f>COUNTIF(DF_Calculation!E:E,Table1[[#This Row],[ACS_CODE]])</f>
        <v>1</v>
      </c>
    </row>
    <row r="759" spans="1:11" x14ac:dyDescent="0.25">
      <c r="A759">
        <v>34234</v>
      </c>
      <c r="B759" t="s">
        <v>919</v>
      </c>
      <c r="C759" t="s">
        <v>931</v>
      </c>
      <c r="D759" t="s">
        <v>1102</v>
      </c>
      <c r="E759">
        <v>80</v>
      </c>
      <c r="F759">
        <v>0</v>
      </c>
      <c r="G759">
        <v>0</v>
      </c>
      <c r="H759">
        <v>517</v>
      </c>
      <c r="I759">
        <v>10</v>
      </c>
      <c r="J759">
        <v>607</v>
      </c>
      <c r="K759">
        <f>COUNTIF(DF_Calculation!E:E,Table1[[#This Row],[ACS_CODE]])</f>
        <v>1</v>
      </c>
    </row>
    <row r="760" spans="1:11" x14ac:dyDescent="0.25">
      <c r="A760">
        <v>71276</v>
      </c>
      <c r="B760" t="s">
        <v>937</v>
      </c>
      <c r="C760" t="s">
        <v>937</v>
      </c>
      <c r="D760" t="s">
        <v>1103</v>
      </c>
      <c r="E760">
        <v>80</v>
      </c>
      <c r="F760">
        <v>0</v>
      </c>
      <c r="G760">
        <v>0</v>
      </c>
      <c r="H760">
        <v>1865</v>
      </c>
      <c r="I760">
        <v>1</v>
      </c>
      <c r="J760">
        <v>1946</v>
      </c>
      <c r="K760">
        <f>COUNTIF(DF_Calculation!E:E,Table1[[#This Row],[ACS_CODE]])</f>
        <v>1</v>
      </c>
    </row>
    <row r="761" spans="1:11" x14ac:dyDescent="0.25">
      <c r="A761">
        <v>51237</v>
      </c>
      <c r="B761" t="s">
        <v>1260</v>
      </c>
      <c r="C761" t="s">
        <v>1259</v>
      </c>
      <c r="D761" t="s">
        <v>1349</v>
      </c>
      <c r="E761">
        <v>80</v>
      </c>
      <c r="F761">
        <v>0</v>
      </c>
      <c r="G761">
        <v>0</v>
      </c>
      <c r="H761">
        <v>5</v>
      </c>
      <c r="J761">
        <v>85</v>
      </c>
      <c r="K761">
        <f>COUNTIF(DF_Calculation!E:E,Table1[[#This Row],[ACS_CODE]])</f>
        <v>1</v>
      </c>
    </row>
    <row r="762" spans="1:11" x14ac:dyDescent="0.25">
      <c r="A762">
        <v>71231</v>
      </c>
      <c r="B762" t="s">
        <v>937</v>
      </c>
      <c r="C762" t="s">
        <v>937</v>
      </c>
      <c r="D762" t="s">
        <v>1104</v>
      </c>
      <c r="E762">
        <v>79</v>
      </c>
      <c r="F762">
        <v>0</v>
      </c>
      <c r="G762">
        <v>0</v>
      </c>
      <c r="H762">
        <v>2362</v>
      </c>
      <c r="I762">
        <v>44</v>
      </c>
      <c r="J762">
        <v>2485</v>
      </c>
      <c r="K762">
        <f>COUNTIF(DF_Calculation!E:E,Table1[[#This Row],[ACS_CODE]])</f>
        <v>1</v>
      </c>
    </row>
    <row r="763" spans="1:11" x14ac:dyDescent="0.25">
      <c r="A763">
        <v>63191</v>
      </c>
      <c r="B763" t="s">
        <v>1270</v>
      </c>
      <c r="C763" t="s">
        <v>1332</v>
      </c>
      <c r="D763" t="s">
        <v>2126</v>
      </c>
      <c r="E763">
        <v>79</v>
      </c>
      <c r="F763">
        <v>0</v>
      </c>
      <c r="G763">
        <v>0</v>
      </c>
      <c r="H763">
        <v>130</v>
      </c>
      <c r="I763">
        <v>3</v>
      </c>
      <c r="J763">
        <v>212</v>
      </c>
      <c r="K763">
        <f>COUNTIF(DF_Calculation!E:E,Table1[[#This Row],[ACS_CODE]])</f>
        <v>1</v>
      </c>
    </row>
    <row r="764" spans="1:11" x14ac:dyDescent="0.25">
      <c r="A764">
        <v>33151</v>
      </c>
      <c r="B764" t="s">
        <v>919</v>
      </c>
      <c r="C764" t="s">
        <v>1297</v>
      </c>
      <c r="D764" t="s">
        <v>1350</v>
      </c>
      <c r="E764">
        <v>79</v>
      </c>
      <c r="F764">
        <v>0</v>
      </c>
      <c r="G764">
        <v>0</v>
      </c>
      <c r="H764">
        <v>273</v>
      </c>
      <c r="J764">
        <v>352</v>
      </c>
      <c r="K764">
        <f>COUNTIF(DF_Calculation!E:E,Table1[[#This Row],[ACS_CODE]])</f>
        <v>1</v>
      </c>
    </row>
    <row r="765" spans="1:11" x14ac:dyDescent="0.25">
      <c r="A765">
        <v>51113</v>
      </c>
      <c r="B765" t="s">
        <v>1260</v>
      </c>
      <c r="C765" t="s">
        <v>1259</v>
      </c>
      <c r="D765" t="s">
        <v>2127</v>
      </c>
      <c r="E765">
        <v>78</v>
      </c>
      <c r="F765">
        <v>0</v>
      </c>
      <c r="G765">
        <v>0</v>
      </c>
      <c r="H765">
        <v>1213</v>
      </c>
      <c r="I765">
        <v>50</v>
      </c>
      <c r="J765">
        <v>1341</v>
      </c>
      <c r="K765">
        <f>COUNTIF(DF_Calculation!E:E,Table1[[#This Row],[ACS_CODE]])</f>
        <v>1</v>
      </c>
    </row>
    <row r="766" spans="1:11" x14ac:dyDescent="0.25">
      <c r="A766">
        <v>35441</v>
      </c>
      <c r="B766" t="s">
        <v>991</v>
      </c>
      <c r="C766" t="s">
        <v>991</v>
      </c>
      <c r="D766" t="s">
        <v>2128</v>
      </c>
      <c r="E766">
        <v>77</v>
      </c>
      <c r="F766">
        <v>0</v>
      </c>
      <c r="G766">
        <v>0</v>
      </c>
      <c r="H766">
        <v>772</v>
      </c>
      <c r="I766">
        <v>3</v>
      </c>
      <c r="J766">
        <v>852</v>
      </c>
      <c r="K766">
        <f>COUNTIF(DF_Calculation!E:E,Table1[[#This Row],[ACS_CODE]])</f>
        <v>1</v>
      </c>
    </row>
    <row r="767" spans="1:11" x14ac:dyDescent="0.25">
      <c r="A767">
        <v>72276</v>
      </c>
      <c r="B767" t="s">
        <v>937</v>
      </c>
      <c r="C767" t="s">
        <v>1514</v>
      </c>
      <c r="D767" t="s">
        <v>2129</v>
      </c>
      <c r="E767">
        <v>77</v>
      </c>
      <c r="F767">
        <v>0</v>
      </c>
      <c r="G767">
        <v>0</v>
      </c>
      <c r="H767">
        <v>723</v>
      </c>
      <c r="I767">
        <v>20</v>
      </c>
      <c r="J767">
        <v>820</v>
      </c>
      <c r="K767">
        <f>COUNTIF(DF_Calculation!E:E,Table1[[#This Row],[ACS_CODE]])</f>
        <v>1</v>
      </c>
    </row>
    <row r="768" spans="1:11" x14ac:dyDescent="0.25">
      <c r="A768">
        <v>22747</v>
      </c>
      <c r="B768" t="s">
        <v>916</v>
      </c>
      <c r="C768" t="s">
        <v>915</v>
      </c>
      <c r="D768" t="s">
        <v>1105</v>
      </c>
      <c r="E768">
        <v>77</v>
      </c>
      <c r="F768">
        <v>0</v>
      </c>
      <c r="G768">
        <v>0</v>
      </c>
      <c r="H768">
        <v>1914</v>
      </c>
      <c r="I768">
        <v>278</v>
      </c>
      <c r="J768">
        <v>2269</v>
      </c>
      <c r="K768">
        <f>COUNTIF(DF_Calculation!E:E,Table1[[#This Row],[ACS_CODE]])</f>
        <v>1</v>
      </c>
    </row>
    <row r="769" spans="1:11" x14ac:dyDescent="0.25">
      <c r="A769">
        <v>26361</v>
      </c>
      <c r="B769" t="s">
        <v>916</v>
      </c>
      <c r="C769" t="s">
        <v>1295</v>
      </c>
      <c r="D769" t="s">
        <v>2130</v>
      </c>
      <c r="E769">
        <v>77</v>
      </c>
      <c r="F769">
        <v>0</v>
      </c>
      <c r="G769">
        <v>0</v>
      </c>
      <c r="H769">
        <v>196</v>
      </c>
      <c r="I769">
        <v>4</v>
      </c>
      <c r="J769">
        <v>277</v>
      </c>
      <c r="K769">
        <f>COUNTIF(DF_Calculation!E:E,Table1[[#This Row],[ACS_CODE]])</f>
        <v>1</v>
      </c>
    </row>
    <row r="770" spans="1:11" x14ac:dyDescent="0.25">
      <c r="A770">
        <v>61371</v>
      </c>
      <c r="B770" t="s">
        <v>1270</v>
      </c>
      <c r="C770" t="s">
        <v>1288</v>
      </c>
      <c r="D770" t="s">
        <v>2131</v>
      </c>
      <c r="E770">
        <v>77</v>
      </c>
      <c r="F770">
        <v>1221</v>
      </c>
      <c r="G770">
        <v>0</v>
      </c>
      <c r="H770">
        <v>407</v>
      </c>
      <c r="I770">
        <v>10</v>
      </c>
      <c r="J770">
        <v>1715</v>
      </c>
      <c r="K770">
        <f>COUNTIF(DF_Calculation!E:E,Table1[[#This Row],[ACS_CODE]])</f>
        <v>1</v>
      </c>
    </row>
    <row r="771" spans="1:11" x14ac:dyDescent="0.25">
      <c r="A771">
        <v>25337</v>
      </c>
      <c r="B771" t="s">
        <v>916</v>
      </c>
      <c r="C771" t="s">
        <v>1307</v>
      </c>
      <c r="D771" t="s">
        <v>2132</v>
      </c>
      <c r="E771">
        <v>76</v>
      </c>
      <c r="F771">
        <v>0</v>
      </c>
      <c r="G771">
        <v>0</v>
      </c>
      <c r="H771">
        <v>638</v>
      </c>
      <c r="I771">
        <v>22</v>
      </c>
      <c r="J771">
        <v>736</v>
      </c>
      <c r="K771">
        <f>COUNTIF(DF_Calculation!E:E,Table1[[#This Row],[ACS_CODE]])</f>
        <v>1</v>
      </c>
    </row>
    <row r="772" spans="1:11" x14ac:dyDescent="0.25">
      <c r="A772">
        <v>21441</v>
      </c>
      <c r="B772" t="s">
        <v>916</v>
      </c>
      <c r="C772" t="s">
        <v>1275</v>
      </c>
      <c r="D772" t="s">
        <v>2133</v>
      </c>
      <c r="E772">
        <v>75</v>
      </c>
      <c r="F772">
        <v>0</v>
      </c>
      <c r="G772">
        <v>0</v>
      </c>
      <c r="H772">
        <v>568</v>
      </c>
      <c r="I772">
        <v>58</v>
      </c>
      <c r="J772">
        <v>701</v>
      </c>
      <c r="K772">
        <f>COUNTIF(DF_Calculation!E:E,Table1[[#This Row],[ACS_CODE]])</f>
        <v>1</v>
      </c>
    </row>
    <row r="773" spans="1:11" x14ac:dyDescent="0.25">
      <c r="A773">
        <v>23427</v>
      </c>
      <c r="B773" t="s">
        <v>916</v>
      </c>
      <c r="C773" t="s">
        <v>921</v>
      </c>
      <c r="D773" t="s">
        <v>1351</v>
      </c>
      <c r="E773">
        <v>75</v>
      </c>
      <c r="F773">
        <v>0</v>
      </c>
      <c r="G773">
        <v>0</v>
      </c>
      <c r="H773">
        <v>20</v>
      </c>
      <c r="I773">
        <v>5</v>
      </c>
      <c r="J773">
        <v>100</v>
      </c>
      <c r="K773">
        <f>COUNTIF(DF_Calculation!E:E,Table1[[#This Row],[ACS_CODE]])</f>
        <v>1</v>
      </c>
    </row>
    <row r="774" spans="1:11" x14ac:dyDescent="0.25">
      <c r="A774">
        <v>33157</v>
      </c>
      <c r="B774" t="s">
        <v>919</v>
      </c>
      <c r="C774" t="s">
        <v>1297</v>
      </c>
      <c r="D774" t="s">
        <v>2134</v>
      </c>
      <c r="E774">
        <v>75</v>
      </c>
      <c r="F774">
        <v>0</v>
      </c>
      <c r="G774">
        <v>0</v>
      </c>
      <c r="H774">
        <v>176</v>
      </c>
      <c r="J774">
        <v>251</v>
      </c>
      <c r="K774">
        <f>COUNTIF(DF_Calculation!E:E,Table1[[#This Row],[ACS_CODE]])</f>
        <v>1</v>
      </c>
    </row>
    <row r="775" spans="1:11" x14ac:dyDescent="0.25">
      <c r="A775">
        <v>35177</v>
      </c>
      <c r="B775" t="s">
        <v>991</v>
      </c>
      <c r="C775" t="s">
        <v>991</v>
      </c>
      <c r="D775" t="s">
        <v>2135</v>
      </c>
      <c r="E775">
        <v>74</v>
      </c>
      <c r="F775">
        <v>0</v>
      </c>
      <c r="G775">
        <v>0</v>
      </c>
      <c r="H775">
        <v>1076</v>
      </c>
      <c r="I775">
        <v>7</v>
      </c>
      <c r="J775">
        <v>1157</v>
      </c>
      <c r="K775">
        <f>COUNTIF(DF_Calculation!E:E,Table1[[#This Row],[ACS_CODE]])</f>
        <v>1</v>
      </c>
    </row>
    <row r="776" spans="1:11" x14ac:dyDescent="0.25">
      <c r="A776">
        <v>72274</v>
      </c>
      <c r="B776" t="s">
        <v>937</v>
      </c>
      <c r="C776" t="s">
        <v>1514</v>
      </c>
      <c r="D776" t="s">
        <v>2136</v>
      </c>
      <c r="E776">
        <v>74</v>
      </c>
      <c r="F776">
        <v>0</v>
      </c>
      <c r="G776">
        <v>0</v>
      </c>
      <c r="H776">
        <v>524</v>
      </c>
      <c r="I776">
        <v>52</v>
      </c>
      <c r="J776">
        <v>650</v>
      </c>
      <c r="K776">
        <f>COUNTIF(DF_Calculation!E:E,Table1[[#This Row],[ACS_CODE]])</f>
        <v>1</v>
      </c>
    </row>
    <row r="777" spans="1:11" x14ac:dyDescent="0.25">
      <c r="A777">
        <v>74177</v>
      </c>
      <c r="B777" t="s">
        <v>937</v>
      </c>
      <c r="C777" t="s">
        <v>1280</v>
      </c>
      <c r="D777" t="s">
        <v>2137</v>
      </c>
      <c r="E777">
        <v>74</v>
      </c>
      <c r="F777">
        <v>0</v>
      </c>
      <c r="G777">
        <v>0</v>
      </c>
      <c r="H777">
        <v>0</v>
      </c>
      <c r="J777">
        <v>74</v>
      </c>
      <c r="K777">
        <f>COUNTIF(DF_Calculation!E:E,Table1[[#This Row],[ACS_CODE]])</f>
        <v>1</v>
      </c>
    </row>
    <row r="778" spans="1:11" x14ac:dyDescent="0.25">
      <c r="A778">
        <v>74128</v>
      </c>
      <c r="B778" t="s">
        <v>937</v>
      </c>
      <c r="C778" t="s">
        <v>1280</v>
      </c>
      <c r="D778" t="s">
        <v>2138</v>
      </c>
      <c r="E778">
        <v>74</v>
      </c>
      <c r="F778">
        <v>0</v>
      </c>
      <c r="G778">
        <v>0</v>
      </c>
      <c r="H778">
        <v>1065</v>
      </c>
      <c r="I778">
        <v>5</v>
      </c>
      <c r="J778">
        <v>1144</v>
      </c>
      <c r="K778">
        <f>COUNTIF(DF_Calculation!E:E,Table1[[#This Row],[ACS_CODE]])</f>
        <v>1</v>
      </c>
    </row>
    <row r="779" spans="1:11" x14ac:dyDescent="0.25">
      <c r="A779">
        <v>62237</v>
      </c>
      <c r="B779" t="s">
        <v>1270</v>
      </c>
      <c r="C779" t="s">
        <v>1269</v>
      </c>
      <c r="D779" t="s">
        <v>2139</v>
      </c>
      <c r="E779">
        <v>74</v>
      </c>
      <c r="F779">
        <v>261</v>
      </c>
      <c r="G779">
        <v>0</v>
      </c>
      <c r="H779">
        <v>474</v>
      </c>
      <c r="I779">
        <v>80</v>
      </c>
      <c r="J779">
        <v>889</v>
      </c>
      <c r="K779">
        <f>COUNTIF(DF_Calculation!E:E,Table1[[#This Row],[ACS_CODE]])</f>
        <v>1</v>
      </c>
    </row>
    <row r="780" spans="1:11" x14ac:dyDescent="0.25">
      <c r="A780">
        <v>24454</v>
      </c>
      <c r="B780" t="s">
        <v>916</v>
      </c>
      <c r="C780" t="s">
        <v>1282</v>
      </c>
      <c r="D780" t="s">
        <v>2140</v>
      </c>
      <c r="E780">
        <v>73</v>
      </c>
      <c r="F780">
        <v>0</v>
      </c>
      <c r="G780">
        <v>0</v>
      </c>
      <c r="H780">
        <v>1148</v>
      </c>
      <c r="I780">
        <v>9</v>
      </c>
      <c r="J780">
        <v>1230</v>
      </c>
      <c r="K780">
        <f>COUNTIF(DF_Calculation!E:E,Table1[[#This Row],[ACS_CODE]])</f>
        <v>1</v>
      </c>
    </row>
    <row r="781" spans="1:11" x14ac:dyDescent="0.25">
      <c r="A781">
        <v>37343</v>
      </c>
      <c r="B781" t="s">
        <v>919</v>
      </c>
      <c r="C781" t="s">
        <v>918</v>
      </c>
      <c r="D781" t="s">
        <v>1106</v>
      </c>
      <c r="E781">
        <v>73</v>
      </c>
      <c r="F781">
        <v>0</v>
      </c>
      <c r="G781">
        <v>0</v>
      </c>
      <c r="H781">
        <v>1876</v>
      </c>
      <c r="I781">
        <v>3</v>
      </c>
      <c r="J781">
        <v>1952</v>
      </c>
      <c r="K781">
        <f>COUNTIF(DF_Calculation!E:E,Table1[[#This Row],[ACS_CODE]])</f>
        <v>1</v>
      </c>
    </row>
    <row r="782" spans="1:11" x14ac:dyDescent="0.25">
      <c r="A782">
        <v>26233</v>
      </c>
      <c r="B782" t="s">
        <v>916</v>
      </c>
      <c r="C782" t="s">
        <v>1295</v>
      </c>
      <c r="D782" t="s">
        <v>2141</v>
      </c>
      <c r="E782">
        <v>73</v>
      </c>
      <c r="F782">
        <v>0</v>
      </c>
      <c r="G782">
        <v>0</v>
      </c>
      <c r="H782">
        <v>1752</v>
      </c>
      <c r="I782">
        <v>19</v>
      </c>
      <c r="J782">
        <v>1844</v>
      </c>
      <c r="K782">
        <f>COUNTIF(DF_Calculation!E:E,Table1[[#This Row],[ACS_CODE]])</f>
        <v>1</v>
      </c>
    </row>
    <row r="783" spans="1:11" x14ac:dyDescent="0.25">
      <c r="A783">
        <v>25455</v>
      </c>
      <c r="B783" t="s">
        <v>916</v>
      </c>
      <c r="C783" t="s">
        <v>1307</v>
      </c>
      <c r="D783" t="s">
        <v>2142</v>
      </c>
      <c r="E783">
        <v>73</v>
      </c>
      <c r="F783">
        <v>0</v>
      </c>
      <c r="G783">
        <v>0</v>
      </c>
      <c r="H783">
        <v>860</v>
      </c>
      <c r="J783">
        <v>933</v>
      </c>
      <c r="K783">
        <f>COUNTIF(DF_Calculation!E:E,Table1[[#This Row],[ACS_CODE]])</f>
        <v>1</v>
      </c>
    </row>
    <row r="784" spans="1:11" x14ac:dyDescent="0.25">
      <c r="A784">
        <v>35431</v>
      </c>
      <c r="B784" t="s">
        <v>991</v>
      </c>
      <c r="C784" t="s">
        <v>991</v>
      </c>
      <c r="D784" t="s">
        <v>2143</v>
      </c>
      <c r="E784">
        <v>71</v>
      </c>
      <c r="F784">
        <v>0</v>
      </c>
      <c r="G784">
        <v>0</v>
      </c>
      <c r="H784">
        <v>915</v>
      </c>
      <c r="J784">
        <v>986</v>
      </c>
      <c r="K784">
        <f>COUNTIF(DF_Calculation!E:E,Table1[[#This Row],[ACS_CODE]])</f>
        <v>1</v>
      </c>
    </row>
    <row r="785" spans="1:11" x14ac:dyDescent="0.25">
      <c r="A785">
        <v>21283</v>
      </c>
      <c r="B785" t="s">
        <v>916</v>
      </c>
      <c r="C785" t="s">
        <v>1275</v>
      </c>
      <c r="D785" t="s">
        <v>1352</v>
      </c>
      <c r="E785">
        <v>71</v>
      </c>
      <c r="F785">
        <v>0</v>
      </c>
      <c r="G785">
        <v>0</v>
      </c>
      <c r="H785">
        <v>829</v>
      </c>
      <c r="I785">
        <v>60</v>
      </c>
      <c r="J785">
        <v>960</v>
      </c>
      <c r="K785">
        <f>COUNTIF(DF_Calculation!E:E,Table1[[#This Row],[ACS_CODE]])</f>
        <v>1</v>
      </c>
    </row>
    <row r="786" spans="1:11" x14ac:dyDescent="0.25">
      <c r="A786">
        <v>53227</v>
      </c>
      <c r="B786" t="s">
        <v>1201</v>
      </c>
      <c r="C786" t="s">
        <v>1266</v>
      </c>
      <c r="D786" t="s">
        <v>1353</v>
      </c>
      <c r="E786">
        <v>71</v>
      </c>
      <c r="F786">
        <v>0</v>
      </c>
      <c r="G786">
        <v>0</v>
      </c>
      <c r="H786">
        <v>1</v>
      </c>
      <c r="J786">
        <v>72</v>
      </c>
      <c r="K786">
        <f>COUNTIF(DF_Calculation!E:E,Table1[[#This Row],[ACS_CODE]])</f>
        <v>1</v>
      </c>
    </row>
    <row r="787" spans="1:11" x14ac:dyDescent="0.25">
      <c r="A787">
        <v>33139</v>
      </c>
      <c r="B787" t="s">
        <v>919</v>
      </c>
      <c r="C787" t="s">
        <v>1297</v>
      </c>
      <c r="D787" t="s">
        <v>1354</v>
      </c>
      <c r="E787">
        <v>71</v>
      </c>
      <c r="F787">
        <v>0</v>
      </c>
      <c r="G787">
        <v>0</v>
      </c>
      <c r="H787">
        <v>209</v>
      </c>
      <c r="J787">
        <v>280</v>
      </c>
      <c r="K787">
        <f>COUNTIF(DF_Calculation!E:E,Table1[[#This Row],[ACS_CODE]])</f>
        <v>1</v>
      </c>
    </row>
    <row r="788" spans="1:11" x14ac:dyDescent="0.25">
      <c r="A788">
        <v>35432</v>
      </c>
      <c r="B788" t="s">
        <v>991</v>
      </c>
      <c r="C788" t="s">
        <v>991</v>
      </c>
      <c r="D788" t="s">
        <v>2144</v>
      </c>
      <c r="E788">
        <v>70</v>
      </c>
      <c r="F788">
        <v>0</v>
      </c>
      <c r="G788">
        <v>0</v>
      </c>
      <c r="H788">
        <v>734</v>
      </c>
      <c r="I788">
        <v>1</v>
      </c>
      <c r="J788">
        <v>805</v>
      </c>
      <c r="K788">
        <f>COUNTIF(DF_Calculation!E:E,Table1[[#This Row],[ACS_CODE]])</f>
        <v>1</v>
      </c>
    </row>
    <row r="789" spans="1:11" x14ac:dyDescent="0.25">
      <c r="A789">
        <v>32157</v>
      </c>
      <c r="B789" t="s">
        <v>919</v>
      </c>
      <c r="C789" t="s">
        <v>934</v>
      </c>
      <c r="D789" t="s">
        <v>1107</v>
      </c>
      <c r="E789">
        <v>70</v>
      </c>
      <c r="F789">
        <v>0</v>
      </c>
      <c r="G789">
        <v>0</v>
      </c>
      <c r="H789">
        <v>640</v>
      </c>
      <c r="I789">
        <v>9</v>
      </c>
      <c r="J789">
        <v>719</v>
      </c>
      <c r="K789">
        <f>COUNTIF(DF_Calculation!E:E,Table1[[#This Row],[ACS_CODE]])</f>
        <v>1</v>
      </c>
    </row>
    <row r="790" spans="1:11" x14ac:dyDescent="0.25">
      <c r="A790">
        <v>33155</v>
      </c>
      <c r="B790" t="s">
        <v>919</v>
      </c>
      <c r="C790" t="s">
        <v>1297</v>
      </c>
      <c r="D790" t="s">
        <v>1355</v>
      </c>
      <c r="E790">
        <v>70</v>
      </c>
      <c r="F790">
        <v>0</v>
      </c>
      <c r="G790">
        <v>0</v>
      </c>
      <c r="H790">
        <v>1389</v>
      </c>
      <c r="I790">
        <v>6</v>
      </c>
      <c r="J790">
        <v>1465</v>
      </c>
      <c r="K790">
        <f>COUNTIF(DF_Calculation!E:E,Table1[[#This Row],[ACS_CODE]])</f>
        <v>1</v>
      </c>
    </row>
    <row r="791" spans="1:11" x14ac:dyDescent="0.25">
      <c r="A791">
        <v>74118</v>
      </c>
      <c r="B791" t="s">
        <v>937</v>
      </c>
      <c r="C791" t="s">
        <v>1280</v>
      </c>
      <c r="D791" t="s">
        <v>2145</v>
      </c>
      <c r="E791">
        <v>69</v>
      </c>
      <c r="F791">
        <v>0</v>
      </c>
      <c r="G791">
        <v>0</v>
      </c>
      <c r="H791">
        <v>528</v>
      </c>
      <c r="I791">
        <v>5</v>
      </c>
      <c r="J791">
        <v>602</v>
      </c>
      <c r="K791">
        <f>COUNTIF(DF_Calculation!E:E,Table1[[#This Row],[ACS_CODE]])</f>
        <v>1</v>
      </c>
    </row>
    <row r="792" spans="1:11" x14ac:dyDescent="0.25">
      <c r="A792">
        <v>36131</v>
      </c>
      <c r="B792" t="s">
        <v>919</v>
      </c>
      <c r="C792" t="s">
        <v>982</v>
      </c>
      <c r="D792" t="s">
        <v>1108</v>
      </c>
      <c r="E792">
        <v>68</v>
      </c>
      <c r="F792">
        <v>0</v>
      </c>
      <c r="G792">
        <v>0</v>
      </c>
      <c r="H792">
        <v>936</v>
      </c>
      <c r="J792">
        <v>1004</v>
      </c>
      <c r="K792">
        <f>COUNTIF(DF_Calculation!E:E,Table1[[#This Row],[ACS_CODE]])</f>
        <v>1</v>
      </c>
    </row>
    <row r="793" spans="1:11" x14ac:dyDescent="0.25">
      <c r="A793">
        <v>23411</v>
      </c>
      <c r="B793" t="s">
        <v>916</v>
      </c>
      <c r="C793" t="s">
        <v>921</v>
      </c>
      <c r="D793" t="s">
        <v>1109</v>
      </c>
      <c r="E793">
        <v>68</v>
      </c>
      <c r="F793">
        <v>0</v>
      </c>
      <c r="G793">
        <v>0</v>
      </c>
      <c r="H793">
        <v>242</v>
      </c>
      <c r="J793">
        <v>310</v>
      </c>
      <c r="K793">
        <f>COUNTIF(DF_Calculation!E:E,Table1[[#This Row],[ACS_CODE]])</f>
        <v>1</v>
      </c>
    </row>
    <row r="794" spans="1:11" x14ac:dyDescent="0.25">
      <c r="A794">
        <v>54151</v>
      </c>
      <c r="B794" t="s">
        <v>1201</v>
      </c>
      <c r="C794" t="s">
        <v>1200</v>
      </c>
      <c r="D794" t="s">
        <v>1356</v>
      </c>
      <c r="E794">
        <v>68</v>
      </c>
      <c r="F794">
        <v>0</v>
      </c>
      <c r="G794">
        <v>0</v>
      </c>
      <c r="H794">
        <v>177</v>
      </c>
      <c r="J794">
        <v>245</v>
      </c>
      <c r="K794">
        <f>COUNTIF(DF_Calculation!E:E,Table1[[#This Row],[ACS_CODE]])</f>
        <v>1</v>
      </c>
    </row>
    <row r="795" spans="1:11" x14ac:dyDescent="0.25">
      <c r="A795">
        <v>74155</v>
      </c>
      <c r="B795" t="s">
        <v>937</v>
      </c>
      <c r="C795" t="s">
        <v>1280</v>
      </c>
      <c r="D795" t="s">
        <v>2146</v>
      </c>
      <c r="E795">
        <v>68</v>
      </c>
      <c r="F795">
        <v>0</v>
      </c>
      <c r="G795">
        <v>0</v>
      </c>
      <c r="H795">
        <v>44</v>
      </c>
      <c r="J795">
        <v>112</v>
      </c>
      <c r="K795">
        <f>COUNTIF(DF_Calculation!E:E,Table1[[#This Row],[ACS_CODE]])</f>
        <v>1</v>
      </c>
    </row>
    <row r="796" spans="1:11" x14ac:dyDescent="0.25">
      <c r="A796">
        <v>72224</v>
      </c>
      <c r="B796" t="s">
        <v>937</v>
      </c>
      <c r="C796" t="s">
        <v>1514</v>
      </c>
      <c r="D796" t="s">
        <v>2147</v>
      </c>
      <c r="E796">
        <v>67</v>
      </c>
      <c r="F796">
        <v>0</v>
      </c>
      <c r="G796">
        <v>0</v>
      </c>
      <c r="H796">
        <v>809</v>
      </c>
      <c r="I796">
        <v>12</v>
      </c>
      <c r="J796">
        <v>888</v>
      </c>
      <c r="K796">
        <f>COUNTIF(DF_Calculation!E:E,Table1[[#This Row],[ACS_CODE]])</f>
        <v>1</v>
      </c>
    </row>
    <row r="797" spans="1:11" x14ac:dyDescent="0.25">
      <c r="A797">
        <v>23611</v>
      </c>
      <c r="B797" t="s">
        <v>916</v>
      </c>
      <c r="C797" t="s">
        <v>921</v>
      </c>
      <c r="D797" t="s">
        <v>1110</v>
      </c>
      <c r="E797">
        <v>67</v>
      </c>
      <c r="F797">
        <v>0</v>
      </c>
      <c r="G797">
        <v>0</v>
      </c>
      <c r="H797">
        <v>1031</v>
      </c>
      <c r="I797">
        <v>33</v>
      </c>
      <c r="J797">
        <v>1131</v>
      </c>
      <c r="K797">
        <f>COUNTIF(DF_Calculation!E:E,Table1[[#This Row],[ACS_CODE]])</f>
        <v>1</v>
      </c>
    </row>
    <row r="798" spans="1:11" x14ac:dyDescent="0.25">
      <c r="A798">
        <v>34264</v>
      </c>
      <c r="B798" t="s">
        <v>919</v>
      </c>
      <c r="C798" t="s">
        <v>931</v>
      </c>
      <c r="D798" t="s">
        <v>1111</v>
      </c>
      <c r="E798">
        <v>67</v>
      </c>
      <c r="F798">
        <v>0</v>
      </c>
      <c r="G798">
        <v>0</v>
      </c>
      <c r="H798">
        <v>1087</v>
      </c>
      <c r="I798">
        <v>3</v>
      </c>
      <c r="J798">
        <v>1157</v>
      </c>
      <c r="K798">
        <f>COUNTIF(DF_Calculation!E:E,Table1[[#This Row],[ACS_CODE]])</f>
        <v>1</v>
      </c>
    </row>
    <row r="799" spans="1:11" x14ac:dyDescent="0.25">
      <c r="A799">
        <v>34219</v>
      </c>
      <c r="B799" t="s">
        <v>919</v>
      </c>
      <c r="C799" t="s">
        <v>931</v>
      </c>
      <c r="D799" t="s">
        <v>1112</v>
      </c>
      <c r="E799">
        <v>67</v>
      </c>
      <c r="F799">
        <v>0</v>
      </c>
      <c r="G799">
        <v>0</v>
      </c>
      <c r="H799">
        <v>131</v>
      </c>
      <c r="J799">
        <v>198</v>
      </c>
      <c r="K799">
        <f>COUNTIF(DF_Calculation!E:E,Table1[[#This Row],[ACS_CODE]])</f>
        <v>1</v>
      </c>
    </row>
    <row r="800" spans="1:11" x14ac:dyDescent="0.25">
      <c r="A800">
        <v>26217</v>
      </c>
      <c r="B800" t="s">
        <v>916</v>
      </c>
      <c r="C800" t="s">
        <v>1295</v>
      </c>
      <c r="D800" t="s">
        <v>2148</v>
      </c>
      <c r="E800">
        <v>67</v>
      </c>
      <c r="F800">
        <v>0</v>
      </c>
      <c r="G800">
        <v>0</v>
      </c>
      <c r="H800">
        <v>414</v>
      </c>
      <c r="J800">
        <v>481</v>
      </c>
      <c r="K800">
        <f>COUNTIF(DF_Calculation!E:E,Table1[[#This Row],[ACS_CODE]])</f>
        <v>1</v>
      </c>
    </row>
    <row r="801" spans="1:11" x14ac:dyDescent="0.25">
      <c r="A801">
        <v>24447</v>
      </c>
      <c r="B801" t="s">
        <v>916</v>
      </c>
      <c r="C801" t="s">
        <v>1282</v>
      </c>
      <c r="D801" t="s">
        <v>2149</v>
      </c>
      <c r="E801">
        <v>66</v>
      </c>
      <c r="F801">
        <v>0</v>
      </c>
      <c r="G801">
        <v>0</v>
      </c>
      <c r="H801">
        <v>2494</v>
      </c>
      <c r="I801">
        <v>10</v>
      </c>
      <c r="J801">
        <v>2570</v>
      </c>
      <c r="K801">
        <f>COUNTIF(DF_Calculation!E:E,Table1[[#This Row],[ACS_CODE]])</f>
        <v>1</v>
      </c>
    </row>
    <row r="802" spans="1:11" x14ac:dyDescent="0.25">
      <c r="A802">
        <v>23671</v>
      </c>
      <c r="B802" t="s">
        <v>916</v>
      </c>
      <c r="C802" t="s">
        <v>921</v>
      </c>
      <c r="D802" t="s">
        <v>1113</v>
      </c>
      <c r="E802">
        <v>66</v>
      </c>
      <c r="F802">
        <v>0</v>
      </c>
      <c r="G802">
        <v>0</v>
      </c>
      <c r="H802">
        <v>1182</v>
      </c>
      <c r="I802">
        <v>10</v>
      </c>
      <c r="J802">
        <v>1258</v>
      </c>
      <c r="K802">
        <f>COUNTIF(DF_Calculation!E:E,Table1[[#This Row],[ACS_CODE]])</f>
        <v>1</v>
      </c>
    </row>
    <row r="803" spans="1:11" x14ac:dyDescent="0.25">
      <c r="A803">
        <v>34283</v>
      </c>
      <c r="B803" t="s">
        <v>919</v>
      </c>
      <c r="C803" t="s">
        <v>931</v>
      </c>
      <c r="D803" t="s">
        <v>1357</v>
      </c>
      <c r="E803">
        <v>66</v>
      </c>
      <c r="F803">
        <v>0</v>
      </c>
      <c r="G803">
        <v>0</v>
      </c>
      <c r="H803">
        <v>0</v>
      </c>
      <c r="J803">
        <v>66</v>
      </c>
      <c r="K803">
        <f>COUNTIF(DF_Calculation!E:E,Table1[[#This Row],[ACS_CODE]])</f>
        <v>1</v>
      </c>
    </row>
    <row r="804" spans="1:11" x14ac:dyDescent="0.25">
      <c r="A804">
        <v>22415</v>
      </c>
      <c r="B804" t="s">
        <v>916</v>
      </c>
      <c r="C804" t="s">
        <v>915</v>
      </c>
      <c r="D804" t="s">
        <v>1114</v>
      </c>
      <c r="E804">
        <v>66</v>
      </c>
      <c r="F804">
        <v>0</v>
      </c>
      <c r="G804">
        <v>0</v>
      </c>
      <c r="H804">
        <v>330</v>
      </c>
      <c r="I804">
        <v>289</v>
      </c>
      <c r="J804">
        <v>685</v>
      </c>
      <c r="K804">
        <f>COUNTIF(DF_Calculation!E:E,Table1[[#This Row],[ACS_CODE]])</f>
        <v>1</v>
      </c>
    </row>
    <row r="805" spans="1:11" x14ac:dyDescent="0.25">
      <c r="A805">
        <v>35457</v>
      </c>
      <c r="B805" t="s">
        <v>991</v>
      </c>
      <c r="C805" t="s">
        <v>991</v>
      </c>
      <c r="D805" t="s">
        <v>2150</v>
      </c>
      <c r="E805">
        <v>65</v>
      </c>
      <c r="F805">
        <v>0</v>
      </c>
      <c r="G805">
        <v>0</v>
      </c>
      <c r="H805">
        <v>454</v>
      </c>
      <c r="J805">
        <v>519</v>
      </c>
      <c r="K805">
        <f>COUNTIF(DF_Calculation!E:E,Table1[[#This Row],[ACS_CODE]])</f>
        <v>1</v>
      </c>
    </row>
    <row r="806" spans="1:11" x14ac:dyDescent="0.25">
      <c r="A806">
        <v>23522</v>
      </c>
      <c r="B806" t="s">
        <v>916</v>
      </c>
      <c r="C806" t="s">
        <v>921</v>
      </c>
      <c r="D806" t="s">
        <v>1115</v>
      </c>
      <c r="E806">
        <v>65</v>
      </c>
      <c r="F806">
        <v>0</v>
      </c>
      <c r="G806">
        <v>0</v>
      </c>
      <c r="H806">
        <v>33</v>
      </c>
      <c r="J806">
        <v>98</v>
      </c>
      <c r="K806">
        <f>COUNTIF(DF_Calculation!E:E,Table1[[#This Row],[ACS_CODE]])</f>
        <v>1</v>
      </c>
    </row>
    <row r="807" spans="1:11" x14ac:dyDescent="0.25">
      <c r="A807">
        <v>32135</v>
      </c>
      <c r="B807" t="s">
        <v>919</v>
      </c>
      <c r="C807" t="s">
        <v>934</v>
      </c>
      <c r="D807" t="s">
        <v>1116</v>
      </c>
      <c r="E807">
        <v>65</v>
      </c>
      <c r="F807">
        <v>0</v>
      </c>
      <c r="G807">
        <v>0</v>
      </c>
      <c r="H807">
        <v>127</v>
      </c>
      <c r="I807">
        <v>6</v>
      </c>
      <c r="J807">
        <v>198</v>
      </c>
      <c r="K807">
        <f>COUNTIF(DF_Calculation!E:E,Table1[[#This Row],[ACS_CODE]])</f>
        <v>1</v>
      </c>
    </row>
    <row r="808" spans="1:11" x14ac:dyDescent="0.25">
      <c r="A808">
        <v>71221</v>
      </c>
      <c r="B808" t="s">
        <v>937</v>
      </c>
      <c r="C808" t="s">
        <v>937</v>
      </c>
      <c r="D808" t="s">
        <v>1117</v>
      </c>
      <c r="E808">
        <v>65</v>
      </c>
      <c r="F808">
        <v>0</v>
      </c>
      <c r="G808">
        <v>0</v>
      </c>
      <c r="H808">
        <v>1972</v>
      </c>
      <c r="I808">
        <v>6</v>
      </c>
      <c r="J808">
        <v>2043</v>
      </c>
      <c r="K808">
        <f>COUNTIF(DF_Calculation!E:E,Table1[[#This Row],[ACS_CODE]])</f>
        <v>1</v>
      </c>
    </row>
    <row r="809" spans="1:11" x14ac:dyDescent="0.25">
      <c r="A809">
        <v>62269</v>
      </c>
      <c r="B809" t="s">
        <v>1270</v>
      </c>
      <c r="C809" t="s">
        <v>1269</v>
      </c>
      <c r="D809" t="s">
        <v>2151</v>
      </c>
      <c r="E809">
        <v>65</v>
      </c>
      <c r="F809">
        <v>0</v>
      </c>
      <c r="G809">
        <v>0</v>
      </c>
      <c r="H809">
        <v>1175</v>
      </c>
      <c r="I809">
        <v>4</v>
      </c>
      <c r="J809">
        <v>1244</v>
      </c>
      <c r="K809">
        <f>COUNTIF(DF_Calculation!E:E,Table1[[#This Row],[ACS_CODE]])</f>
        <v>1</v>
      </c>
    </row>
    <row r="810" spans="1:11" x14ac:dyDescent="0.25">
      <c r="A810">
        <v>21344</v>
      </c>
      <c r="B810" t="s">
        <v>916</v>
      </c>
      <c r="C810" t="s">
        <v>1275</v>
      </c>
      <c r="D810" t="s">
        <v>2152</v>
      </c>
      <c r="E810">
        <v>64</v>
      </c>
      <c r="F810">
        <v>0</v>
      </c>
      <c r="G810">
        <v>0</v>
      </c>
      <c r="H810">
        <v>617</v>
      </c>
      <c r="I810">
        <v>6</v>
      </c>
      <c r="J810">
        <v>687</v>
      </c>
      <c r="K810">
        <f>COUNTIF(DF_Calculation!E:E,Table1[[#This Row],[ACS_CODE]])</f>
        <v>1</v>
      </c>
    </row>
    <row r="811" spans="1:11" x14ac:dyDescent="0.25">
      <c r="A811">
        <v>36137</v>
      </c>
      <c r="B811" t="s">
        <v>919</v>
      </c>
      <c r="C811" t="s">
        <v>982</v>
      </c>
      <c r="D811" t="s">
        <v>1118</v>
      </c>
      <c r="E811">
        <v>64</v>
      </c>
      <c r="F811">
        <v>0</v>
      </c>
      <c r="G811">
        <v>0</v>
      </c>
      <c r="H811">
        <v>673</v>
      </c>
      <c r="I811">
        <v>8</v>
      </c>
      <c r="J811">
        <v>745</v>
      </c>
      <c r="K811">
        <f>COUNTIF(DF_Calculation!E:E,Table1[[#This Row],[ACS_CODE]])</f>
        <v>1</v>
      </c>
    </row>
    <row r="812" spans="1:11" x14ac:dyDescent="0.25">
      <c r="A812">
        <v>34166</v>
      </c>
      <c r="B812" t="s">
        <v>919</v>
      </c>
      <c r="C812" t="s">
        <v>931</v>
      </c>
      <c r="D812" t="s">
        <v>1119</v>
      </c>
      <c r="E812">
        <v>64</v>
      </c>
      <c r="F812">
        <v>0</v>
      </c>
      <c r="G812">
        <v>0</v>
      </c>
      <c r="H812">
        <v>448</v>
      </c>
      <c r="I812">
        <v>11</v>
      </c>
      <c r="J812">
        <v>523</v>
      </c>
      <c r="K812">
        <f>COUNTIF(DF_Calculation!E:E,Table1[[#This Row],[ACS_CODE]])</f>
        <v>1</v>
      </c>
    </row>
    <row r="813" spans="1:11" x14ac:dyDescent="0.25">
      <c r="A813">
        <v>22431</v>
      </c>
      <c r="B813" t="s">
        <v>916</v>
      </c>
      <c r="C813" t="s">
        <v>915</v>
      </c>
      <c r="D813" t="s">
        <v>1120</v>
      </c>
      <c r="E813">
        <v>64</v>
      </c>
      <c r="F813">
        <v>0</v>
      </c>
      <c r="G813">
        <v>0</v>
      </c>
      <c r="H813">
        <v>2410</v>
      </c>
      <c r="I813">
        <v>112</v>
      </c>
      <c r="J813">
        <v>2586</v>
      </c>
      <c r="K813">
        <f>COUNTIF(DF_Calculation!E:E,Table1[[#This Row],[ACS_CODE]])</f>
        <v>1</v>
      </c>
    </row>
    <row r="814" spans="1:11" x14ac:dyDescent="0.25">
      <c r="A814">
        <v>26276</v>
      </c>
      <c r="B814" t="s">
        <v>916</v>
      </c>
      <c r="C814" t="s">
        <v>1295</v>
      </c>
      <c r="D814" t="s">
        <v>2153</v>
      </c>
      <c r="E814">
        <v>64</v>
      </c>
      <c r="F814">
        <v>0</v>
      </c>
      <c r="G814">
        <v>0</v>
      </c>
      <c r="H814">
        <v>778</v>
      </c>
      <c r="I814">
        <v>40</v>
      </c>
      <c r="J814">
        <v>882</v>
      </c>
      <c r="K814">
        <f>COUNTIF(DF_Calculation!E:E,Table1[[#This Row],[ACS_CODE]])</f>
        <v>1</v>
      </c>
    </row>
    <row r="815" spans="1:11" x14ac:dyDescent="0.25">
      <c r="A815">
        <v>63144</v>
      </c>
      <c r="B815" t="s">
        <v>1270</v>
      </c>
      <c r="C815" t="s">
        <v>1332</v>
      </c>
      <c r="D815" t="s">
        <v>1358</v>
      </c>
      <c r="E815">
        <v>64</v>
      </c>
      <c r="F815">
        <v>0</v>
      </c>
      <c r="G815">
        <v>0</v>
      </c>
      <c r="H815">
        <v>675</v>
      </c>
      <c r="I815">
        <v>5</v>
      </c>
      <c r="J815">
        <v>744</v>
      </c>
      <c r="K815">
        <f>COUNTIF(DF_Calculation!E:E,Table1[[#This Row],[ACS_CODE]])</f>
        <v>1</v>
      </c>
    </row>
    <row r="816" spans="1:11" x14ac:dyDescent="0.25">
      <c r="A816">
        <v>25373</v>
      </c>
      <c r="B816" t="s">
        <v>916</v>
      </c>
      <c r="C816" t="s">
        <v>1307</v>
      </c>
      <c r="D816" t="s">
        <v>2154</v>
      </c>
      <c r="E816">
        <v>64</v>
      </c>
      <c r="F816">
        <v>0</v>
      </c>
      <c r="G816">
        <v>0</v>
      </c>
      <c r="H816">
        <v>1817</v>
      </c>
      <c r="I816">
        <v>14</v>
      </c>
      <c r="J816">
        <v>1895</v>
      </c>
      <c r="K816">
        <f>COUNTIF(DF_Calculation!E:E,Table1[[#This Row],[ACS_CODE]])</f>
        <v>1</v>
      </c>
    </row>
    <row r="817" spans="1:11" x14ac:dyDescent="0.25">
      <c r="A817">
        <v>73211</v>
      </c>
      <c r="B817" t="s">
        <v>937</v>
      </c>
      <c r="C817" t="s">
        <v>1278</v>
      </c>
      <c r="D817" t="s">
        <v>2155</v>
      </c>
      <c r="E817">
        <v>64</v>
      </c>
      <c r="F817">
        <v>0</v>
      </c>
      <c r="G817">
        <v>0</v>
      </c>
      <c r="H817">
        <v>915</v>
      </c>
      <c r="I817">
        <v>150</v>
      </c>
      <c r="J817">
        <v>1129</v>
      </c>
      <c r="K817">
        <f>COUNTIF(DF_Calculation!E:E,Table1[[#This Row],[ACS_CODE]])</f>
        <v>1</v>
      </c>
    </row>
    <row r="818" spans="1:11" x14ac:dyDescent="0.25">
      <c r="A818">
        <v>53333</v>
      </c>
      <c r="B818" t="s">
        <v>1201</v>
      </c>
      <c r="C818" t="s">
        <v>1266</v>
      </c>
      <c r="D818" t="s">
        <v>2156</v>
      </c>
      <c r="E818">
        <v>63</v>
      </c>
      <c r="F818">
        <v>0</v>
      </c>
      <c r="G818">
        <v>0</v>
      </c>
      <c r="H818">
        <v>767</v>
      </c>
      <c r="I818">
        <v>14</v>
      </c>
      <c r="J818">
        <v>844</v>
      </c>
      <c r="K818">
        <f>COUNTIF(DF_Calculation!E:E,Table1[[#This Row],[ACS_CODE]])</f>
        <v>1</v>
      </c>
    </row>
    <row r="819" spans="1:11" x14ac:dyDescent="0.25">
      <c r="A819">
        <v>34316</v>
      </c>
      <c r="B819" t="s">
        <v>919</v>
      </c>
      <c r="C819" t="s">
        <v>931</v>
      </c>
      <c r="D819" t="s">
        <v>1121</v>
      </c>
      <c r="E819">
        <v>63</v>
      </c>
      <c r="F819">
        <v>0</v>
      </c>
      <c r="G819">
        <v>0</v>
      </c>
      <c r="H819">
        <v>432</v>
      </c>
      <c r="I819">
        <v>21</v>
      </c>
      <c r="J819">
        <v>516</v>
      </c>
      <c r="K819">
        <f>COUNTIF(DF_Calculation!E:E,Table1[[#This Row],[ACS_CODE]])</f>
        <v>1</v>
      </c>
    </row>
    <row r="820" spans="1:11" x14ac:dyDescent="0.25">
      <c r="A820">
        <v>73234</v>
      </c>
      <c r="B820" t="s">
        <v>937</v>
      </c>
      <c r="C820" t="s">
        <v>1278</v>
      </c>
      <c r="D820" t="s">
        <v>2157</v>
      </c>
      <c r="E820">
        <v>63</v>
      </c>
      <c r="F820">
        <v>0</v>
      </c>
      <c r="G820">
        <v>0</v>
      </c>
      <c r="H820">
        <v>1670</v>
      </c>
      <c r="J820">
        <v>1733</v>
      </c>
      <c r="K820">
        <f>COUNTIF(DF_Calculation!E:E,Table1[[#This Row],[ACS_CODE]])</f>
        <v>1</v>
      </c>
    </row>
    <row r="821" spans="1:11" x14ac:dyDescent="0.25">
      <c r="A821">
        <v>62224</v>
      </c>
      <c r="B821" t="s">
        <v>1270</v>
      </c>
      <c r="C821" t="s">
        <v>1269</v>
      </c>
      <c r="D821" t="s">
        <v>2158</v>
      </c>
      <c r="E821">
        <v>63</v>
      </c>
      <c r="F821">
        <v>0</v>
      </c>
      <c r="G821">
        <v>0</v>
      </c>
      <c r="H821">
        <v>1476</v>
      </c>
      <c r="I821">
        <v>6</v>
      </c>
      <c r="J821">
        <v>1545</v>
      </c>
      <c r="K821">
        <f>COUNTIF(DF_Calculation!E:E,Table1[[#This Row],[ACS_CODE]])</f>
        <v>1</v>
      </c>
    </row>
    <row r="822" spans="1:11" x14ac:dyDescent="0.25">
      <c r="A822">
        <v>24359</v>
      </c>
      <c r="B822" t="s">
        <v>916</v>
      </c>
      <c r="C822" t="s">
        <v>1282</v>
      </c>
      <c r="D822" t="s">
        <v>2159</v>
      </c>
      <c r="E822">
        <v>62</v>
      </c>
      <c r="F822">
        <v>0</v>
      </c>
      <c r="G822">
        <v>0</v>
      </c>
      <c r="H822">
        <v>390</v>
      </c>
      <c r="I822">
        <v>19</v>
      </c>
      <c r="J822">
        <v>471</v>
      </c>
      <c r="K822">
        <f>COUNTIF(DF_Calculation!E:E,Table1[[#This Row],[ACS_CODE]])</f>
        <v>1</v>
      </c>
    </row>
    <row r="823" spans="1:11" x14ac:dyDescent="0.25">
      <c r="A823">
        <v>72143</v>
      </c>
      <c r="B823" t="s">
        <v>937</v>
      </c>
      <c r="C823" t="s">
        <v>1514</v>
      </c>
      <c r="D823" t="s">
        <v>2160</v>
      </c>
      <c r="E823">
        <v>62</v>
      </c>
      <c r="F823">
        <v>0</v>
      </c>
      <c r="G823">
        <v>0</v>
      </c>
      <c r="H823">
        <v>2276</v>
      </c>
      <c r="I823">
        <v>55</v>
      </c>
      <c r="J823">
        <v>2393</v>
      </c>
      <c r="K823">
        <f>COUNTIF(DF_Calculation!E:E,Table1[[#This Row],[ACS_CODE]])</f>
        <v>1</v>
      </c>
    </row>
    <row r="824" spans="1:11" x14ac:dyDescent="0.25">
      <c r="A824">
        <v>22744</v>
      </c>
      <c r="B824" t="s">
        <v>916</v>
      </c>
      <c r="C824" t="s">
        <v>915</v>
      </c>
      <c r="D824" t="s">
        <v>1122</v>
      </c>
      <c r="E824">
        <v>62</v>
      </c>
      <c r="F824">
        <v>0</v>
      </c>
      <c r="G824">
        <v>0</v>
      </c>
      <c r="H824">
        <v>1022</v>
      </c>
      <c r="I824">
        <v>8</v>
      </c>
      <c r="J824">
        <v>1092</v>
      </c>
      <c r="K824">
        <f>COUNTIF(DF_Calculation!E:E,Table1[[#This Row],[ACS_CODE]])</f>
        <v>1</v>
      </c>
    </row>
    <row r="825" spans="1:11" x14ac:dyDescent="0.25">
      <c r="A825">
        <v>22771</v>
      </c>
      <c r="B825" t="s">
        <v>916</v>
      </c>
      <c r="C825" t="s">
        <v>915</v>
      </c>
      <c r="D825" t="s">
        <v>1359</v>
      </c>
      <c r="E825">
        <v>62</v>
      </c>
      <c r="F825">
        <v>0</v>
      </c>
      <c r="G825">
        <v>0</v>
      </c>
      <c r="H825">
        <v>334</v>
      </c>
      <c r="I825">
        <v>20</v>
      </c>
      <c r="J825">
        <v>416</v>
      </c>
      <c r="K825">
        <f>COUNTIF(DF_Calculation!E:E,Table1[[#This Row],[ACS_CODE]])</f>
        <v>1</v>
      </c>
    </row>
    <row r="826" spans="1:11" x14ac:dyDescent="0.25">
      <c r="A826">
        <v>73257</v>
      </c>
      <c r="B826" t="s">
        <v>937</v>
      </c>
      <c r="C826" t="s">
        <v>1278</v>
      </c>
      <c r="D826" t="s">
        <v>2161</v>
      </c>
      <c r="E826">
        <v>62</v>
      </c>
      <c r="F826">
        <v>0</v>
      </c>
      <c r="G826">
        <v>0</v>
      </c>
      <c r="H826">
        <v>231</v>
      </c>
      <c r="J826">
        <v>293</v>
      </c>
      <c r="K826">
        <f>COUNTIF(DF_Calculation!E:E,Table1[[#This Row],[ACS_CODE]])</f>
        <v>1</v>
      </c>
    </row>
    <row r="827" spans="1:11" x14ac:dyDescent="0.25">
      <c r="A827">
        <v>36177</v>
      </c>
      <c r="B827" t="s">
        <v>919</v>
      </c>
      <c r="C827" t="s">
        <v>982</v>
      </c>
      <c r="D827" t="s">
        <v>1123</v>
      </c>
      <c r="E827">
        <v>61</v>
      </c>
      <c r="F827">
        <v>0</v>
      </c>
      <c r="G827">
        <v>0</v>
      </c>
      <c r="H827">
        <v>3509</v>
      </c>
      <c r="I827">
        <v>20</v>
      </c>
      <c r="J827">
        <v>3590</v>
      </c>
      <c r="K827">
        <f>COUNTIF(DF_Calculation!E:E,Table1[[#This Row],[ACS_CODE]])</f>
        <v>1</v>
      </c>
    </row>
    <row r="828" spans="1:11" x14ac:dyDescent="0.25">
      <c r="A828">
        <v>23635</v>
      </c>
      <c r="B828" t="s">
        <v>916</v>
      </c>
      <c r="C828" t="s">
        <v>921</v>
      </c>
      <c r="D828" t="s">
        <v>1360</v>
      </c>
      <c r="E828">
        <v>61</v>
      </c>
      <c r="F828">
        <v>0</v>
      </c>
      <c r="G828">
        <v>0</v>
      </c>
      <c r="H828">
        <v>1855</v>
      </c>
      <c r="I828">
        <v>10</v>
      </c>
      <c r="J828">
        <v>1926</v>
      </c>
      <c r="K828">
        <f>COUNTIF(DF_Calculation!E:E,Table1[[#This Row],[ACS_CODE]])</f>
        <v>1</v>
      </c>
    </row>
    <row r="829" spans="1:11" x14ac:dyDescent="0.25">
      <c r="A829">
        <v>54167</v>
      </c>
      <c r="B829" t="s">
        <v>1201</v>
      </c>
      <c r="C829" t="s">
        <v>1200</v>
      </c>
      <c r="D829" t="s">
        <v>1361</v>
      </c>
      <c r="E829">
        <v>61</v>
      </c>
      <c r="F829">
        <v>0</v>
      </c>
      <c r="G829">
        <v>0</v>
      </c>
      <c r="H829">
        <v>41</v>
      </c>
      <c r="J829">
        <v>102</v>
      </c>
      <c r="K829">
        <f>COUNTIF(DF_Calculation!E:E,Table1[[#This Row],[ACS_CODE]])</f>
        <v>1</v>
      </c>
    </row>
    <row r="830" spans="1:11" x14ac:dyDescent="0.25">
      <c r="A830">
        <v>32145</v>
      </c>
      <c r="B830" t="s">
        <v>919</v>
      </c>
      <c r="C830" t="s">
        <v>934</v>
      </c>
      <c r="D830" t="s">
        <v>1124</v>
      </c>
      <c r="E830">
        <v>61</v>
      </c>
      <c r="F830">
        <v>0</v>
      </c>
      <c r="G830">
        <v>0</v>
      </c>
      <c r="H830">
        <v>669</v>
      </c>
      <c r="I830">
        <v>15</v>
      </c>
      <c r="J830">
        <v>745</v>
      </c>
      <c r="K830">
        <f>COUNTIF(DF_Calculation!E:E,Table1[[#This Row],[ACS_CODE]])</f>
        <v>1</v>
      </c>
    </row>
    <row r="831" spans="1:11" x14ac:dyDescent="0.25">
      <c r="A831">
        <v>25171</v>
      </c>
      <c r="B831" t="s">
        <v>916</v>
      </c>
      <c r="C831" t="s">
        <v>1307</v>
      </c>
      <c r="D831" t="s">
        <v>2162</v>
      </c>
      <c r="E831">
        <v>61</v>
      </c>
      <c r="F831">
        <v>0</v>
      </c>
      <c r="G831">
        <v>0</v>
      </c>
      <c r="H831">
        <v>1132</v>
      </c>
      <c r="I831">
        <v>84</v>
      </c>
      <c r="J831">
        <v>1277</v>
      </c>
      <c r="K831">
        <f>COUNTIF(DF_Calculation!E:E,Table1[[#This Row],[ACS_CODE]])</f>
        <v>1</v>
      </c>
    </row>
    <row r="832" spans="1:11" x14ac:dyDescent="0.25">
      <c r="A832">
        <v>26224</v>
      </c>
      <c r="B832" t="s">
        <v>916</v>
      </c>
      <c r="C832" t="s">
        <v>1295</v>
      </c>
      <c r="D832" t="s">
        <v>1362</v>
      </c>
      <c r="E832">
        <v>59</v>
      </c>
      <c r="F832">
        <v>0</v>
      </c>
      <c r="G832">
        <v>0</v>
      </c>
      <c r="H832">
        <v>301</v>
      </c>
      <c r="I832">
        <v>4</v>
      </c>
      <c r="J832">
        <v>364</v>
      </c>
      <c r="K832">
        <f>COUNTIF(DF_Calculation!E:E,Table1[[#This Row],[ACS_CODE]])</f>
        <v>1</v>
      </c>
    </row>
    <row r="833" spans="1:11" x14ac:dyDescent="0.25">
      <c r="A833">
        <v>61487</v>
      </c>
      <c r="B833" t="s">
        <v>1270</v>
      </c>
      <c r="C833" t="s">
        <v>1288</v>
      </c>
      <c r="D833" t="s">
        <v>1363</v>
      </c>
      <c r="E833">
        <v>59</v>
      </c>
      <c r="F833">
        <v>0</v>
      </c>
      <c r="G833">
        <v>0</v>
      </c>
      <c r="H833">
        <v>365</v>
      </c>
      <c r="J833">
        <v>424</v>
      </c>
      <c r="K833">
        <f>COUNTIF(DF_Calculation!E:E,Table1[[#This Row],[ACS_CODE]])</f>
        <v>1</v>
      </c>
    </row>
    <row r="834" spans="1:11" x14ac:dyDescent="0.25">
      <c r="A834">
        <v>52221</v>
      </c>
      <c r="B834" t="s">
        <v>1260</v>
      </c>
      <c r="C834" t="s">
        <v>1323</v>
      </c>
      <c r="D834" t="s">
        <v>1364</v>
      </c>
      <c r="E834">
        <v>59</v>
      </c>
      <c r="F834">
        <v>0</v>
      </c>
      <c r="G834">
        <v>0</v>
      </c>
      <c r="H834">
        <v>288</v>
      </c>
      <c r="I834">
        <v>1</v>
      </c>
      <c r="J834">
        <v>348</v>
      </c>
      <c r="K834">
        <f>COUNTIF(DF_Calculation!E:E,Table1[[#This Row],[ACS_CODE]])</f>
        <v>1</v>
      </c>
    </row>
    <row r="835" spans="1:11" x14ac:dyDescent="0.25">
      <c r="A835">
        <v>35263</v>
      </c>
      <c r="B835" t="s">
        <v>991</v>
      </c>
      <c r="C835" t="s">
        <v>991</v>
      </c>
      <c r="D835" t="s">
        <v>1365</v>
      </c>
      <c r="E835">
        <v>58</v>
      </c>
      <c r="F835">
        <v>0</v>
      </c>
      <c r="G835">
        <v>0</v>
      </c>
      <c r="H835">
        <v>122</v>
      </c>
      <c r="J835">
        <v>180</v>
      </c>
      <c r="K835">
        <f>COUNTIF(DF_Calculation!E:E,Table1[[#This Row],[ACS_CODE]])</f>
        <v>1</v>
      </c>
    </row>
    <row r="836" spans="1:11" x14ac:dyDescent="0.25">
      <c r="A836">
        <v>32165</v>
      </c>
      <c r="B836" t="s">
        <v>919</v>
      </c>
      <c r="C836" t="s">
        <v>934</v>
      </c>
      <c r="D836" t="s">
        <v>1366</v>
      </c>
      <c r="E836">
        <v>58</v>
      </c>
      <c r="F836">
        <v>0</v>
      </c>
      <c r="G836">
        <v>0</v>
      </c>
      <c r="H836">
        <v>492</v>
      </c>
      <c r="J836">
        <v>550</v>
      </c>
      <c r="K836">
        <f>COUNTIF(DF_Calculation!E:E,Table1[[#This Row],[ACS_CODE]])</f>
        <v>1</v>
      </c>
    </row>
    <row r="837" spans="1:11" x14ac:dyDescent="0.25">
      <c r="A837">
        <v>22535</v>
      </c>
      <c r="B837" t="s">
        <v>916</v>
      </c>
      <c r="C837" t="s">
        <v>915</v>
      </c>
      <c r="D837" t="s">
        <v>1125</v>
      </c>
      <c r="E837">
        <v>58</v>
      </c>
      <c r="F837">
        <v>0</v>
      </c>
      <c r="G837">
        <v>0</v>
      </c>
      <c r="H837">
        <v>1642</v>
      </c>
      <c r="I837">
        <v>152</v>
      </c>
      <c r="J837">
        <v>1852</v>
      </c>
      <c r="K837">
        <f>COUNTIF(DF_Calculation!E:E,Table1[[#This Row],[ACS_CODE]])</f>
        <v>1</v>
      </c>
    </row>
    <row r="838" spans="1:11" x14ac:dyDescent="0.25">
      <c r="A838">
        <v>24451</v>
      </c>
      <c r="B838" t="s">
        <v>916</v>
      </c>
      <c r="C838" t="s">
        <v>1282</v>
      </c>
      <c r="D838" t="s">
        <v>2163</v>
      </c>
      <c r="E838">
        <v>57</v>
      </c>
      <c r="F838">
        <v>0</v>
      </c>
      <c r="G838">
        <v>0</v>
      </c>
      <c r="H838">
        <v>1628</v>
      </c>
      <c r="I838">
        <v>10</v>
      </c>
      <c r="J838">
        <v>1695</v>
      </c>
      <c r="K838">
        <f>COUNTIF(DF_Calculation!E:E,Table1[[#This Row],[ACS_CODE]])</f>
        <v>1</v>
      </c>
    </row>
    <row r="839" spans="1:11" x14ac:dyDescent="0.25">
      <c r="A839">
        <v>23279</v>
      </c>
      <c r="B839" t="s">
        <v>916</v>
      </c>
      <c r="C839" t="s">
        <v>921</v>
      </c>
      <c r="D839" t="s">
        <v>1126</v>
      </c>
      <c r="E839">
        <v>57</v>
      </c>
      <c r="F839">
        <v>0</v>
      </c>
      <c r="G839">
        <v>0</v>
      </c>
      <c r="H839">
        <v>247</v>
      </c>
      <c r="I839">
        <v>65</v>
      </c>
      <c r="J839">
        <v>369</v>
      </c>
      <c r="K839">
        <f>COUNTIF(DF_Calculation!E:E,Table1[[#This Row],[ACS_CODE]])</f>
        <v>1</v>
      </c>
    </row>
    <row r="840" spans="1:11" x14ac:dyDescent="0.25">
      <c r="A840">
        <v>26244</v>
      </c>
      <c r="B840" t="s">
        <v>916</v>
      </c>
      <c r="C840" t="s">
        <v>1295</v>
      </c>
      <c r="D840" t="s">
        <v>2164</v>
      </c>
      <c r="E840">
        <v>57</v>
      </c>
      <c r="F840">
        <v>0</v>
      </c>
      <c r="G840">
        <v>0</v>
      </c>
      <c r="H840">
        <v>567</v>
      </c>
      <c r="I840">
        <v>5</v>
      </c>
      <c r="J840">
        <v>629</v>
      </c>
      <c r="K840">
        <f>COUNTIF(DF_Calculation!E:E,Table1[[#This Row],[ACS_CODE]])</f>
        <v>1</v>
      </c>
    </row>
    <row r="841" spans="1:11" x14ac:dyDescent="0.25">
      <c r="A841">
        <v>73245</v>
      </c>
      <c r="B841" t="s">
        <v>937</v>
      </c>
      <c r="C841" t="s">
        <v>1278</v>
      </c>
      <c r="D841" t="s">
        <v>2165</v>
      </c>
      <c r="E841">
        <v>57</v>
      </c>
      <c r="F841">
        <v>0</v>
      </c>
      <c r="G841">
        <v>0</v>
      </c>
      <c r="H841">
        <v>786</v>
      </c>
      <c r="J841">
        <v>843</v>
      </c>
      <c r="K841">
        <f>COUNTIF(DF_Calculation!E:E,Table1[[#This Row],[ACS_CODE]])</f>
        <v>1</v>
      </c>
    </row>
    <row r="842" spans="1:11" x14ac:dyDescent="0.25">
      <c r="A842">
        <v>53159</v>
      </c>
      <c r="B842" t="s">
        <v>1201</v>
      </c>
      <c r="C842" t="s">
        <v>1266</v>
      </c>
      <c r="D842" t="s">
        <v>1367</v>
      </c>
      <c r="E842">
        <v>56</v>
      </c>
      <c r="F842">
        <v>0</v>
      </c>
      <c r="G842">
        <v>0</v>
      </c>
      <c r="H842">
        <v>17</v>
      </c>
      <c r="J842">
        <v>73</v>
      </c>
      <c r="K842">
        <f>COUNTIF(DF_Calculation!E:E,Table1[[#This Row],[ACS_CODE]])</f>
        <v>1</v>
      </c>
    </row>
    <row r="843" spans="1:11" x14ac:dyDescent="0.25">
      <c r="A843">
        <v>23437</v>
      </c>
      <c r="B843" t="s">
        <v>916</v>
      </c>
      <c r="C843" t="s">
        <v>921</v>
      </c>
      <c r="D843" t="s">
        <v>1127</v>
      </c>
      <c r="E843">
        <v>56</v>
      </c>
      <c r="F843">
        <v>0</v>
      </c>
      <c r="G843">
        <v>0</v>
      </c>
      <c r="H843">
        <v>1116</v>
      </c>
      <c r="I843">
        <v>38</v>
      </c>
      <c r="J843">
        <v>1210</v>
      </c>
      <c r="K843">
        <f>COUNTIF(DF_Calculation!E:E,Table1[[#This Row],[ACS_CODE]])</f>
        <v>1</v>
      </c>
    </row>
    <row r="844" spans="1:11" x14ac:dyDescent="0.25">
      <c r="A844">
        <v>34374</v>
      </c>
      <c r="B844" t="s">
        <v>919</v>
      </c>
      <c r="C844" t="s">
        <v>931</v>
      </c>
      <c r="D844" t="s">
        <v>1128</v>
      </c>
      <c r="E844">
        <v>56</v>
      </c>
      <c r="F844">
        <v>0</v>
      </c>
      <c r="G844">
        <v>0</v>
      </c>
      <c r="H844">
        <v>701</v>
      </c>
      <c r="I844">
        <v>10</v>
      </c>
      <c r="J844">
        <v>767</v>
      </c>
      <c r="K844">
        <f>COUNTIF(DF_Calculation!E:E,Table1[[#This Row],[ACS_CODE]])</f>
        <v>1</v>
      </c>
    </row>
    <row r="845" spans="1:11" x14ac:dyDescent="0.25">
      <c r="A845">
        <v>34246</v>
      </c>
      <c r="B845" t="s">
        <v>919</v>
      </c>
      <c r="C845" t="s">
        <v>931</v>
      </c>
      <c r="D845" t="s">
        <v>1129</v>
      </c>
      <c r="E845">
        <v>56</v>
      </c>
      <c r="F845">
        <v>0</v>
      </c>
      <c r="G845">
        <v>0</v>
      </c>
      <c r="H845">
        <v>719</v>
      </c>
      <c r="I845">
        <v>9</v>
      </c>
      <c r="J845">
        <v>784</v>
      </c>
      <c r="K845">
        <f>COUNTIF(DF_Calculation!E:E,Table1[[#This Row],[ACS_CODE]])</f>
        <v>1</v>
      </c>
    </row>
    <row r="846" spans="1:11" x14ac:dyDescent="0.25">
      <c r="A846">
        <v>34239</v>
      </c>
      <c r="B846" t="s">
        <v>919</v>
      </c>
      <c r="C846" t="s">
        <v>931</v>
      </c>
      <c r="D846" t="s">
        <v>1130</v>
      </c>
      <c r="E846">
        <v>56</v>
      </c>
      <c r="F846">
        <v>0</v>
      </c>
      <c r="G846">
        <v>0</v>
      </c>
      <c r="H846">
        <v>346</v>
      </c>
      <c r="I846">
        <v>12</v>
      </c>
      <c r="J846">
        <v>414</v>
      </c>
      <c r="K846">
        <f>COUNTIF(DF_Calculation!E:E,Table1[[#This Row],[ACS_CODE]])</f>
        <v>1</v>
      </c>
    </row>
    <row r="847" spans="1:11" x14ac:dyDescent="0.25">
      <c r="A847">
        <v>22595</v>
      </c>
      <c r="B847" t="s">
        <v>916</v>
      </c>
      <c r="C847" t="s">
        <v>915</v>
      </c>
      <c r="D847" t="s">
        <v>1131</v>
      </c>
      <c r="E847">
        <v>56</v>
      </c>
      <c r="F847">
        <v>0</v>
      </c>
      <c r="G847">
        <v>0</v>
      </c>
      <c r="H847">
        <v>2124</v>
      </c>
      <c r="I847">
        <v>112</v>
      </c>
      <c r="J847">
        <v>2292</v>
      </c>
      <c r="K847">
        <f>COUNTIF(DF_Calculation!E:E,Table1[[#This Row],[ACS_CODE]])</f>
        <v>1</v>
      </c>
    </row>
    <row r="848" spans="1:11" x14ac:dyDescent="0.25">
      <c r="A848">
        <v>73276</v>
      </c>
      <c r="B848" t="s">
        <v>937</v>
      </c>
      <c r="C848" t="s">
        <v>1278</v>
      </c>
      <c r="D848" t="s">
        <v>2166</v>
      </c>
      <c r="E848">
        <v>56</v>
      </c>
      <c r="F848">
        <v>0</v>
      </c>
      <c r="G848">
        <v>0</v>
      </c>
      <c r="H848">
        <v>12</v>
      </c>
      <c r="J848">
        <v>68</v>
      </c>
      <c r="K848">
        <f>COUNTIF(DF_Calculation!E:E,Table1[[#This Row],[ACS_CODE]])</f>
        <v>1</v>
      </c>
    </row>
    <row r="849" spans="1:11" x14ac:dyDescent="0.25">
      <c r="A849">
        <v>62256</v>
      </c>
      <c r="B849" t="s">
        <v>1270</v>
      </c>
      <c r="C849" t="s">
        <v>1269</v>
      </c>
      <c r="D849" t="s">
        <v>2167</v>
      </c>
      <c r="E849">
        <v>56</v>
      </c>
      <c r="F849">
        <v>0</v>
      </c>
      <c r="G849">
        <v>0</v>
      </c>
      <c r="H849">
        <v>543</v>
      </c>
      <c r="I849">
        <v>6</v>
      </c>
      <c r="J849">
        <v>605</v>
      </c>
      <c r="K849">
        <f>COUNTIF(DF_Calculation!E:E,Table1[[#This Row],[ACS_CODE]])</f>
        <v>1</v>
      </c>
    </row>
    <row r="850" spans="1:11" x14ac:dyDescent="0.25">
      <c r="A850">
        <v>55127</v>
      </c>
      <c r="B850" t="s">
        <v>1260</v>
      </c>
      <c r="C850" t="s">
        <v>1291</v>
      </c>
      <c r="D850" t="s">
        <v>2168</v>
      </c>
      <c r="E850">
        <v>54</v>
      </c>
      <c r="F850">
        <v>0</v>
      </c>
      <c r="G850">
        <v>0</v>
      </c>
      <c r="H850">
        <v>353</v>
      </c>
      <c r="I850">
        <v>8</v>
      </c>
      <c r="J850">
        <v>415</v>
      </c>
      <c r="K850">
        <f>COUNTIF(DF_Calculation!E:E,Table1[[#This Row],[ACS_CODE]])</f>
        <v>1</v>
      </c>
    </row>
    <row r="851" spans="1:11" x14ac:dyDescent="0.25">
      <c r="A851">
        <v>61479</v>
      </c>
      <c r="B851" t="s">
        <v>1270</v>
      </c>
      <c r="C851" t="s">
        <v>1288</v>
      </c>
      <c r="D851" t="s">
        <v>2169</v>
      </c>
      <c r="E851">
        <v>54</v>
      </c>
      <c r="F851">
        <v>0</v>
      </c>
      <c r="G851">
        <v>0</v>
      </c>
      <c r="H851">
        <v>709</v>
      </c>
      <c r="J851">
        <v>763</v>
      </c>
      <c r="K851">
        <f>COUNTIF(DF_Calculation!E:E,Table1[[#This Row],[ACS_CODE]])</f>
        <v>1</v>
      </c>
    </row>
    <row r="852" spans="1:11" x14ac:dyDescent="0.25">
      <c r="A852">
        <v>35421</v>
      </c>
      <c r="B852" t="s">
        <v>991</v>
      </c>
      <c r="C852" t="s">
        <v>991</v>
      </c>
      <c r="D852" t="s">
        <v>1368</v>
      </c>
      <c r="E852">
        <v>53</v>
      </c>
      <c r="F852">
        <v>0</v>
      </c>
      <c r="G852">
        <v>0</v>
      </c>
      <c r="H852">
        <v>212</v>
      </c>
      <c r="J852">
        <v>265</v>
      </c>
      <c r="K852">
        <f>COUNTIF(DF_Calculation!E:E,Table1[[#This Row],[ACS_CODE]])</f>
        <v>1</v>
      </c>
    </row>
    <row r="853" spans="1:11" x14ac:dyDescent="0.25">
      <c r="A853">
        <v>53461</v>
      </c>
      <c r="B853" t="s">
        <v>1201</v>
      </c>
      <c r="C853" t="s">
        <v>1266</v>
      </c>
      <c r="D853" t="s">
        <v>2170</v>
      </c>
      <c r="E853">
        <v>53</v>
      </c>
      <c r="F853">
        <v>0</v>
      </c>
      <c r="G853">
        <v>0</v>
      </c>
      <c r="H853">
        <v>1011</v>
      </c>
      <c r="J853">
        <v>1064</v>
      </c>
      <c r="K853">
        <f>COUNTIF(DF_Calculation!E:E,Table1[[#This Row],[ACS_CODE]])</f>
        <v>1</v>
      </c>
    </row>
    <row r="854" spans="1:11" x14ac:dyDescent="0.25">
      <c r="A854">
        <v>34274</v>
      </c>
      <c r="B854" t="s">
        <v>919</v>
      </c>
      <c r="C854" t="s">
        <v>931</v>
      </c>
      <c r="D854" t="s">
        <v>1132</v>
      </c>
      <c r="E854">
        <v>53</v>
      </c>
      <c r="F854">
        <v>0</v>
      </c>
      <c r="G854">
        <v>0</v>
      </c>
      <c r="H854">
        <v>229</v>
      </c>
      <c r="I854">
        <v>5</v>
      </c>
      <c r="J854">
        <v>287</v>
      </c>
      <c r="K854">
        <f>COUNTIF(DF_Calculation!E:E,Table1[[#This Row],[ACS_CODE]])</f>
        <v>1</v>
      </c>
    </row>
    <row r="855" spans="1:11" x14ac:dyDescent="0.25">
      <c r="A855">
        <v>26341</v>
      </c>
      <c r="B855" t="s">
        <v>916</v>
      </c>
      <c r="C855" t="s">
        <v>1295</v>
      </c>
      <c r="D855" t="s">
        <v>2171</v>
      </c>
      <c r="E855">
        <v>53</v>
      </c>
      <c r="F855">
        <v>0</v>
      </c>
      <c r="G855">
        <v>0</v>
      </c>
      <c r="H855">
        <v>945</v>
      </c>
      <c r="J855">
        <v>998</v>
      </c>
      <c r="K855">
        <f>COUNTIF(DF_Calculation!E:E,Table1[[#This Row],[ACS_CODE]])</f>
        <v>1</v>
      </c>
    </row>
    <row r="856" spans="1:11" x14ac:dyDescent="0.25">
      <c r="A856">
        <v>26246</v>
      </c>
      <c r="B856" t="s">
        <v>916</v>
      </c>
      <c r="C856" t="s">
        <v>1295</v>
      </c>
      <c r="D856" t="s">
        <v>2172</v>
      </c>
      <c r="E856">
        <v>53</v>
      </c>
      <c r="F856">
        <v>0</v>
      </c>
      <c r="G856">
        <v>0</v>
      </c>
      <c r="H856">
        <v>778</v>
      </c>
      <c r="I856">
        <v>12</v>
      </c>
      <c r="J856">
        <v>843</v>
      </c>
      <c r="K856">
        <f>COUNTIF(DF_Calculation!E:E,Table1[[#This Row],[ACS_CODE]])</f>
        <v>1</v>
      </c>
    </row>
    <row r="857" spans="1:11" x14ac:dyDescent="0.25">
      <c r="A857">
        <v>35143</v>
      </c>
      <c r="B857" t="s">
        <v>991</v>
      </c>
      <c r="C857" t="s">
        <v>991</v>
      </c>
      <c r="D857" t="s">
        <v>2173</v>
      </c>
      <c r="E857">
        <v>52</v>
      </c>
      <c r="F857">
        <v>0</v>
      </c>
      <c r="G857">
        <v>0</v>
      </c>
      <c r="H857">
        <v>1234</v>
      </c>
      <c r="I857">
        <v>5</v>
      </c>
      <c r="J857">
        <v>1291</v>
      </c>
      <c r="K857">
        <f>COUNTIF(DF_Calculation!E:E,Table1[[#This Row],[ACS_CODE]])</f>
        <v>1</v>
      </c>
    </row>
    <row r="858" spans="1:11" x14ac:dyDescent="0.25">
      <c r="A858">
        <v>34331</v>
      </c>
      <c r="B858" t="s">
        <v>919</v>
      </c>
      <c r="C858" t="s">
        <v>931</v>
      </c>
      <c r="D858" t="s">
        <v>1133</v>
      </c>
      <c r="E858">
        <v>52</v>
      </c>
      <c r="F858">
        <v>0</v>
      </c>
      <c r="G858">
        <v>0</v>
      </c>
      <c r="H858">
        <v>465</v>
      </c>
      <c r="J858">
        <v>517</v>
      </c>
      <c r="K858">
        <f>COUNTIF(DF_Calculation!E:E,Table1[[#This Row],[ACS_CODE]])</f>
        <v>1</v>
      </c>
    </row>
    <row r="859" spans="1:11" x14ac:dyDescent="0.25">
      <c r="A859">
        <v>34243</v>
      </c>
      <c r="B859" t="s">
        <v>919</v>
      </c>
      <c r="C859" t="s">
        <v>931</v>
      </c>
      <c r="D859" t="s">
        <v>2174</v>
      </c>
      <c r="E859">
        <v>52</v>
      </c>
      <c r="F859">
        <v>0</v>
      </c>
      <c r="G859">
        <v>0</v>
      </c>
      <c r="H859">
        <v>736</v>
      </c>
      <c r="I859">
        <v>8</v>
      </c>
      <c r="J859">
        <v>796</v>
      </c>
      <c r="K859">
        <f>COUNTIF(DF_Calculation!E:E,Table1[[#This Row],[ACS_CODE]])</f>
        <v>1</v>
      </c>
    </row>
    <row r="860" spans="1:11" x14ac:dyDescent="0.25">
      <c r="A860">
        <v>71364</v>
      </c>
      <c r="B860" t="s">
        <v>937</v>
      </c>
      <c r="C860" t="s">
        <v>937</v>
      </c>
      <c r="D860" t="s">
        <v>1134</v>
      </c>
      <c r="E860">
        <v>52</v>
      </c>
      <c r="F860">
        <v>0</v>
      </c>
      <c r="G860">
        <v>0</v>
      </c>
      <c r="H860">
        <v>1439</v>
      </c>
      <c r="I860">
        <v>6</v>
      </c>
      <c r="J860">
        <v>1497</v>
      </c>
      <c r="K860">
        <f>COUNTIF(DF_Calculation!E:E,Table1[[#This Row],[ACS_CODE]])</f>
        <v>1</v>
      </c>
    </row>
    <row r="861" spans="1:11" x14ac:dyDescent="0.25">
      <c r="A861">
        <v>61431</v>
      </c>
      <c r="B861" t="s">
        <v>1270</v>
      </c>
      <c r="C861" t="s">
        <v>1288</v>
      </c>
      <c r="D861" t="s">
        <v>1369</v>
      </c>
      <c r="E861">
        <v>52</v>
      </c>
      <c r="F861">
        <v>0</v>
      </c>
      <c r="G861">
        <v>0</v>
      </c>
      <c r="H861">
        <v>21</v>
      </c>
      <c r="J861">
        <v>73</v>
      </c>
      <c r="K861">
        <f>COUNTIF(DF_Calculation!E:E,Table1[[#This Row],[ACS_CODE]])</f>
        <v>1</v>
      </c>
    </row>
    <row r="862" spans="1:11" x14ac:dyDescent="0.25">
      <c r="A862">
        <v>63124</v>
      </c>
      <c r="B862" t="s">
        <v>1270</v>
      </c>
      <c r="C862" t="s">
        <v>1332</v>
      </c>
      <c r="D862" t="s">
        <v>2175</v>
      </c>
      <c r="E862">
        <v>51</v>
      </c>
      <c r="F862">
        <v>0</v>
      </c>
      <c r="G862">
        <v>0</v>
      </c>
      <c r="H862">
        <v>1054</v>
      </c>
      <c r="I862">
        <v>7</v>
      </c>
      <c r="J862">
        <v>1112</v>
      </c>
      <c r="K862">
        <f>COUNTIF(DF_Calculation!E:E,Table1[[#This Row],[ACS_CODE]])</f>
        <v>1</v>
      </c>
    </row>
    <row r="863" spans="1:11" x14ac:dyDescent="0.25">
      <c r="A863">
        <v>63261</v>
      </c>
      <c r="B863" t="s">
        <v>1270</v>
      </c>
      <c r="C863" t="s">
        <v>1332</v>
      </c>
      <c r="D863" t="s">
        <v>2176</v>
      </c>
      <c r="E863">
        <v>51</v>
      </c>
      <c r="F863">
        <v>0</v>
      </c>
      <c r="G863">
        <v>0</v>
      </c>
      <c r="H863">
        <v>341</v>
      </c>
      <c r="I863">
        <v>33</v>
      </c>
      <c r="J863">
        <v>425</v>
      </c>
      <c r="K863">
        <f>COUNTIF(DF_Calculation!E:E,Table1[[#This Row],[ACS_CODE]])</f>
        <v>1</v>
      </c>
    </row>
    <row r="864" spans="1:11" x14ac:dyDescent="0.25">
      <c r="A864">
        <v>52287</v>
      </c>
      <c r="B864" t="s">
        <v>1260</v>
      </c>
      <c r="C864" t="s">
        <v>1323</v>
      </c>
      <c r="D864" t="s">
        <v>2177</v>
      </c>
      <c r="E864">
        <v>51</v>
      </c>
      <c r="F864">
        <v>0</v>
      </c>
      <c r="G864">
        <v>0</v>
      </c>
      <c r="H864">
        <v>0</v>
      </c>
      <c r="J864">
        <v>51</v>
      </c>
      <c r="K864">
        <f>COUNTIF(DF_Calculation!E:E,Table1[[#This Row],[ACS_CODE]])</f>
        <v>1</v>
      </c>
    </row>
    <row r="865" spans="1:11" x14ac:dyDescent="0.25">
      <c r="A865">
        <v>53475</v>
      </c>
      <c r="B865" t="s">
        <v>1201</v>
      </c>
      <c r="C865" t="s">
        <v>1266</v>
      </c>
      <c r="D865" t="s">
        <v>2178</v>
      </c>
      <c r="E865">
        <v>50</v>
      </c>
      <c r="F865">
        <v>0</v>
      </c>
      <c r="G865">
        <v>0</v>
      </c>
      <c r="H865">
        <v>194</v>
      </c>
      <c r="J865">
        <v>244</v>
      </c>
      <c r="K865">
        <f>COUNTIF(DF_Calculation!E:E,Table1[[#This Row],[ACS_CODE]])</f>
        <v>1</v>
      </c>
    </row>
    <row r="866" spans="1:11" x14ac:dyDescent="0.25">
      <c r="A866">
        <v>23451</v>
      </c>
      <c r="B866" t="s">
        <v>916</v>
      </c>
      <c r="C866" t="s">
        <v>921</v>
      </c>
      <c r="D866" t="s">
        <v>2179</v>
      </c>
      <c r="E866">
        <v>50</v>
      </c>
      <c r="F866">
        <v>0</v>
      </c>
      <c r="G866">
        <v>0</v>
      </c>
      <c r="H866">
        <v>1633</v>
      </c>
      <c r="I866">
        <v>4</v>
      </c>
      <c r="J866">
        <v>1687</v>
      </c>
      <c r="K866">
        <f>COUNTIF(DF_Calculation!E:E,Table1[[#This Row],[ACS_CODE]])</f>
        <v>1</v>
      </c>
    </row>
    <row r="867" spans="1:11" x14ac:dyDescent="0.25">
      <c r="A867">
        <v>37359</v>
      </c>
      <c r="B867" t="s">
        <v>919</v>
      </c>
      <c r="C867" t="s">
        <v>918</v>
      </c>
      <c r="D867" t="s">
        <v>1370</v>
      </c>
      <c r="E867">
        <v>50</v>
      </c>
      <c r="F867">
        <v>0</v>
      </c>
      <c r="G867">
        <v>0</v>
      </c>
      <c r="H867">
        <v>1</v>
      </c>
      <c r="J867">
        <v>51</v>
      </c>
      <c r="K867">
        <f>COUNTIF(DF_Calculation!E:E,Table1[[#This Row],[ACS_CODE]])</f>
        <v>1</v>
      </c>
    </row>
    <row r="868" spans="1:11" x14ac:dyDescent="0.25">
      <c r="A868">
        <v>26226</v>
      </c>
      <c r="B868" t="s">
        <v>916</v>
      </c>
      <c r="C868" t="s">
        <v>1295</v>
      </c>
      <c r="D868" t="s">
        <v>2180</v>
      </c>
      <c r="E868">
        <v>50</v>
      </c>
      <c r="F868">
        <v>0</v>
      </c>
      <c r="G868">
        <v>0</v>
      </c>
      <c r="H868">
        <v>253</v>
      </c>
      <c r="I868">
        <v>7</v>
      </c>
      <c r="J868">
        <v>310</v>
      </c>
      <c r="K868">
        <f>COUNTIF(DF_Calculation!E:E,Table1[[#This Row],[ACS_CODE]])</f>
        <v>1</v>
      </c>
    </row>
    <row r="869" spans="1:11" x14ac:dyDescent="0.25">
      <c r="A869">
        <v>26123</v>
      </c>
      <c r="B869" t="s">
        <v>916</v>
      </c>
      <c r="C869" t="s">
        <v>1295</v>
      </c>
      <c r="D869" t="s">
        <v>1371</v>
      </c>
      <c r="E869">
        <v>50</v>
      </c>
      <c r="F869">
        <v>0</v>
      </c>
      <c r="G869">
        <v>0</v>
      </c>
      <c r="H869">
        <v>3439</v>
      </c>
      <c r="I869">
        <v>386</v>
      </c>
      <c r="J869">
        <v>3875</v>
      </c>
      <c r="K869">
        <f>COUNTIF(DF_Calculation!E:E,Table1[[#This Row],[ACS_CODE]])</f>
        <v>1</v>
      </c>
    </row>
    <row r="870" spans="1:11" x14ac:dyDescent="0.25">
      <c r="A870">
        <v>63131</v>
      </c>
      <c r="B870" t="s">
        <v>1270</v>
      </c>
      <c r="C870" t="s">
        <v>1332</v>
      </c>
      <c r="D870" t="s">
        <v>1372</v>
      </c>
      <c r="E870">
        <v>50</v>
      </c>
      <c r="F870">
        <v>0</v>
      </c>
      <c r="G870">
        <v>0</v>
      </c>
      <c r="H870">
        <v>605</v>
      </c>
      <c r="I870">
        <v>3</v>
      </c>
      <c r="J870">
        <v>658</v>
      </c>
      <c r="K870">
        <f>COUNTIF(DF_Calculation!E:E,Table1[[#This Row],[ACS_CODE]])</f>
        <v>1</v>
      </c>
    </row>
    <row r="871" spans="1:11" x14ac:dyDescent="0.25">
      <c r="A871">
        <v>25251</v>
      </c>
      <c r="B871" t="s">
        <v>916</v>
      </c>
      <c r="C871" t="s">
        <v>1307</v>
      </c>
      <c r="D871" t="s">
        <v>2181</v>
      </c>
      <c r="E871">
        <v>50</v>
      </c>
      <c r="F871">
        <v>0</v>
      </c>
      <c r="G871">
        <v>0</v>
      </c>
      <c r="H871">
        <v>1657</v>
      </c>
      <c r="I871">
        <v>210</v>
      </c>
      <c r="J871">
        <v>1917</v>
      </c>
      <c r="K871">
        <f>COUNTIF(DF_Calculation!E:E,Table1[[#This Row],[ACS_CODE]])</f>
        <v>1</v>
      </c>
    </row>
    <row r="872" spans="1:11" x14ac:dyDescent="0.25">
      <c r="A872">
        <v>55137</v>
      </c>
      <c r="B872" t="s">
        <v>1260</v>
      </c>
      <c r="C872" t="s">
        <v>1291</v>
      </c>
      <c r="D872" t="s">
        <v>2182</v>
      </c>
      <c r="E872">
        <v>50</v>
      </c>
      <c r="F872">
        <v>0</v>
      </c>
      <c r="G872">
        <v>0</v>
      </c>
      <c r="H872">
        <v>845</v>
      </c>
      <c r="I872">
        <v>15</v>
      </c>
      <c r="J872">
        <v>910</v>
      </c>
      <c r="K872">
        <f>COUNTIF(DF_Calculation!E:E,Table1[[#This Row],[ACS_CODE]])</f>
        <v>1</v>
      </c>
    </row>
    <row r="873" spans="1:11" x14ac:dyDescent="0.25">
      <c r="A873">
        <v>51131</v>
      </c>
      <c r="B873" t="s">
        <v>1260</v>
      </c>
      <c r="C873" t="s">
        <v>1259</v>
      </c>
      <c r="D873" t="s">
        <v>1373</v>
      </c>
      <c r="E873">
        <v>50</v>
      </c>
      <c r="F873">
        <v>0</v>
      </c>
      <c r="G873">
        <v>0</v>
      </c>
      <c r="H873">
        <v>4516</v>
      </c>
      <c r="I873">
        <v>264</v>
      </c>
      <c r="J873">
        <v>4830</v>
      </c>
      <c r="K873">
        <f>COUNTIF(DF_Calculation!E:E,Table1[[#This Row],[ACS_CODE]])</f>
        <v>1</v>
      </c>
    </row>
    <row r="874" spans="1:11" x14ac:dyDescent="0.25">
      <c r="A874">
        <v>33149</v>
      </c>
      <c r="B874" t="s">
        <v>919</v>
      </c>
      <c r="C874" t="s">
        <v>1297</v>
      </c>
      <c r="D874" t="s">
        <v>1374</v>
      </c>
      <c r="E874">
        <v>50</v>
      </c>
      <c r="F874">
        <v>0</v>
      </c>
      <c r="G874">
        <v>0</v>
      </c>
      <c r="H874">
        <v>379</v>
      </c>
      <c r="I874">
        <v>30</v>
      </c>
      <c r="J874">
        <v>459</v>
      </c>
      <c r="K874">
        <f>COUNTIF(DF_Calculation!E:E,Table1[[#This Row],[ACS_CODE]])</f>
        <v>1</v>
      </c>
    </row>
    <row r="875" spans="1:11" x14ac:dyDescent="0.25">
      <c r="A875">
        <v>34271</v>
      </c>
      <c r="B875" t="s">
        <v>919</v>
      </c>
      <c r="C875" t="s">
        <v>931</v>
      </c>
      <c r="D875" t="s">
        <v>1135</v>
      </c>
      <c r="E875">
        <v>49</v>
      </c>
      <c r="F875">
        <v>0</v>
      </c>
      <c r="G875">
        <v>0</v>
      </c>
      <c r="H875">
        <v>529</v>
      </c>
      <c r="J875">
        <v>578</v>
      </c>
      <c r="K875">
        <f>COUNTIF(DF_Calculation!E:E,Table1[[#This Row],[ACS_CODE]])</f>
        <v>1</v>
      </c>
    </row>
    <row r="876" spans="1:11" x14ac:dyDescent="0.25">
      <c r="A876">
        <v>34236</v>
      </c>
      <c r="B876" t="s">
        <v>919</v>
      </c>
      <c r="C876" t="s">
        <v>931</v>
      </c>
      <c r="D876" t="s">
        <v>1136</v>
      </c>
      <c r="E876">
        <v>49</v>
      </c>
      <c r="F876">
        <v>0</v>
      </c>
      <c r="G876">
        <v>0</v>
      </c>
      <c r="H876">
        <v>374</v>
      </c>
      <c r="I876">
        <v>22</v>
      </c>
      <c r="J876">
        <v>445</v>
      </c>
      <c r="K876">
        <f>COUNTIF(DF_Calculation!E:E,Table1[[#This Row],[ACS_CODE]])</f>
        <v>1</v>
      </c>
    </row>
    <row r="877" spans="1:11" x14ac:dyDescent="0.25">
      <c r="A877">
        <v>54135</v>
      </c>
      <c r="B877" t="s">
        <v>1201</v>
      </c>
      <c r="C877" t="s">
        <v>1200</v>
      </c>
      <c r="D877" t="s">
        <v>1375</v>
      </c>
      <c r="E877">
        <v>49</v>
      </c>
      <c r="F877">
        <v>0</v>
      </c>
      <c r="G877">
        <v>0</v>
      </c>
      <c r="H877">
        <v>79</v>
      </c>
      <c r="J877">
        <v>128</v>
      </c>
      <c r="K877">
        <f>COUNTIF(DF_Calculation!E:E,Table1[[#This Row],[ACS_CODE]])</f>
        <v>1</v>
      </c>
    </row>
    <row r="878" spans="1:11" x14ac:dyDescent="0.25">
      <c r="A878">
        <v>73280</v>
      </c>
      <c r="B878" t="s">
        <v>937</v>
      </c>
      <c r="C878" t="s">
        <v>1278</v>
      </c>
      <c r="D878" t="s">
        <v>2183</v>
      </c>
      <c r="E878">
        <v>49</v>
      </c>
      <c r="F878">
        <v>0</v>
      </c>
      <c r="G878">
        <v>0</v>
      </c>
      <c r="H878">
        <v>836</v>
      </c>
      <c r="J878">
        <v>885</v>
      </c>
      <c r="K878">
        <f>COUNTIF(DF_Calculation!E:E,Table1[[#This Row],[ACS_CODE]])</f>
        <v>1</v>
      </c>
    </row>
    <row r="879" spans="1:11" x14ac:dyDescent="0.25">
      <c r="A879">
        <v>61483</v>
      </c>
      <c r="B879" t="s">
        <v>1270</v>
      </c>
      <c r="C879" t="s">
        <v>1288</v>
      </c>
      <c r="D879" t="s">
        <v>1376</v>
      </c>
      <c r="E879">
        <v>49</v>
      </c>
      <c r="F879">
        <v>0</v>
      </c>
      <c r="G879">
        <v>0</v>
      </c>
      <c r="H879">
        <v>672</v>
      </c>
      <c r="I879">
        <v>3</v>
      </c>
      <c r="J879">
        <v>724</v>
      </c>
      <c r="K879">
        <f>COUNTIF(DF_Calculation!E:E,Table1[[#This Row],[ACS_CODE]])</f>
        <v>1</v>
      </c>
    </row>
    <row r="880" spans="1:11" x14ac:dyDescent="0.25">
      <c r="A880">
        <v>51335</v>
      </c>
      <c r="B880" t="s">
        <v>1260</v>
      </c>
      <c r="C880" t="s">
        <v>1259</v>
      </c>
      <c r="D880" t="s">
        <v>1377</v>
      </c>
      <c r="E880">
        <v>49</v>
      </c>
      <c r="F880">
        <v>0</v>
      </c>
      <c r="G880">
        <v>0</v>
      </c>
      <c r="H880">
        <v>1</v>
      </c>
      <c r="J880">
        <v>50</v>
      </c>
      <c r="K880">
        <f>COUNTIF(DF_Calculation!E:E,Table1[[#This Row],[ACS_CODE]])</f>
        <v>1</v>
      </c>
    </row>
    <row r="881" spans="1:11" x14ac:dyDescent="0.25">
      <c r="A881">
        <v>35322</v>
      </c>
      <c r="B881" t="s">
        <v>991</v>
      </c>
      <c r="C881" t="s">
        <v>991</v>
      </c>
      <c r="D881" t="s">
        <v>2184</v>
      </c>
      <c r="E881">
        <v>48</v>
      </c>
      <c r="F881">
        <v>0</v>
      </c>
      <c r="G881">
        <v>0</v>
      </c>
      <c r="H881">
        <v>1779</v>
      </c>
      <c r="J881">
        <v>1827</v>
      </c>
      <c r="K881">
        <f>COUNTIF(DF_Calculation!E:E,Table1[[#This Row],[ACS_CODE]])</f>
        <v>1</v>
      </c>
    </row>
    <row r="882" spans="1:11" x14ac:dyDescent="0.25">
      <c r="A882">
        <v>24283</v>
      </c>
      <c r="B882" t="s">
        <v>916</v>
      </c>
      <c r="C882" t="s">
        <v>1282</v>
      </c>
      <c r="D882" t="s">
        <v>2185</v>
      </c>
      <c r="E882">
        <v>48</v>
      </c>
      <c r="F882">
        <v>0</v>
      </c>
      <c r="G882">
        <v>0</v>
      </c>
      <c r="H882">
        <v>1866</v>
      </c>
      <c r="I882">
        <v>28</v>
      </c>
      <c r="J882">
        <v>1942</v>
      </c>
      <c r="K882">
        <f>COUNTIF(DF_Calculation!E:E,Table1[[#This Row],[ACS_CODE]])</f>
        <v>1</v>
      </c>
    </row>
    <row r="883" spans="1:11" x14ac:dyDescent="0.25">
      <c r="A883">
        <v>36154</v>
      </c>
      <c r="B883" t="s">
        <v>919</v>
      </c>
      <c r="C883" t="s">
        <v>982</v>
      </c>
      <c r="D883" t="s">
        <v>1378</v>
      </c>
      <c r="E883">
        <v>48</v>
      </c>
      <c r="F883">
        <v>0</v>
      </c>
      <c r="G883">
        <v>0</v>
      </c>
      <c r="H883">
        <v>139</v>
      </c>
      <c r="I883">
        <v>3</v>
      </c>
      <c r="J883">
        <v>190</v>
      </c>
      <c r="K883">
        <f>COUNTIF(DF_Calculation!E:E,Table1[[#This Row],[ACS_CODE]])</f>
        <v>1</v>
      </c>
    </row>
    <row r="884" spans="1:11" x14ac:dyDescent="0.25">
      <c r="A884">
        <v>37251</v>
      </c>
      <c r="B884" t="s">
        <v>919</v>
      </c>
      <c r="C884" t="s">
        <v>918</v>
      </c>
      <c r="D884" t="s">
        <v>1137</v>
      </c>
      <c r="E884">
        <v>48</v>
      </c>
      <c r="F884">
        <v>0</v>
      </c>
      <c r="G884">
        <v>0</v>
      </c>
      <c r="H884">
        <v>570</v>
      </c>
      <c r="I884">
        <v>6</v>
      </c>
      <c r="J884">
        <v>624</v>
      </c>
      <c r="K884">
        <f>COUNTIF(DF_Calculation!E:E,Table1[[#This Row],[ACS_CODE]])</f>
        <v>1</v>
      </c>
    </row>
    <row r="885" spans="1:11" x14ac:dyDescent="0.25">
      <c r="A885">
        <v>25323</v>
      </c>
      <c r="B885" t="s">
        <v>916</v>
      </c>
      <c r="C885" t="s">
        <v>1307</v>
      </c>
      <c r="D885" t="s">
        <v>2186</v>
      </c>
      <c r="E885">
        <v>48</v>
      </c>
      <c r="F885">
        <v>0</v>
      </c>
      <c r="G885">
        <v>0</v>
      </c>
      <c r="H885">
        <v>1233</v>
      </c>
      <c r="I885">
        <v>38</v>
      </c>
      <c r="J885">
        <v>1319</v>
      </c>
      <c r="K885">
        <f>COUNTIF(DF_Calculation!E:E,Table1[[#This Row],[ACS_CODE]])</f>
        <v>1</v>
      </c>
    </row>
    <row r="886" spans="1:11" x14ac:dyDescent="0.25">
      <c r="A886">
        <v>55177</v>
      </c>
      <c r="B886" t="s">
        <v>1260</v>
      </c>
      <c r="C886" t="s">
        <v>1291</v>
      </c>
      <c r="D886" t="s">
        <v>2187</v>
      </c>
      <c r="E886">
        <v>48</v>
      </c>
      <c r="F886">
        <v>0</v>
      </c>
      <c r="G886">
        <v>0</v>
      </c>
      <c r="H886">
        <v>460</v>
      </c>
      <c r="J886">
        <v>508</v>
      </c>
      <c r="K886">
        <f>COUNTIF(DF_Calculation!E:E,Table1[[#This Row],[ACS_CODE]])</f>
        <v>1</v>
      </c>
    </row>
    <row r="887" spans="1:11" x14ac:dyDescent="0.25">
      <c r="A887">
        <v>24291</v>
      </c>
      <c r="B887" t="s">
        <v>916</v>
      </c>
      <c r="C887" t="s">
        <v>1282</v>
      </c>
      <c r="D887" t="s">
        <v>2188</v>
      </c>
      <c r="E887">
        <v>47</v>
      </c>
      <c r="F887">
        <v>0</v>
      </c>
      <c r="G887">
        <v>0</v>
      </c>
      <c r="H887">
        <v>1504</v>
      </c>
      <c r="I887">
        <v>35</v>
      </c>
      <c r="J887">
        <v>1586</v>
      </c>
      <c r="K887">
        <f>COUNTIF(DF_Calculation!E:E,Table1[[#This Row],[ACS_CODE]])</f>
        <v>1</v>
      </c>
    </row>
    <row r="888" spans="1:11" x14ac:dyDescent="0.25">
      <c r="A888">
        <v>53221</v>
      </c>
      <c r="B888" t="s">
        <v>1201</v>
      </c>
      <c r="C888" t="s">
        <v>1266</v>
      </c>
      <c r="D888" t="s">
        <v>1379</v>
      </c>
      <c r="E888">
        <v>47</v>
      </c>
      <c r="F888">
        <v>0</v>
      </c>
      <c r="G888">
        <v>0</v>
      </c>
      <c r="H888">
        <v>439</v>
      </c>
      <c r="I888">
        <v>4</v>
      </c>
      <c r="J888">
        <v>490</v>
      </c>
      <c r="K888">
        <f>COUNTIF(DF_Calculation!E:E,Table1[[#This Row],[ACS_CODE]])</f>
        <v>1</v>
      </c>
    </row>
    <row r="889" spans="1:11" x14ac:dyDescent="0.25">
      <c r="A889">
        <v>37339</v>
      </c>
      <c r="B889" t="s">
        <v>919</v>
      </c>
      <c r="C889" t="s">
        <v>918</v>
      </c>
      <c r="D889" t="s">
        <v>1138</v>
      </c>
      <c r="E889">
        <v>47</v>
      </c>
      <c r="F889">
        <v>0</v>
      </c>
      <c r="G889">
        <v>0</v>
      </c>
      <c r="H889">
        <v>2295</v>
      </c>
      <c r="J889">
        <v>2342</v>
      </c>
      <c r="K889">
        <f>COUNTIF(DF_Calculation!E:E,Table1[[#This Row],[ACS_CODE]])</f>
        <v>1</v>
      </c>
    </row>
    <row r="890" spans="1:11" x14ac:dyDescent="0.25">
      <c r="A890">
        <v>25349</v>
      </c>
      <c r="B890" t="s">
        <v>916</v>
      </c>
      <c r="C890" t="s">
        <v>1307</v>
      </c>
      <c r="D890" t="s">
        <v>2189</v>
      </c>
      <c r="E890">
        <v>47</v>
      </c>
      <c r="F890">
        <v>0</v>
      </c>
      <c r="G890">
        <v>0</v>
      </c>
      <c r="H890">
        <v>554</v>
      </c>
      <c r="I890">
        <v>17</v>
      </c>
      <c r="J890">
        <v>618</v>
      </c>
      <c r="K890">
        <f>COUNTIF(DF_Calculation!E:E,Table1[[#This Row],[ACS_CODE]])</f>
        <v>1</v>
      </c>
    </row>
    <row r="891" spans="1:11" x14ac:dyDescent="0.25">
      <c r="A891">
        <v>24434</v>
      </c>
      <c r="B891" t="s">
        <v>916</v>
      </c>
      <c r="C891" t="s">
        <v>1282</v>
      </c>
      <c r="D891" t="s">
        <v>2190</v>
      </c>
      <c r="E891">
        <v>46</v>
      </c>
      <c r="F891">
        <v>0</v>
      </c>
      <c r="G891">
        <v>0</v>
      </c>
      <c r="H891">
        <v>1096</v>
      </c>
      <c r="I891">
        <v>5</v>
      </c>
      <c r="J891">
        <v>1147</v>
      </c>
      <c r="K891">
        <f>COUNTIF(DF_Calculation!E:E,Table1[[#This Row],[ACS_CODE]])</f>
        <v>1</v>
      </c>
    </row>
    <row r="892" spans="1:11" x14ac:dyDescent="0.25">
      <c r="A892">
        <v>23316</v>
      </c>
      <c r="B892" t="s">
        <v>916</v>
      </c>
      <c r="C892" t="s">
        <v>921</v>
      </c>
      <c r="D892" t="s">
        <v>1139</v>
      </c>
      <c r="E892">
        <v>46</v>
      </c>
      <c r="F892">
        <v>0</v>
      </c>
      <c r="G892">
        <v>0</v>
      </c>
      <c r="H892">
        <v>111</v>
      </c>
      <c r="I892">
        <v>4</v>
      </c>
      <c r="J892">
        <v>161</v>
      </c>
      <c r="K892">
        <f>COUNTIF(DF_Calculation!E:E,Table1[[#This Row],[ACS_CODE]])</f>
        <v>1</v>
      </c>
    </row>
    <row r="893" spans="1:11" x14ac:dyDescent="0.25">
      <c r="A893">
        <v>71236</v>
      </c>
      <c r="B893" t="s">
        <v>937</v>
      </c>
      <c r="C893" t="s">
        <v>937</v>
      </c>
      <c r="D893" t="s">
        <v>1380</v>
      </c>
      <c r="E893">
        <v>46</v>
      </c>
      <c r="F893">
        <v>0</v>
      </c>
      <c r="G893">
        <v>0</v>
      </c>
      <c r="H893">
        <v>1204</v>
      </c>
      <c r="I893">
        <v>10</v>
      </c>
      <c r="J893">
        <v>1260</v>
      </c>
      <c r="K893">
        <f>COUNTIF(DF_Calculation!E:E,Table1[[#This Row],[ACS_CODE]])</f>
        <v>1</v>
      </c>
    </row>
    <row r="894" spans="1:11" x14ac:dyDescent="0.25">
      <c r="A894">
        <v>26337</v>
      </c>
      <c r="B894" t="s">
        <v>916</v>
      </c>
      <c r="C894" t="s">
        <v>1295</v>
      </c>
      <c r="D894" t="s">
        <v>2191</v>
      </c>
      <c r="E894">
        <v>46</v>
      </c>
      <c r="F894">
        <v>0</v>
      </c>
      <c r="G894">
        <v>0</v>
      </c>
      <c r="H894">
        <v>154</v>
      </c>
      <c r="I894">
        <v>12</v>
      </c>
      <c r="J894">
        <v>212</v>
      </c>
      <c r="K894">
        <f>COUNTIF(DF_Calculation!E:E,Table1[[#This Row],[ACS_CODE]])</f>
        <v>1</v>
      </c>
    </row>
    <row r="895" spans="1:11" x14ac:dyDescent="0.25">
      <c r="A895">
        <v>26384</v>
      </c>
      <c r="B895" t="s">
        <v>916</v>
      </c>
      <c r="C895" t="s">
        <v>1295</v>
      </c>
      <c r="D895" t="s">
        <v>2192</v>
      </c>
      <c r="E895">
        <v>46</v>
      </c>
      <c r="F895">
        <v>0</v>
      </c>
      <c r="G895">
        <v>0</v>
      </c>
      <c r="H895">
        <v>1413</v>
      </c>
      <c r="I895">
        <v>12</v>
      </c>
      <c r="J895">
        <v>1471</v>
      </c>
      <c r="K895">
        <f>COUNTIF(DF_Calculation!E:E,Table1[[#This Row],[ACS_CODE]])</f>
        <v>1</v>
      </c>
    </row>
    <row r="896" spans="1:11" x14ac:dyDescent="0.25">
      <c r="A896">
        <v>63244</v>
      </c>
      <c r="B896" t="s">
        <v>1270</v>
      </c>
      <c r="C896" t="s">
        <v>1332</v>
      </c>
      <c r="D896" t="s">
        <v>2193</v>
      </c>
      <c r="E896">
        <v>46</v>
      </c>
      <c r="F896">
        <v>0</v>
      </c>
      <c r="G896">
        <v>0</v>
      </c>
      <c r="H896">
        <v>178</v>
      </c>
      <c r="I896">
        <v>7</v>
      </c>
      <c r="J896">
        <v>231</v>
      </c>
      <c r="K896">
        <f>COUNTIF(DF_Calculation!E:E,Table1[[#This Row],[ACS_CODE]])</f>
        <v>1</v>
      </c>
    </row>
    <row r="897" spans="1:11" x14ac:dyDescent="0.25">
      <c r="A897">
        <v>53131</v>
      </c>
      <c r="B897" t="s">
        <v>1201</v>
      </c>
      <c r="C897" t="s">
        <v>1266</v>
      </c>
      <c r="D897" t="s">
        <v>1381</v>
      </c>
      <c r="E897">
        <v>45</v>
      </c>
      <c r="F897">
        <v>0</v>
      </c>
      <c r="G897">
        <v>0</v>
      </c>
      <c r="H897">
        <v>1</v>
      </c>
      <c r="J897">
        <v>46</v>
      </c>
      <c r="K897">
        <f>COUNTIF(DF_Calculation!E:E,Table1[[#This Row],[ACS_CODE]])</f>
        <v>1</v>
      </c>
    </row>
    <row r="898" spans="1:11" x14ac:dyDescent="0.25">
      <c r="A898">
        <v>26253</v>
      </c>
      <c r="B898" t="s">
        <v>916</v>
      </c>
      <c r="C898" t="s">
        <v>1295</v>
      </c>
      <c r="D898" t="s">
        <v>1382</v>
      </c>
      <c r="E898">
        <v>45</v>
      </c>
      <c r="F898">
        <v>0</v>
      </c>
      <c r="G898">
        <v>0</v>
      </c>
      <c r="H898">
        <v>518</v>
      </c>
      <c r="I898">
        <v>44</v>
      </c>
      <c r="J898">
        <v>607</v>
      </c>
      <c r="K898">
        <f>COUNTIF(DF_Calculation!E:E,Table1[[#This Row],[ACS_CODE]])</f>
        <v>1</v>
      </c>
    </row>
    <row r="899" spans="1:11" x14ac:dyDescent="0.25">
      <c r="A899">
        <v>73256</v>
      </c>
      <c r="B899" t="s">
        <v>937</v>
      </c>
      <c r="C899" t="s">
        <v>1278</v>
      </c>
      <c r="D899" t="s">
        <v>1383</v>
      </c>
      <c r="E899">
        <v>45</v>
      </c>
      <c r="F899">
        <v>0</v>
      </c>
      <c r="G899">
        <v>0</v>
      </c>
      <c r="H899">
        <v>213</v>
      </c>
      <c r="J899">
        <v>258</v>
      </c>
      <c r="K899">
        <f>COUNTIF(DF_Calculation!E:E,Table1[[#This Row],[ACS_CODE]])</f>
        <v>1</v>
      </c>
    </row>
    <row r="900" spans="1:11" x14ac:dyDescent="0.25">
      <c r="A900">
        <v>23365</v>
      </c>
      <c r="B900" t="s">
        <v>916</v>
      </c>
      <c r="C900" t="s">
        <v>921</v>
      </c>
      <c r="D900" t="s">
        <v>1140</v>
      </c>
      <c r="E900">
        <v>44</v>
      </c>
      <c r="F900">
        <v>0</v>
      </c>
      <c r="G900">
        <v>0</v>
      </c>
      <c r="H900">
        <v>12</v>
      </c>
      <c r="J900">
        <v>56</v>
      </c>
      <c r="K900">
        <f>COUNTIF(DF_Calculation!E:E,Table1[[#This Row],[ACS_CODE]])</f>
        <v>1</v>
      </c>
    </row>
    <row r="901" spans="1:11" x14ac:dyDescent="0.25">
      <c r="A901">
        <v>22539</v>
      </c>
      <c r="B901" t="s">
        <v>916</v>
      </c>
      <c r="C901" t="s">
        <v>915</v>
      </c>
      <c r="D901" t="s">
        <v>1141</v>
      </c>
      <c r="E901">
        <v>44</v>
      </c>
      <c r="F901">
        <v>0</v>
      </c>
      <c r="G901">
        <v>0</v>
      </c>
      <c r="H901">
        <v>547</v>
      </c>
      <c r="I901">
        <v>31</v>
      </c>
      <c r="J901">
        <v>622</v>
      </c>
      <c r="K901">
        <f>COUNTIF(DF_Calculation!E:E,Table1[[#This Row],[ACS_CODE]])</f>
        <v>1</v>
      </c>
    </row>
    <row r="902" spans="1:11" x14ac:dyDescent="0.25">
      <c r="A902">
        <v>63247</v>
      </c>
      <c r="B902" t="s">
        <v>1270</v>
      </c>
      <c r="C902" t="s">
        <v>1332</v>
      </c>
      <c r="D902" t="s">
        <v>2194</v>
      </c>
      <c r="E902">
        <v>44</v>
      </c>
      <c r="F902">
        <v>0</v>
      </c>
      <c r="G902">
        <v>0</v>
      </c>
      <c r="H902">
        <v>254</v>
      </c>
      <c r="I902">
        <v>17</v>
      </c>
      <c r="J902">
        <v>315</v>
      </c>
      <c r="K902">
        <f>COUNTIF(DF_Calculation!E:E,Table1[[#This Row],[ACS_CODE]])</f>
        <v>1</v>
      </c>
    </row>
    <row r="903" spans="1:11" x14ac:dyDescent="0.25">
      <c r="A903">
        <v>52126</v>
      </c>
      <c r="B903" t="s">
        <v>1260</v>
      </c>
      <c r="C903" t="s">
        <v>1323</v>
      </c>
      <c r="D903" t="s">
        <v>2195</v>
      </c>
      <c r="E903">
        <v>44</v>
      </c>
      <c r="F903">
        <v>0</v>
      </c>
      <c r="G903">
        <v>0</v>
      </c>
      <c r="H903">
        <v>429</v>
      </c>
      <c r="I903">
        <v>2</v>
      </c>
      <c r="J903">
        <v>475</v>
      </c>
      <c r="K903">
        <f>COUNTIF(DF_Calculation!E:E,Table1[[#This Row],[ACS_CODE]])</f>
        <v>1</v>
      </c>
    </row>
    <row r="904" spans="1:11" x14ac:dyDescent="0.25">
      <c r="A904">
        <v>35320</v>
      </c>
      <c r="B904" t="s">
        <v>991</v>
      </c>
      <c r="C904" t="s">
        <v>991</v>
      </c>
      <c r="D904" t="s">
        <v>2196</v>
      </c>
      <c r="E904">
        <v>43</v>
      </c>
      <c r="F904">
        <v>0</v>
      </c>
      <c r="G904">
        <v>0</v>
      </c>
      <c r="H904">
        <v>1635</v>
      </c>
      <c r="J904">
        <v>1678</v>
      </c>
      <c r="K904">
        <f>COUNTIF(DF_Calculation!E:E,Table1[[#This Row],[ACS_CODE]])</f>
        <v>1</v>
      </c>
    </row>
    <row r="905" spans="1:11" x14ac:dyDescent="0.25">
      <c r="A905">
        <v>23647</v>
      </c>
      <c r="B905" t="s">
        <v>916</v>
      </c>
      <c r="C905" t="s">
        <v>921</v>
      </c>
      <c r="D905" t="s">
        <v>1142</v>
      </c>
      <c r="E905">
        <v>43</v>
      </c>
      <c r="F905">
        <v>0</v>
      </c>
      <c r="G905">
        <v>0</v>
      </c>
      <c r="H905">
        <v>541</v>
      </c>
      <c r="I905">
        <v>1</v>
      </c>
      <c r="J905">
        <v>585</v>
      </c>
      <c r="K905">
        <f>COUNTIF(DF_Calculation!E:E,Table1[[#This Row],[ACS_CODE]])</f>
        <v>1</v>
      </c>
    </row>
    <row r="906" spans="1:11" x14ac:dyDescent="0.25">
      <c r="A906">
        <v>23443</v>
      </c>
      <c r="B906" t="s">
        <v>916</v>
      </c>
      <c r="C906" t="s">
        <v>921</v>
      </c>
      <c r="D906" t="s">
        <v>1143</v>
      </c>
      <c r="E906">
        <v>43</v>
      </c>
      <c r="F906">
        <v>0</v>
      </c>
      <c r="G906">
        <v>0</v>
      </c>
      <c r="H906">
        <v>1149</v>
      </c>
      <c r="I906">
        <v>2</v>
      </c>
      <c r="J906">
        <v>1194</v>
      </c>
      <c r="K906">
        <f>COUNTIF(DF_Calculation!E:E,Table1[[#This Row],[ACS_CODE]])</f>
        <v>1</v>
      </c>
    </row>
    <row r="907" spans="1:11" x14ac:dyDescent="0.25">
      <c r="A907">
        <v>63217</v>
      </c>
      <c r="B907" t="s">
        <v>1270</v>
      </c>
      <c r="C907" t="s">
        <v>1332</v>
      </c>
      <c r="D907" t="s">
        <v>2197</v>
      </c>
      <c r="E907">
        <v>43</v>
      </c>
      <c r="F907">
        <v>0</v>
      </c>
      <c r="G907">
        <v>0</v>
      </c>
      <c r="H907">
        <v>195</v>
      </c>
      <c r="I907">
        <v>11</v>
      </c>
      <c r="J907">
        <v>249</v>
      </c>
      <c r="K907">
        <f>COUNTIF(DF_Calculation!E:E,Table1[[#This Row],[ACS_CODE]])</f>
        <v>1</v>
      </c>
    </row>
    <row r="908" spans="1:11" x14ac:dyDescent="0.25">
      <c r="A908">
        <v>25351</v>
      </c>
      <c r="B908" t="s">
        <v>916</v>
      </c>
      <c r="C908" t="s">
        <v>1307</v>
      </c>
      <c r="D908" t="s">
        <v>2198</v>
      </c>
      <c r="E908">
        <v>43</v>
      </c>
      <c r="F908">
        <v>0</v>
      </c>
      <c r="G908">
        <v>0</v>
      </c>
      <c r="H908">
        <v>784</v>
      </c>
      <c r="I908">
        <v>63</v>
      </c>
      <c r="J908">
        <v>890</v>
      </c>
      <c r="K908">
        <f>COUNTIF(DF_Calculation!E:E,Table1[[#This Row],[ACS_CODE]])</f>
        <v>1</v>
      </c>
    </row>
    <row r="909" spans="1:11" x14ac:dyDescent="0.25">
      <c r="A909">
        <v>35447</v>
      </c>
      <c r="B909" t="s">
        <v>991</v>
      </c>
      <c r="C909" t="s">
        <v>991</v>
      </c>
      <c r="D909" t="s">
        <v>2199</v>
      </c>
      <c r="E909">
        <v>42</v>
      </c>
      <c r="F909">
        <v>0</v>
      </c>
      <c r="G909">
        <v>0</v>
      </c>
      <c r="H909">
        <v>469</v>
      </c>
      <c r="J909">
        <v>511</v>
      </c>
      <c r="K909">
        <f>COUNTIF(DF_Calculation!E:E,Table1[[#This Row],[ACS_CODE]])</f>
        <v>1</v>
      </c>
    </row>
    <row r="910" spans="1:11" x14ac:dyDescent="0.25">
      <c r="A910">
        <v>24155</v>
      </c>
      <c r="B910" t="s">
        <v>916</v>
      </c>
      <c r="C910" t="s">
        <v>1282</v>
      </c>
      <c r="D910" t="s">
        <v>2200</v>
      </c>
      <c r="E910">
        <v>42</v>
      </c>
      <c r="F910">
        <v>298</v>
      </c>
      <c r="G910">
        <v>0</v>
      </c>
      <c r="H910">
        <v>6378</v>
      </c>
      <c r="I910">
        <v>639</v>
      </c>
      <c r="J910">
        <v>7357</v>
      </c>
      <c r="K910">
        <f>COUNTIF(DF_Calculation!E:E,Table1[[#This Row],[ACS_CODE]])</f>
        <v>1</v>
      </c>
    </row>
    <row r="911" spans="1:11" x14ac:dyDescent="0.25">
      <c r="A911">
        <v>22575</v>
      </c>
      <c r="B911" t="s">
        <v>916</v>
      </c>
      <c r="C911" t="s">
        <v>915</v>
      </c>
      <c r="D911" t="s">
        <v>1144</v>
      </c>
      <c r="E911">
        <v>42</v>
      </c>
      <c r="F911">
        <v>0</v>
      </c>
      <c r="G911">
        <v>0</v>
      </c>
      <c r="H911">
        <v>97</v>
      </c>
      <c r="I911">
        <v>2</v>
      </c>
      <c r="J911">
        <v>141</v>
      </c>
      <c r="K911">
        <f>COUNTIF(DF_Calculation!E:E,Table1[[#This Row],[ACS_CODE]])</f>
        <v>1</v>
      </c>
    </row>
    <row r="912" spans="1:11" x14ac:dyDescent="0.25">
      <c r="A912">
        <v>22463</v>
      </c>
      <c r="B912" t="s">
        <v>916</v>
      </c>
      <c r="C912" t="s">
        <v>915</v>
      </c>
      <c r="D912" t="s">
        <v>1145</v>
      </c>
      <c r="E912">
        <v>42</v>
      </c>
      <c r="F912">
        <v>0</v>
      </c>
      <c r="G912">
        <v>0</v>
      </c>
      <c r="H912">
        <v>1532</v>
      </c>
      <c r="I912">
        <v>148</v>
      </c>
      <c r="J912">
        <v>1722</v>
      </c>
      <c r="K912">
        <f>COUNTIF(DF_Calculation!E:E,Table1[[#This Row],[ACS_CODE]])</f>
        <v>1</v>
      </c>
    </row>
    <row r="913" spans="1:11" x14ac:dyDescent="0.25">
      <c r="A913">
        <v>61443</v>
      </c>
      <c r="B913" t="s">
        <v>1270</v>
      </c>
      <c r="C913" t="s">
        <v>1288</v>
      </c>
      <c r="D913" t="s">
        <v>1384</v>
      </c>
      <c r="E913">
        <v>42</v>
      </c>
      <c r="F913">
        <v>0</v>
      </c>
      <c r="G913">
        <v>0</v>
      </c>
      <c r="H913">
        <v>205</v>
      </c>
      <c r="I913">
        <v>29</v>
      </c>
      <c r="J913">
        <v>276</v>
      </c>
      <c r="K913">
        <f>COUNTIF(DF_Calculation!E:E,Table1[[#This Row],[ACS_CODE]])</f>
        <v>1</v>
      </c>
    </row>
    <row r="914" spans="1:11" x14ac:dyDescent="0.25">
      <c r="A914">
        <v>53322</v>
      </c>
      <c r="B914" t="s">
        <v>1201</v>
      </c>
      <c r="C914" t="s">
        <v>1266</v>
      </c>
      <c r="D914" t="s">
        <v>2201</v>
      </c>
      <c r="E914">
        <v>41</v>
      </c>
      <c r="F914">
        <v>0</v>
      </c>
      <c r="G914">
        <v>0</v>
      </c>
      <c r="H914">
        <v>1016</v>
      </c>
      <c r="I914">
        <v>20</v>
      </c>
      <c r="J914">
        <v>1077</v>
      </c>
      <c r="K914">
        <f>COUNTIF(DF_Calculation!E:E,Table1[[#This Row],[ACS_CODE]])</f>
        <v>1</v>
      </c>
    </row>
    <row r="915" spans="1:11" x14ac:dyDescent="0.25">
      <c r="A915">
        <v>34249</v>
      </c>
      <c r="B915" t="s">
        <v>919</v>
      </c>
      <c r="C915" t="s">
        <v>931</v>
      </c>
      <c r="D915" t="s">
        <v>1385</v>
      </c>
      <c r="E915">
        <v>41</v>
      </c>
      <c r="F915">
        <v>0</v>
      </c>
      <c r="G915">
        <v>0</v>
      </c>
      <c r="H915">
        <v>563</v>
      </c>
      <c r="I915">
        <v>10</v>
      </c>
      <c r="J915">
        <v>614</v>
      </c>
      <c r="K915">
        <f>COUNTIF(DF_Calculation!E:E,Table1[[#This Row],[ACS_CODE]])</f>
        <v>1</v>
      </c>
    </row>
    <row r="916" spans="1:11" x14ac:dyDescent="0.25">
      <c r="A916">
        <v>32151</v>
      </c>
      <c r="B916" t="s">
        <v>919</v>
      </c>
      <c r="C916" t="s">
        <v>934</v>
      </c>
      <c r="D916" t="s">
        <v>1146</v>
      </c>
      <c r="E916">
        <v>41</v>
      </c>
      <c r="F916">
        <v>0</v>
      </c>
      <c r="G916">
        <v>0</v>
      </c>
      <c r="H916">
        <v>634</v>
      </c>
      <c r="I916">
        <v>10</v>
      </c>
      <c r="J916">
        <v>685</v>
      </c>
      <c r="K916">
        <f>COUNTIF(DF_Calculation!E:E,Table1[[#This Row],[ACS_CODE]])</f>
        <v>1</v>
      </c>
    </row>
    <row r="917" spans="1:11" x14ac:dyDescent="0.25">
      <c r="A917">
        <v>63184</v>
      </c>
      <c r="B917" t="s">
        <v>1270</v>
      </c>
      <c r="C917" t="s">
        <v>1332</v>
      </c>
      <c r="D917" t="s">
        <v>2202</v>
      </c>
      <c r="E917">
        <v>41</v>
      </c>
      <c r="F917">
        <v>0</v>
      </c>
      <c r="G917">
        <v>0</v>
      </c>
      <c r="H917">
        <v>378</v>
      </c>
      <c r="I917">
        <v>10</v>
      </c>
      <c r="J917">
        <v>429</v>
      </c>
      <c r="K917">
        <f>COUNTIF(DF_Calculation!E:E,Table1[[#This Row],[ACS_CODE]])</f>
        <v>1</v>
      </c>
    </row>
    <row r="918" spans="1:11" x14ac:dyDescent="0.25">
      <c r="A918">
        <v>24481</v>
      </c>
      <c r="B918" t="s">
        <v>916</v>
      </c>
      <c r="C918" t="s">
        <v>1282</v>
      </c>
      <c r="D918" t="s">
        <v>2203</v>
      </c>
      <c r="E918">
        <v>40</v>
      </c>
      <c r="F918">
        <v>0</v>
      </c>
      <c r="G918">
        <v>0</v>
      </c>
      <c r="H918">
        <v>59</v>
      </c>
      <c r="J918">
        <v>99</v>
      </c>
      <c r="K918">
        <f>COUNTIF(DF_Calculation!E:E,Table1[[#This Row],[ACS_CODE]])</f>
        <v>1</v>
      </c>
    </row>
    <row r="919" spans="1:11" x14ac:dyDescent="0.25">
      <c r="A919">
        <v>23687</v>
      </c>
      <c r="B919" t="s">
        <v>916</v>
      </c>
      <c r="C919" t="s">
        <v>921</v>
      </c>
      <c r="D919" t="s">
        <v>1147</v>
      </c>
      <c r="E919">
        <v>40</v>
      </c>
      <c r="F919">
        <v>0</v>
      </c>
      <c r="G919">
        <v>0</v>
      </c>
      <c r="H919">
        <v>184</v>
      </c>
      <c r="I919">
        <v>20</v>
      </c>
      <c r="J919">
        <v>244</v>
      </c>
      <c r="K919">
        <f>COUNTIF(DF_Calculation!E:E,Table1[[#This Row],[ACS_CODE]])</f>
        <v>1</v>
      </c>
    </row>
    <row r="920" spans="1:11" x14ac:dyDescent="0.25">
      <c r="A920">
        <v>32183</v>
      </c>
      <c r="B920" t="s">
        <v>919</v>
      </c>
      <c r="C920" t="s">
        <v>934</v>
      </c>
      <c r="D920" t="s">
        <v>1386</v>
      </c>
      <c r="E920">
        <v>40</v>
      </c>
      <c r="F920">
        <v>0</v>
      </c>
      <c r="G920">
        <v>0</v>
      </c>
      <c r="H920">
        <v>156</v>
      </c>
      <c r="J920">
        <v>196</v>
      </c>
      <c r="K920">
        <f>COUNTIF(DF_Calculation!E:E,Table1[[#This Row],[ACS_CODE]])</f>
        <v>1</v>
      </c>
    </row>
    <row r="921" spans="1:11" x14ac:dyDescent="0.25">
      <c r="A921">
        <v>63237</v>
      </c>
      <c r="B921" t="s">
        <v>1270</v>
      </c>
      <c r="C921" t="s">
        <v>1332</v>
      </c>
      <c r="D921" t="s">
        <v>2204</v>
      </c>
      <c r="E921">
        <v>40</v>
      </c>
      <c r="F921">
        <v>0</v>
      </c>
      <c r="G921">
        <v>0</v>
      </c>
      <c r="H921">
        <v>497</v>
      </c>
      <c r="I921">
        <v>3</v>
      </c>
      <c r="J921">
        <v>540</v>
      </c>
      <c r="K921">
        <f>COUNTIF(DF_Calculation!E:E,Table1[[#This Row],[ACS_CODE]])</f>
        <v>1</v>
      </c>
    </row>
    <row r="922" spans="1:11" x14ac:dyDescent="0.25">
      <c r="A922">
        <v>55117</v>
      </c>
      <c r="B922" t="s">
        <v>1260</v>
      </c>
      <c r="C922" t="s">
        <v>1291</v>
      </c>
      <c r="D922" t="s">
        <v>2205</v>
      </c>
      <c r="E922">
        <v>40</v>
      </c>
      <c r="F922">
        <v>0</v>
      </c>
      <c r="G922">
        <v>0</v>
      </c>
      <c r="H922">
        <v>2164</v>
      </c>
      <c r="I922">
        <v>30</v>
      </c>
      <c r="J922">
        <v>2234</v>
      </c>
      <c r="K922">
        <f>COUNTIF(DF_Calculation!E:E,Table1[[#This Row],[ACS_CODE]])</f>
        <v>1</v>
      </c>
    </row>
    <row r="923" spans="1:11" x14ac:dyDescent="0.25">
      <c r="A923">
        <v>33125</v>
      </c>
      <c r="B923" t="s">
        <v>919</v>
      </c>
      <c r="C923" t="s">
        <v>1297</v>
      </c>
      <c r="D923" t="s">
        <v>2206</v>
      </c>
      <c r="E923">
        <v>40</v>
      </c>
      <c r="F923">
        <v>0</v>
      </c>
      <c r="G923">
        <v>0</v>
      </c>
      <c r="H923">
        <v>358</v>
      </c>
      <c r="I923">
        <v>5</v>
      </c>
      <c r="J923">
        <v>403</v>
      </c>
      <c r="K923">
        <f>COUNTIF(DF_Calculation!E:E,Table1[[#This Row],[ACS_CODE]])</f>
        <v>1</v>
      </c>
    </row>
    <row r="924" spans="1:11" x14ac:dyDescent="0.25">
      <c r="A924">
        <v>24353</v>
      </c>
      <c r="B924" t="s">
        <v>916</v>
      </c>
      <c r="C924" t="s">
        <v>1282</v>
      </c>
      <c r="D924" t="s">
        <v>2207</v>
      </c>
      <c r="E924">
        <v>39</v>
      </c>
      <c r="F924">
        <v>0</v>
      </c>
      <c r="G924">
        <v>0</v>
      </c>
      <c r="H924">
        <v>24</v>
      </c>
      <c r="I924">
        <v>8</v>
      </c>
      <c r="J924">
        <v>71</v>
      </c>
      <c r="K924">
        <f>COUNTIF(DF_Calculation!E:E,Table1[[#This Row],[ACS_CODE]])</f>
        <v>1</v>
      </c>
    </row>
    <row r="925" spans="1:11" x14ac:dyDescent="0.25">
      <c r="A925">
        <v>21334</v>
      </c>
      <c r="B925" t="s">
        <v>916</v>
      </c>
      <c r="C925" t="s">
        <v>1275</v>
      </c>
      <c r="D925" t="s">
        <v>2208</v>
      </c>
      <c r="E925">
        <v>39</v>
      </c>
      <c r="F925">
        <v>0</v>
      </c>
      <c r="G925">
        <v>0</v>
      </c>
      <c r="H925">
        <v>19</v>
      </c>
      <c r="I925">
        <v>10</v>
      </c>
      <c r="J925">
        <v>68</v>
      </c>
      <c r="K925">
        <f>COUNTIF(DF_Calculation!E:E,Table1[[#This Row],[ACS_CODE]])</f>
        <v>1</v>
      </c>
    </row>
    <row r="926" spans="1:11" x14ac:dyDescent="0.25">
      <c r="A926">
        <v>23356</v>
      </c>
      <c r="B926" t="s">
        <v>916</v>
      </c>
      <c r="C926" t="s">
        <v>921</v>
      </c>
      <c r="D926" t="s">
        <v>2209</v>
      </c>
      <c r="E926">
        <v>39</v>
      </c>
      <c r="F926">
        <v>0</v>
      </c>
      <c r="G926">
        <v>0</v>
      </c>
      <c r="H926">
        <v>53</v>
      </c>
      <c r="I926">
        <v>9</v>
      </c>
      <c r="J926">
        <v>101</v>
      </c>
      <c r="K926">
        <f>COUNTIF(DF_Calculation!E:E,Table1[[#This Row],[ACS_CODE]])</f>
        <v>1</v>
      </c>
    </row>
    <row r="927" spans="1:11" x14ac:dyDescent="0.25">
      <c r="A927">
        <v>23419</v>
      </c>
      <c r="B927" t="s">
        <v>916</v>
      </c>
      <c r="C927" t="s">
        <v>921</v>
      </c>
      <c r="D927" t="s">
        <v>1387</v>
      </c>
      <c r="E927">
        <v>39</v>
      </c>
      <c r="F927">
        <v>0</v>
      </c>
      <c r="G927">
        <v>0</v>
      </c>
      <c r="H927">
        <v>933</v>
      </c>
      <c r="I927">
        <v>32</v>
      </c>
      <c r="J927">
        <v>1004</v>
      </c>
      <c r="K927">
        <f>COUNTIF(DF_Calculation!E:E,Table1[[#This Row],[ACS_CODE]])</f>
        <v>1</v>
      </c>
    </row>
    <row r="928" spans="1:11" x14ac:dyDescent="0.25">
      <c r="A928">
        <v>34211</v>
      </c>
      <c r="B928" t="s">
        <v>919</v>
      </c>
      <c r="C928" t="s">
        <v>931</v>
      </c>
      <c r="D928" t="s">
        <v>2210</v>
      </c>
      <c r="E928">
        <v>39</v>
      </c>
      <c r="F928">
        <v>0</v>
      </c>
      <c r="G928">
        <v>0</v>
      </c>
      <c r="H928">
        <v>92</v>
      </c>
      <c r="I928">
        <v>7</v>
      </c>
      <c r="J928">
        <v>138</v>
      </c>
      <c r="K928">
        <f>COUNTIF(DF_Calculation!E:E,Table1[[#This Row],[ACS_CODE]])</f>
        <v>1</v>
      </c>
    </row>
    <row r="929" spans="1:11" x14ac:dyDescent="0.25">
      <c r="A929">
        <v>37315</v>
      </c>
      <c r="B929" t="s">
        <v>919</v>
      </c>
      <c r="C929" t="s">
        <v>918</v>
      </c>
      <c r="D929" t="s">
        <v>1148</v>
      </c>
      <c r="E929">
        <v>39</v>
      </c>
      <c r="F929">
        <v>0</v>
      </c>
      <c r="G929">
        <v>0</v>
      </c>
      <c r="H929">
        <v>1154</v>
      </c>
      <c r="I929">
        <v>3</v>
      </c>
      <c r="J929">
        <v>1196</v>
      </c>
      <c r="K929">
        <f>COUNTIF(DF_Calculation!E:E,Table1[[#This Row],[ACS_CODE]])</f>
        <v>1</v>
      </c>
    </row>
    <row r="930" spans="1:11" x14ac:dyDescent="0.25">
      <c r="A930">
        <v>25375</v>
      </c>
      <c r="B930" t="s">
        <v>916</v>
      </c>
      <c r="C930" t="s">
        <v>1307</v>
      </c>
      <c r="D930" t="s">
        <v>2211</v>
      </c>
      <c r="E930">
        <v>39</v>
      </c>
      <c r="F930">
        <v>0</v>
      </c>
      <c r="G930">
        <v>0</v>
      </c>
      <c r="H930">
        <v>501</v>
      </c>
      <c r="I930">
        <v>9</v>
      </c>
      <c r="J930">
        <v>549</v>
      </c>
      <c r="K930">
        <f>COUNTIF(DF_Calculation!E:E,Table1[[#This Row],[ACS_CODE]])</f>
        <v>1</v>
      </c>
    </row>
    <row r="931" spans="1:11" x14ac:dyDescent="0.25">
      <c r="A931">
        <v>73146</v>
      </c>
      <c r="B931" t="s">
        <v>937</v>
      </c>
      <c r="C931" t="s">
        <v>1278</v>
      </c>
      <c r="D931" t="s">
        <v>2212</v>
      </c>
      <c r="E931">
        <v>39</v>
      </c>
      <c r="F931">
        <v>0</v>
      </c>
      <c r="G931">
        <v>0</v>
      </c>
      <c r="H931">
        <v>352</v>
      </c>
      <c r="I931">
        <v>32</v>
      </c>
      <c r="J931">
        <v>423</v>
      </c>
      <c r="K931">
        <f>COUNTIF(DF_Calculation!E:E,Table1[[#This Row],[ACS_CODE]])</f>
        <v>1</v>
      </c>
    </row>
    <row r="932" spans="1:11" x14ac:dyDescent="0.25">
      <c r="A932">
        <v>73167</v>
      </c>
      <c r="B932" t="s">
        <v>937</v>
      </c>
      <c r="C932" t="s">
        <v>1278</v>
      </c>
      <c r="D932" t="s">
        <v>2213</v>
      </c>
      <c r="E932">
        <v>39</v>
      </c>
      <c r="F932">
        <v>0</v>
      </c>
      <c r="G932">
        <v>0</v>
      </c>
      <c r="H932">
        <v>553</v>
      </c>
      <c r="I932">
        <v>5</v>
      </c>
      <c r="J932">
        <v>597</v>
      </c>
      <c r="K932">
        <f>COUNTIF(DF_Calculation!E:E,Table1[[#This Row],[ACS_CODE]])</f>
        <v>1</v>
      </c>
    </row>
    <row r="933" spans="1:11" x14ac:dyDescent="0.25">
      <c r="A933">
        <v>35318</v>
      </c>
      <c r="B933" t="s">
        <v>991</v>
      </c>
      <c r="C933" t="s">
        <v>991</v>
      </c>
      <c r="D933" t="s">
        <v>1388</v>
      </c>
      <c r="E933">
        <v>38</v>
      </c>
      <c r="F933">
        <v>0</v>
      </c>
      <c r="G933">
        <v>0</v>
      </c>
      <c r="H933">
        <v>5927</v>
      </c>
      <c r="J933">
        <v>5965</v>
      </c>
      <c r="K933">
        <f>COUNTIF(DF_Calculation!E:E,Table1[[#This Row],[ACS_CODE]])</f>
        <v>1</v>
      </c>
    </row>
    <row r="934" spans="1:11" x14ac:dyDescent="0.25">
      <c r="A934">
        <v>35471</v>
      </c>
      <c r="B934" t="s">
        <v>991</v>
      </c>
      <c r="C934" t="s">
        <v>991</v>
      </c>
      <c r="D934" t="s">
        <v>2214</v>
      </c>
      <c r="E934">
        <v>38</v>
      </c>
      <c r="F934">
        <v>0</v>
      </c>
      <c r="G934">
        <v>0</v>
      </c>
      <c r="H934">
        <v>46</v>
      </c>
      <c r="J934">
        <v>84</v>
      </c>
      <c r="K934">
        <f>COUNTIF(DF_Calculation!E:E,Table1[[#This Row],[ACS_CODE]])</f>
        <v>1</v>
      </c>
    </row>
    <row r="935" spans="1:11" x14ac:dyDescent="0.25">
      <c r="A935">
        <v>21374</v>
      </c>
      <c r="B935" t="s">
        <v>916</v>
      </c>
      <c r="C935" t="s">
        <v>1275</v>
      </c>
      <c r="D935" t="s">
        <v>2215</v>
      </c>
      <c r="E935">
        <v>38</v>
      </c>
      <c r="F935">
        <v>0</v>
      </c>
      <c r="G935">
        <v>0</v>
      </c>
      <c r="H935">
        <v>12</v>
      </c>
      <c r="I935">
        <v>9</v>
      </c>
      <c r="J935">
        <v>59</v>
      </c>
      <c r="K935">
        <f>COUNTIF(DF_Calculation!E:E,Table1[[#This Row],[ACS_CODE]])</f>
        <v>1</v>
      </c>
    </row>
    <row r="936" spans="1:11" x14ac:dyDescent="0.25">
      <c r="A936">
        <v>72271</v>
      </c>
      <c r="B936" t="s">
        <v>937</v>
      </c>
      <c r="C936" t="s">
        <v>1514</v>
      </c>
      <c r="D936" t="s">
        <v>2216</v>
      </c>
      <c r="E936">
        <v>38</v>
      </c>
      <c r="F936">
        <v>0</v>
      </c>
      <c r="G936">
        <v>0</v>
      </c>
      <c r="H936">
        <v>1</v>
      </c>
      <c r="I936">
        <v>2</v>
      </c>
      <c r="J936">
        <v>41</v>
      </c>
      <c r="K936">
        <f>COUNTIF(DF_Calculation!E:E,Table1[[#This Row],[ACS_CODE]])</f>
        <v>1</v>
      </c>
    </row>
    <row r="937" spans="1:11" x14ac:dyDescent="0.25">
      <c r="A937">
        <v>22579</v>
      </c>
      <c r="B937" t="s">
        <v>916</v>
      </c>
      <c r="C937" t="s">
        <v>915</v>
      </c>
      <c r="D937" t="s">
        <v>1149</v>
      </c>
      <c r="E937">
        <v>38</v>
      </c>
      <c r="F937">
        <v>0</v>
      </c>
      <c r="G937">
        <v>0</v>
      </c>
      <c r="H937">
        <v>108</v>
      </c>
      <c r="I937">
        <v>21</v>
      </c>
      <c r="J937">
        <v>167</v>
      </c>
      <c r="K937">
        <f>COUNTIF(DF_Calculation!E:E,Table1[[#This Row],[ACS_CODE]])</f>
        <v>1</v>
      </c>
    </row>
    <row r="938" spans="1:11" x14ac:dyDescent="0.25">
      <c r="A938">
        <v>25327</v>
      </c>
      <c r="B938" t="s">
        <v>916</v>
      </c>
      <c r="C938" t="s">
        <v>1307</v>
      </c>
      <c r="D938" t="s">
        <v>2217</v>
      </c>
      <c r="E938">
        <v>38</v>
      </c>
      <c r="F938">
        <v>0</v>
      </c>
      <c r="G938">
        <v>0</v>
      </c>
      <c r="H938">
        <v>955</v>
      </c>
      <c r="I938">
        <v>41</v>
      </c>
      <c r="J938">
        <v>1034</v>
      </c>
      <c r="K938">
        <f>COUNTIF(DF_Calculation!E:E,Table1[[#This Row],[ACS_CODE]])</f>
        <v>1</v>
      </c>
    </row>
    <row r="939" spans="1:11" x14ac:dyDescent="0.25">
      <c r="A939">
        <v>25357</v>
      </c>
      <c r="B939" t="s">
        <v>916</v>
      </c>
      <c r="C939" t="s">
        <v>1307</v>
      </c>
      <c r="D939" t="s">
        <v>2218</v>
      </c>
      <c r="E939">
        <v>38</v>
      </c>
      <c r="F939">
        <v>0</v>
      </c>
      <c r="G939">
        <v>0</v>
      </c>
      <c r="H939">
        <v>530</v>
      </c>
      <c r="I939">
        <v>12</v>
      </c>
      <c r="J939">
        <v>580</v>
      </c>
      <c r="K939">
        <f>COUNTIF(DF_Calculation!E:E,Table1[[#This Row],[ACS_CODE]])</f>
        <v>1</v>
      </c>
    </row>
    <row r="940" spans="1:11" x14ac:dyDescent="0.25">
      <c r="A940">
        <v>52161</v>
      </c>
      <c r="B940" t="s">
        <v>1260</v>
      </c>
      <c r="C940" t="s">
        <v>1323</v>
      </c>
      <c r="D940" t="s">
        <v>2219</v>
      </c>
      <c r="E940">
        <v>38</v>
      </c>
      <c r="F940">
        <v>0</v>
      </c>
      <c r="G940">
        <v>0</v>
      </c>
      <c r="H940">
        <v>1078</v>
      </c>
      <c r="I940">
        <v>4</v>
      </c>
      <c r="J940">
        <v>1120</v>
      </c>
      <c r="K940">
        <f>COUNTIF(DF_Calculation!E:E,Table1[[#This Row],[ACS_CODE]])</f>
        <v>1</v>
      </c>
    </row>
    <row r="941" spans="1:11" x14ac:dyDescent="0.25">
      <c r="A941">
        <v>35133</v>
      </c>
      <c r="B941" t="s">
        <v>991</v>
      </c>
      <c r="C941" t="s">
        <v>991</v>
      </c>
      <c r="D941" t="s">
        <v>2220</v>
      </c>
      <c r="E941">
        <v>37</v>
      </c>
      <c r="F941">
        <v>0</v>
      </c>
      <c r="G941">
        <v>0</v>
      </c>
      <c r="H941">
        <v>711</v>
      </c>
      <c r="I941">
        <v>5</v>
      </c>
      <c r="J941">
        <v>753</v>
      </c>
      <c r="K941">
        <f>COUNTIF(DF_Calculation!E:E,Table1[[#This Row],[ACS_CODE]])</f>
        <v>1</v>
      </c>
    </row>
    <row r="942" spans="1:11" x14ac:dyDescent="0.25">
      <c r="A942">
        <v>21364</v>
      </c>
      <c r="B942" t="s">
        <v>916</v>
      </c>
      <c r="C942" t="s">
        <v>1275</v>
      </c>
      <c r="D942" t="s">
        <v>2221</v>
      </c>
      <c r="E942">
        <v>37</v>
      </c>
      <c r="F942">
        <v>0</v>
      </c>
      <c r="G942">
        <v>0</v>
      </c>
      <c r="H942">
        <v>414</v>
      </c>
      <c r="I942">
        <v>51</v>
      </c>
      <c r="J942">
        <v>502</v>
      </c>
      <c r="K942">
        <f>COUNTIF(DF_Calculation!E:E,Table1[[#This Row],[ACS_CODE]])</f>
        <v>1</v>
      </c>
    </row>
    <row r="943" spans="1:11" x14ac:dyDescent="0.25">
      <c r="A943">
        <v>53267</v>
      </c>
      <c r="B943" t="s">
        <v>1201</v>
      </c>
      <c r="C943" t="s">
        <v>1266</v>
      </c>
      <c r="D943" t="s">
        <v>1389</v>
      </c>
      <c r="E943">
        <v>37</v>
      </c>
      <c r="F943">
        <v>0</v>
      </c>
      <c r="G943">
        <v>0</v>
      </c>
      <c r="H943">
        <v>661</v>
      </c>
      <c r="I943">
        <v>15</v>
      </c>
      <c r="J943">
        <v>713</v>
      </c>
      <c r="K943">
        <f>COUNTIF(DF_Calculation!E:E,Table1[[#This Row],[ACS_CODE]])</f>
        <v>1</v>
      </c>
    </row>
    <row r="944" spans="1:11" x14ac:dyDescent="0.25">
      <c r="A944">
        <v>23457</v>
      </c>
      <c r="B944" t="s">
        <v>916</v>
      </c>
      <c r="C944" t="s">
        <v>921</v>
      </c>
      <c r="D944" t="s">
        <v>1390</v>
      </c>
      <c r="E944">
        <v>37</v>
      </c>
      <c r="F944">
        <v>0</v>
      </c>
      <c r="G944">
        <v>0</v>
      </c>
      <c r="H944">
        <v>1</v>
      </c>
      <c r="J944">
        <v>38</v>
      </c>
      <c r="K944">
        <f>COUNTIF(DF_Calculation!E:E,Table1[[#This Row],[ACS_CODE]])</f>
        <v>1</v>
      </c>
    </row>
    <row r="945" spans="1:11" x14ac:dyDescent="0.25">
      <c r="A945">
        <v>74116</v>
      </c>
      <c r="B945" t="s">
        <v>937</v>
      </c>
      <c r="C945" t="s">
        <v>1280</v>
      </c>
      <c r="D945" t="s">
        <v>2222</v>
      </c>
      <c r="E945">
        <v>37</v>
      </c>
      <c r="F945">
        <v>0</v>
      </c>
      <c r="G945">
        <v>0</v>
      </c>
      <c r="H945">
        <v>581</v>
      </c>
      <c r="I945">
        <v>55</v>
      </c>
      <c r="J945">
        <v>673</v>
      </c>
      <c r="K945">
        <f>COUNTIF(DF_Calculation!E:E,Table1[[#This Row],[ACS_CODE]])</f>
        <v>1</v>
      </c>
    </row>
    <row r="946" spans="1:11" x14ac:dyDescent="0.25">
      <c r="A946">
        <v>35347</v>
      </c>
      <c r="B946" t="s">
        <v>991</v>
      </c>
      <c r="C946" t="s">
        <v>991</v>
      </c>
      <c r="D946" t="s">
        <v>2223</v>
      </c>
      <c r="E946">
        <v>36</v>
      </c>
      <c r="F946">
        <v>0</v>
      </c>
      <c r="G946">
        <v>0</v>
      </c>
      <c r="H946">
        <v>204</v>
      </c>
      <c r="I946">
        <v>2</v>
      </c>
      <c r="J946">
        <v>242</v>
      </c>
      <c r="K946">
        <f>COUNTIF(DF_Calculation!E:E,Table1[[#This Row],[ACS_CODE]])</f>
        <v>1</v>
      </c>
    </row>
    <row r="947" spans="1:11" x14ac:dyDescent="0.25">
      <c r="A947">
        <v>35255</v>
      </c>
      <c r="B947" t="s">
        <v>991</v>
      </c>
      <c r="C947" t="s">
        <v>991</v>
      </c>
      <c r="D947" t="s">
        <v>1391</v>
      </c>
      <c r="E947">
        <v>36</v>
      </c>
      <c r="F947">
        <v>0</v>
      </c>
      <c r="G947">
        <v>0</v>
      </c>
      <c r="H947">
        <v>272</v>
      </c>
      <c r="J947">
        <v>308</v>
      </c>
      <c r="K947">
        <f>COUNTIF(DF_Calculation!E:E,Table1[[#This Row],[ACS_CODE]])</f>
        <v>1</v>
      </c>
    </row>
    <row r="948" spans="1:11" x14ac:dyDescent="0.25">
      <c r="A948">
        <v>24444</v>
      </c>
      <c r="B948" t="s">
        <v>916</v>
      </c>
      <c r="C948" t="s">
        <v>1282</v>
      </c>
      <c r="D948" t="s">
        <v>2224</v>
      </c>
      <c r="E948">
        <v>36</v>
      </c>
      <c r="F948">
        <v>0</v>
      </c>
      <c r="G948">
        <v>0</v>
      </c>
      <c r="H948">
        <v>3576</v>
      </c>
      <c r="I948">
        <v>76</v>
      </c>
      <c r="J948">
        <v>3688</v>
      </c>
      <c r="K948">
        <f>COUNTIF(DF_Calculation!E:E,Table1[[#This Row],[ACS_CODE]])</f>
        <v>1</v>
      </c>
    </row>
    <row r="949" spans="1:11" x14ac:dyDescent="0.25">
      <c r="A949">
        <v>34341</v>
      </c>
      <c r="B949" t="s">
        <v>919</v>
      </c>
      <c r="C949" t="s">
        <v>931</v>
      </c>
      <c r="D949" t="s">
        <v>1150</v>
      </c>
      <c r="E949">
        <v>36</v>
      </c>
      <c r="F949">
        <v>0</v>
      </c>
      <c r="G949">
        <v>0</v>
      </c>
      <c r="H949">
        <v>379</v>
      </c>
      <c r="I949">
        <v>10</v>
      </c>
      <c r="J949">
        <v>425</v>
      </c>
      <c r="K949">
        <f>COUNTIF(DF_Calculation!E:E,Table1[[#This Row],[ACS_CODE]])</f>
        <v>1</v>
      </c>
    </row>
    <row r="950" spans="1:11" x14ac:dyDescent="0.25">
      <c r="A950">
        <v>32141</v>
      </c>
      <c r="B950" t="s">
        <v>919</v>
      </c>
      <c r="C950" t="s">
        <v>934</v>
      </c>
      <c r="D950" t="s">
        <v>1151</v>
      </c>
      <c r="E950">
        <v>36</v>
      </c>
      <c r="F950">
        <v>0</v>
      </c>
      <c r="G950">
        <v>0</v>
      </c>
      <c r="H950">
        <v>260</v>
      </c>
      <c r="J950">
        <v>296</v>
      </c>
      <c r="K950">
        <f>COUNTIF(DF_Calculation!E:E,Table1[[#This Row],[ACS_CODE]])</f>
        <v>1</v>
      </c>
    </row>
    <row r="951" spans="1:11" x14ac:dyDescent="0.25">
      <c r="A951">
        <v>22555</v>
      </c>
      <c r="B951" t="s">
        <v>916</v>
      </c>
      <c r="C951" t="s">
        <v>915</v>
      </c>
      <c r="D951" t="s">
        <v>1152</v>
      </c>
      <c r="E951">
        <v>36</v>
      </c>
      <c r="F951">
        <v>0</v>
      </c>
      <c r="G951">
        <v>0</v>
      </c>
      <c r="H951">
        <v>832</v>
      </c>
      <c r="I951">
        <v>21</v>
      </c>
      <c r="J951">
        <v>889</v>
      </c>
      <c r="K951">
        <f>COUNTIF(DF_Calculation!E:E,Table1[[#This Row],[ACS_CODE]])</f>
        <v>1</v>
      </c>
    </row>
    <row r="952" spans="1:11" x14ac:dyDescent="0.25">
      <c r="A952">
        <v>71271</v>
      </c>
      <c r="B952" t="s">
        <v>937</v>
      </c>
      <c r="C952" t="s">
        <v>937</v>
      </c>
      <c r="D952" t="s">
        <v>1153</v>
      </c>
      <c r="E952">
        <v>36</v>
      </c>
      <c r="F952">
        <v>0</v>
      </c>
      <c r="G952">
        <v>0</v>
      </c>
      <c r="H952">
        <v>671</v>
      </c>
      <c r="I952">
        <v>10</v>
      </c>
      <c r="J952">
        <v>717</v>
      </c>
      <c r="K952">
        <f>COUNTIF(DF_Calculation!E:E,Table1[[#This Row],[ACS_CODE]])</f>
        <v>1</v>
      </c>
    </row>
    <row r="953" spans="1:11" x14ac:dyDescent="0.25">
      <c r="A953">
        <v>26277</v>
      </c>
      <c r="B953" t="s">
        <v>916</v>
      </c>
      <c r="C953" t="s">
        <v>1295</v>
      </c>
      <c r="D953" t="s">
        <v>2225</v>
      </c>
      <c r="E953">
        <v>36</v>
      </c>
      <c r="F953">
        <v>0</v>
      </c>
      <c r="G953">
        <v>0</v>
      </c>
      <c r="H953">
        <v>595</v>
      </c>
      <c r="I953">
        <v>8</v>
      </c>
      <c r="J953">
        <v>639</v>
      </c>
      <c r="K953">
        <f>COUNTIF(DF_Calculation!E:E,Table1[[#This Row],[ACS_CODE]])</f>
        <v>1</v>
      </c>
    </row>
    <row r="954" spans="1:11" x14ac:dyDescent="0.25">
      <c r="A954">
        <v>63287</v>
      </c>
      <c r="B954" t="s">
        <v>1270</v>
      </c>
      <c r="C954" t="s">
        <v>1332</v>
      </c>
      <c r="D954" t="s">
        <v>2226</v>
      </c>
      <c r="E954">
        <v>36</v>
      </c>
      <c r="F954">
        <v>0</v>
      </c>
      <c r="G954">
        <v>0</v>
      </c>
      <c r="H954">
        <v>275</v>
      </c>
      <c r="I954">
        <v>12</v>
      </c>
      <c r="J954">
        <v>323</v>
      </c>
      <c r="K954">
        <f>COUNTIF(DF_Calculation!E:E,Table1[[#This Row],[ACS_CODE]])</f>
        <v>1</v>
      </c>
    </row>
    <row r="955" spans="1:11" x14ac:dyDescent="0.25">
      <c r="A955">
        <v>52291</v>
      </c>
      <c r="B955" t="s">
        <v>1260</v>
      </c>
      <c r="C955" t="s">
        <v>1323</v>
      </c>
      <c r="D955" t="s">
        <v>1392</v>
      </c>
      <c r="E955">
        <v>36</v>
      </c>
      <c r="F955">
        <v>0</v>
      </c>
      <c r="G955">
        <v>0</v>
      </c>
      <c r="H955">
        <v>674</v>
      </c>
      <c r="I955">
        <v>50</v>
      </c>
      <c r="J955">
        <v>760</v>
      </c>
      <c r="K955">
        <f>COUNTIF(DF_Calculation!E:E,Table1[[#This Row],[ACS_CODE]])</f>
        <v>1</v>
      </c>
    </row>
    <row r="956" spans="1:11" x14ac:dyDescent="0.25">
      <c r="A956">
        <v>35157</v>
      </c>
      <c r="B956" t="s">
        <v>991</v>
      </c>
      <c r="C956" t="s">
        <v>991</v>
      </c>
      <c r="D956" t="s">
        <v>1393</v>
      </c>
      <c r="E956">
        <v>35</v>
      </c>
      <c r="F956">
        <v>0</v>
      </c>
      <c r="G956">
        <v>0</v>
      </c>
      <c r="H956">
        <v>287</v>
      </c>
      <c r="I956">
        <v>3</v>
      </c>
      <c r="J956">
        <v>325</v>
      </c>
      <c r="K956">
        <f>COUNTIF(DF_Calculation!E:E,Table1[[#This Row],[ACS_CODE]])</f>
        <v>1</v>
      </c>
    </row>
    <row r="957" spans="1:11" x14ac:dyDescent="0.25">
      <c r="A957">
        <v>36127</v>
      </c>
      <c r="B957" t="s">
        <v>919</v>
      </c>
      <c r="C957" t="s">
        <v>982</v>
      </c>
      <c r="D957" t="s">
        <v>1394</v>
      </c>
      <c r="E957">
        <v>35</v>
      </c>
      <c r="F957">
        <v>0</v>
      </c>
      <c r="G957">
        <v>0</v>
      </c>
      <c r="H957">
        <v>692</v>
      </c>
      <c r="I957">
        <v>3</v>
      </c>
      <c r="J957">
        <v>730</v>
      </c>
      <c r="K957">
        <f>COUNTIF(DF_Calculation!E:E,Table1[[#This Row],[ACS_CODE]])</f>
        <v>1</v>
      </c>
    </row>
    <row r="958" spans="1:11" x14ac:dyDescent="0.25">
      <c r="A958">
        <v>72127</v>
      </c>
      <c r="B958" t="s">
        <v>937</v>
      </c>
      <c r="C958" t="s">
        <v>1514</v>
      </c>
      <c r="D958" t="s">
        <v>2227</v>
      </c>
      <c r="E958">
        <v>35</v>
      </c>
      <c r="F958">
        <v>0</v>
      </c>
      <c r="G958">
        <v>0</v>
      </c>
      <c r="H958">
        <v>300</v>
      </c>
      <c r="J958">
        <v>335</v>
      </c>
      <c r="K958">
        <f>COUNTIF(DF_Calculation!E:E,Table1[[#This Row],[ACS_CODE]])</f>
        <v>1</v>
      </c>
    </row>
    <row r="959" spans="1:11" x14ac:dyDescent="0.25">
      <c r="A959">
        <v>22319</v>
      </c>
      <c r="B959" t="s">
        <v>916</v>
      </c>
      <c r="C959" t="s">
        <v>915</v>
      </c>
      <c r="D959" t="s">
        <v>1154</v>
      </c>
      <c r="E959">
        <v>35</v>
      </c>
      <c r="F959">
        <v>0</v>
      </c>
      <c r="G959">
        <v>0</v>
      </c>
      <c r="H959">
        <v>1782</v>
      </c>
      <c r="I959">
        <v>120</v>
      </c>
      <c r="J959">
        <v>1937</v>
      </c>
      <c r="K959">
        <f>COUNTIF(DF_Calculation!E:E,Table1[[#This Row],[ACS_CODE]])</f>
        <v>1</v>
      </c>
    </row>
    <row r="960" spans="1:11" x14ac:dyDescent="0.25">
      <c r="A960">
        <v>25343</v>
      </c>
      <c r="B960" t="s">
        <v>916</v>
      </c>
      <c r="C960" t="s">
        <v>1307</v>
      </c>
      <c r="D960" t="s">
        <v>2228</v>
      </c>
      <c r="E960">
        <v>35</v>
      </c>
      <c r="F960">
        <v>0</v>
      </c>
      <c r="G960">
        <v>0</v>
      </c>
      <c r="H960">
        <v>2547</v>
      </c>
      <c r="I960">
        <v>30</v>
      </c>
      <c r="J960">
        <v>2612</v>
      </c>
      <c r="K960">
        <f>COUNTIF(DF_Calculation!E:E,Table1[[#This Row],[ACS_CODE]])</f>
        <v>1</v>
      </c>
    </row>
    <row r="961" spans="1:11" x14ac:dyDescent="0.25">
      <c r="A961">
        <v>62298</v>
      </c>
      <c r="B961" t="s">
        <v>1270</v>
      </c>
      <c r="C961" t="s">
        <v>1269</v>
      </c>
      <c r="D961" t="s">
        <v>2229</v>
      </c>
      <c r="E961">
        <v>35</v>
      </c>
      <c r="F961">
        <v>0</v>
      </c>
      <c r="G961">
        <v>0</v>
      </c>
      <c r="H961">
        <v>195</v>
      </c>
      <c r="I961">
        <v>2</v>
      </c>
      <c r="J961">
        <v>232</v>
      </c>
      <c r="K961">
        <f>COUNTIF(DF_Calculation!E:E,Table1[[#This Row],[ACS_CODE]])</f>
        <v>1</v>
      </c>
    </row>
    <row r="962" spans="1:11" x14ac:dyDescent="0.25">
      <c r="A962">
        <v>52241</v>
      </c>
      <c r="B962" t="s">
        <v>1260</v>
      </c>
      <c r="C962" t="s">
        <v>1323</v>
      </c>
      <c r="D962" t="s">
        <v>1395</v>
      </c>
      <c r="E962">
        <v>35</v>
      </c>
      <c r="F962">
        <v>0</v>
      </c>
      <c r="G962">
        <v>0</v>
      </c>
      <c r="H962">
        <v>37</v>
      </c>
      <c r="J962">
        <v>72</v>
      </c>
      <c r="K962">
        <f>COUNTIF(DF_Calculation!E:E,Table1[[#This Row],[ACS_CODE]])</f>
        <v>1</v>
      </c>
    </row>
    <row r="963" spans="1:11" x14ac:dyDescent="0.25">
      <c r="A963">
        <v>33235</v>
      </c>
      <c r="B963" t="s">
        <v>919</v>
      </c>
      <c r="C963" t="s">
        <v>1297</v>
      </c>
      <c r="D963" t="s">
        <v>2230</v>
      </c>
      <c r="E963">
        <v>35</v>
      </c>
      <c r="F963">
        <v>0</v>
      </c>
      <c r="G963">
        <v>0</v>
      </c>
      <c r="H963">
        <v>170</v>
      </c>
      <c r="I963">
        <v>10</v>
      </c>
      <c r="J963">
        <v>215</v>
      </c>
      <c r="K963">
        <f>COUNTIF(DF_Calculation!E:E,Table1[[#This Row],[ACS_CODE]])</f>
        <v>1</v>
      </c>
    </row>
    <row r="964" spans="1:11" x14ac:dyDescent="0.25">
      <c r="A964">
        <v>35121</v>
      </c>
      <c r="B964" t="s">
        <v>991</v>
      </c>
      <c r="C964" t="s">
        <v>991</v>
      </c>
      <c r="D964" t="s">
        <v>2231</v>
      </c>
      <c r="E964">
        <v>34</v>
      </c>
      <c r="F964">
        <v>0</v>
      </c>
      <c r="G964">
        <v>0</v>
      </c>
      <c r="H964">
        <v>151</v>
      </c>
      <c r="J964">
        <v>185</v>
      </c>
      <c r="K964">
        <f>COUNTIF(DF_Calculation!E:E,Table1[[#This Row],[ACS_CODE]])</f>
        <v>1</v>
      </c>
    </row>
    <row r="965" spans="1:11" x14ac:dyDescent="0.25">
      <c r="A965">
        <v>53473</v>
      </c>
      <c r="B965" t="s">
        <v>1201</v>
      </c>
      <c r="C965" t="s">
        <v>1266</v>
      </c>
      <c r="D965" t="s">
        <v>1396</v>
      </c>
      <c r="E965">
        <v>34</v>
      </c>
      <c r="F965">
        <v>0</v>
      </c>
      <c r="G965">
        <v>0</v>
      </c>
      <c r="H965">
        <v>0</v>
      </c>
      <c r="I965">
        <v>3</v>
      </c>
      <c r="J965">
        <v>37</v>
      </c>
      <c r="K965">
        <f>COUNTIF(DF_Calculation!E:E,Table1[[#This Row],[ACS_CODE]])</f>
        <v>1</v>
      </c>
    </row>
    <row r="966" spans="1:11" x14ac:dyDescent="0.25">
      <c r="A966">
        <v>22767</v>
      </c>
      <c r="B966" t="s">
        <v>916</v>
      </c>
      <c r="C966" t="s">
        <v>915</v>
      </c>
      <c r="D966" t="s">
        <v>1155</v>
      </c>
      <c r="E966">
        <v>34</v>
      </c>
      <c r="F966">
        <v>0</v>
      </c>
      <c r="G966">
        <v>0</v>
      </c>
      <c r="H966">
        <v>362</v>
      </c>
      <c r="I966">
        <v>7</v>
      </c>
      <c r="J966">
        <v>403</v>
      </c>
      <c r="K966">
        <f>COUNTIF(DF_Calculation!E:E,Table1[[#This Row],[ACS_CODE]])</f>
        <v>1</v>
      </c>
    </row>
    <row r="967" spans="1:11" x14ac:dyDescent="0.25">
      <c r="A967">
        <v>26211</v>
      </c>
      <c r="B967" t="s">
        <v>916</v>
      </c>
      <c r="C967" t="s">
        <v>1295</v>
      </c>
      <c r="D967" t="s">
        <v>2232</v>
      </c>
      <c r="E967">
        <v>34</v>
      </c>
      <c r="F967">
        <v>0</v>
      </c>
      <c r="G967">
        <v>0</v>
      </c>
      <c r="H967">
        <v>1856</v>
      </c>
      <c r="I967">
        <v>84</v>
      </c>
      <c r="J967">
        <v>1974</v>
      </c>
      <c r="K967">
        <f>COUNTIF(DF_Calculation!E:E,Table1[[#This Row],[ACS_CODE]])</f>
        <v>1</v>
      </c>
    </row>
    <row r="968" spans="1:11" x14ac:dyDescent="0.25">
      <c r="A968">
        <v>62226</v>
      </c>
      <c r="B968" t="s">
        <v>1270</v>
      </c>
      <c r="C968" t="s">
        <v>1269</v>
      </c>
      <c r="D968" t="s">
        <v>2233</v>
      </c>
      <c r="E968">
        <v>34</v>
      </c>
      <c r="F968">
        <v>0</v>
      </c>
      <c r="G968">
        <v>0</v>
      </c>
      <c r="H968">
        <v>880</v>
      </c>
      <c r="I968">
        <v>10</v>
      </c>
      <c r="J968">
        <v>924</v>
      </c>
      <c r="K968">
        <f>COUNTIF(DF_Calculation!E:E,Table1[[#This Row],[ACS_CODE]])</f>
        <v>1</v>
      </c>
    </row>
    <row r="969" spans="1:11" x14ac:dyDescent="0.25">
      <c r="A969">
        <v>31126</v>
      </c>
      <c r="B969" t="s">
        <v>919</v>
      </c>
      <c r="C969" t="s">
        <v>1255</v>
      </c>
      <c r="D969" t="s">
        <v>2234</v>
      </c>
      <c r="E969">
        <v>34</v>
      </c>
      <c r="F969">
        <v>207</v>
      </c>
      <c r="G969">
        <v>0</v>
      </c>
      <c r="H969">
        <v>1943</v>
      </c>
      <c r="I969">
        <v>25</v>
      </c>
      <c r="J969">
        <v>2209</v>
      </c>
      <c r="K969">
        <f>COUNTIF(DF_Calculation!E:E,Table1[[#This Row],[ACS_CODE]])</f>
        <v>1</v>
      </c>
    </row>
    <row r="970" spans="1:11" x14ac:dyDescent="0.25">
      <c r="A970">
        <v>23429</v>
      </c>
      <c r="B970" t="s">
        <v>916</v>
      </c>
      <c r="C970" t="s">
        <v>921</v>
      </c>
      <c r="D970" t="s">
        <v>1156</v>
      </c>
      <c r="E970">
        <v>33</v>
      </c>
      <c r="F970">
        <v>0</v>
      </c>
      <c r="G970">
        <v>0</v>
      </c>
      <c r="H970">
        <v>972</v>
      </c>
      <c r="I970">
        <v>7</v>
      </c>
      <c r="J970">
        <v>1012</v>
      </c>
      <c r="K970">
        <f>COUNTIF(DF_Calculation!E:E,Table1[[#This Row],[ACS_CODE]])</f>
        <v>1</v>
      </c>
    </row>
    <row r="971" spans="1:11" x14ac:dyDescent="0.25">
      <c r="A971">
        <v>23643</v>
      </c>
      <c r="B971" t="s">
        <v>916</v>
      </c>
      <c r="C971" t="s">
        <v>921</v>
      </c>
      <c r="D971" t="s">
        <v>2235</v>
      </c>
      <c r="E971">
        <v>33</v>
      </c>
      <c r="F971">
        <v>0</v>
      </c>
      <c r="G971">
        <v>0</v>
      </c>
      <c r="H971">
        <v>1683</v>
      </c>
      <c r="I971">
        <v>26</v>
      </c>
      <c r="J971">
        <v>1742</v>
      </c>
      <c r="K971">
        <f>COUNTIF(DF_Calculation!E:E,Table1[[#This Row],[ACS_CODE]])</f>
        <v>1</v>
      </c>
    </row>
    <row r="972" spans="1:11" x14ac:dyDescent="0.25">
      <c r="A972">
        <v>26256</v>
      </c>
      <c r="B972" t="s">
        <v>916</v>
      </c>
      <c r="C972" t="s">
        <v>1295</v>
      </c>
      <c r="D972" t="s">
        <v>2236</v>
      </c>
      <c r="E972">
        <v>33</v>
      </c>
      <c r="F972">
        <v>0</v>
      </c>
      <c r="G972">
        <v>0</v>
      </c>
      <c r="H972">
        <v>945</v>
      </c>
      <c r="I972">
        <v>8</v>
      </c>
      <c r="J972">
        <v>986</v>
      </c>
      <c r="K972">
        <f>COUNTIF(DF_Calculation!E:E,Table1[[#This Row],[ACS_CODE]])</f>
        <v>1</v>
      </c>
    </row>
    <row r="973" spans="1:11" x14ac:dyDescent="0.25">
      <c r="A973">
        <v>26317</v>
      </c>
      <c r="B973" t="s">
        <v>916</v>
      </c>
      <c r="C973" t="s">
        <v>1295</v>
      </c>
      <c r="D973" t="s">
        <v>2237</v>
      </c>
      <c r="E973">
        <v>33</v>
      </c>
      <c r="F973">
        <v>0</v>
      </c>
      <c r="G973">
        <v>0</v>
      </c>
      <c r="H973">
        <v>13</v>
      </c>
      <c r="J973">
        <v>46</v>
      </c>
      <c r="K973">
        <f>COUNTIF(DF_Calculation!E:E,Table1[[#This Row],[ACS_CODE]])</f>
        <v>1</v>
      </c>
    </row>
    <row r="974" spans="1:11" x14ac:dyDescent="0.25">
      <c r="A974">
        <v>26291</v>
      </c>
      <c r="B974" t="s">
        <v>916</v>
      </c>
      <c r="C974" t="s">
        <v>1295</v>
      </c>
      <c r="D974" t="s">
        <v>2238</v>
      </c>
      <c r="E974">
        <v>33</v>
      </c>
      <c r="F974">
        <v>0</v>
      </c>
      <c r="G974">
        <v>0</v>
      </c>
      <c r="H974">
        <v>575</v>
      </c>
      <c r="I974">
        <v>103</v>
      </c>
      <c r="J974">
        <v>711</v>
      </c>
      <c r="K974">
        <f>COUNTIF(DF_Calculation!E:E,Table1[[#This Row],[ACS_CODE]])</f>
        <v>1</v>
      </c>
    </row>
    <row r="975" spans="1:11" x14ac:dyDescent="0.25">
      <c r="A975">
        <v>35408</v>
      </c>
      <c r="B975" t="s">
        <v>991</v>
      </c>
      <c r="C975" t="s">
        <v>991</v>
      </c>
      <c r="D975" t="s">
        <v>1397</v>
      </c>
      <c r="E975">
        <v>32</v>
      </c>
      <c r="F975">
        <v>0</v>
      </c>
      <c r="G975">
        <v>0</v>
      </c>
      <c r="H975">
        <v>122</v>
      </c>
      <c r="J975">
        <v>154</v>
      </c>
      <c r="K975">
        <f>COUNTIF(DF_Calculation!E:E,Table1[[#This Row],[ACS_CODE]])</f>
        <v>1</v>
      </c>
    </row>
    <row r="976" spans="1:11" x14ac:dyDescent="0.25">
      <c r="A976">
        <v>26183</v>
      </c>
      <c r="B976" t="s">
        <v>916</v>
      </c>
      <c r="C976" t="s">
        <v>1295</v>
      </c>
      <c r="D976" t="s">
        <v>1398</v>
      </c>
      <c r="E976">
        <v>32</v>
      </c>
      <c r="F976">
        <v>0</v>
      </c>
      <c r="G976">
        <v>0</v>
      </c>
      <c r="H976">
        <v>658</v>
      </c>
      <c r="I976">
        <v>19</v>
      </c>
      <c r="J976">
        <v>709</v>
      </c>
      <c r="K976">
        <f>COUNTIF(DF_Calculation!E:E,Table1[[#This Row],[ACS_CODE]])</f>
        <v>1</v>
      </c>
    </row>
    <row r="977" spans="1:11" x14ac:dyDescent="0.25">
      <c r="A977">
        <v>26293</v>
      </c>
      <c r="B977" t="s">
        <v>916</v>
      </c>
      <c r="C977" t="s">
        <v>1295</v>
      </c>
      <c r="D977" t="s">
        <v>2239</v>
      </c>
      <c r="E977">
        <v>32</v>
      </c>
      <c r="F977">
        <v>0</v>
      </c>
      <c r="G977">
        <v>0</v>
      </c>
      <c r="H977">
        <v>531</v>
      </c>
      <c r="I977">
        <v>29</v>
      </c>
      <c r="J977">
        <v>592</v>
      </c>
      <c r="K977">
        <f>COUNTIF(DF_Calculation!E:E,Table1[[#This Row],[ACS_CODE]])</f>
        <v>1</v>
      </c>
    </row>
    <row r="978" spans="1:11" x14ac:dyDescent="0.25">
      <c r="A978">
        <v>26177</v>
      </c>
      <c r="B978" t="s">
        <v>916</v>
      </c>
      <c r="C978" t="s">
        <v>1295</v>
      </c>
      <c r="D978" t="s">
        <v>2240</v>
      </c>
      <c r="E978">
        <v>32</v>
      </c>
      <c r="F978">
        <v>0</v>
      </c>
      <c r="G978">
        <v>0</v>
      </c>
      <c r="H978">
        <v>1897</v>
      </c>
      <c r="I978">
        <v>155</v>
      </c>
      <c r="J978">
        <v>2084</v>
      </c>
      <c r="K978">
        <f>COUNTIF(DF_Calculation!E:E,Table1[[#This Row],[ACS_CODE]])</f>
        <v>1</v>
      </c>
    </row>
    <row r="979" spans="1:11" x14ac:dyDescent="0.25">
      <c r="A979">
        <v>63221</v>
      </c>
      <c r="B979" t="s">
        <v>1270</v>
      </c>
      <c r="C979" t="s">
        <v>1332</v>
      </c>
      <c r="D979" t="s">
        <v>2241</v>
      </c>
      <c r="E979">
        <v>32</v>
      </c>
      <c r="F979">
        <v>0</v>
      </c>
      <c r="G979">
        <v>0</v>
      </c>
      <c r="H979">
        <v>323</v>
      </c>
      <c r="I979">
        <v>9</v>
      </c>
      <c r="J979">
        <v>364</v>
      </c>
      <c r="K979">
        <f>COUNTIF(DF_Calculation!E:E,Table1[[#This Row],[ACS_CODE]])</f>
        <v>1</v>
      </c>
    </row>
    <row r="980" spans="1:11" x14ac:dyDescent="0.25">
      <c r="A980">
        <v>21391</v>
      </c>
      <c r="B980" t="s">
        <v>916</v>
      </c>
      <c r="C980" t="s">
        <v>1275</v>
      </c>
      <c r="D980" t="s">
        <v>2242</v>
      </c>
      <c r="E980">
        <v>31</v>
      </c>
      <c r="F980">
        <v>0</v>
      </c>
      <c r="G980">
        <v>0</v>
      </c>
      <c r="H980">
        <v>280</v>
      </c>
      <c r="I980">
        <v>6</v>
      </c>
      <c r="J980">
        <v>317</v>
      </c>
      <c r="K980">
        <f>COUNTIF(DF_Calculation!E:E,Table1[[#This Row],[ACS_CODE]])</f>
        <v>1</v>
      </c>
    </row>
    <row r="981" spans="1:11" x14ac:dyDescent="0.25">
      <c r="A981">
        <v>23223</v>
      </c>
      <c r="B981" t="s">
        <v>916</v>
      </c>
      <c r="C981" t="s">
        <v>921</v>
      </c>
      <c r="D981" t="s">
        <v>1399</v>
      </c>
      <c r="E981">
        <v>31</v>
      </c>
      <c r="F981">
        <v>0</v>
      </c>
      <c r="G981">
        <v>0</v>
      </c>
      <c r="H981">
        <v>189</v>
      </c>
      <c r="I981">
        <v>5</v>
      </c>
      <c r="J981">
        <v>225</v>
      </c>
      <c r="K981">
        <f>COUNTIF(DF_Calculation!E:E,Table1[[#This Row],[ACS_CODE]])</f>
        <v>1</v>
      </c>
    </row>
    <row r="982" spans="1:11" x14ac:dyDescent="0.25">
      <c r="A982">
        <v>22559</v>
      </c>
      <c r="B982" t="s">
        <v>916</v>
      </c>
      <c r="C982" t="s">
        <v>915</v>
      </c>
      <c r="D982" t="s">
        <v>1157</v>
      </c>
      <c r="E982">
        <v>31</v>
      </c>
      <c r="F982">
        <v>0</v>
      </c>
      <c r="G982">
        <v>0</v>
      </c>
      <c r="H982">
        <v>511</v>
      </c>
      <c r="I982">
        <v>23</v>
      </c>
      <c r="J982">
        <v>565</v>
      </c>
      <c r="K982">
        <f>COUNTIF(DF_Calculation!E:E,Table1[[#This Row],[ACS_CODE]])</f>
        <v>1</v>
      </c>
    </row>
    <row r="983" spans="1:11" x14ac:dyDescent="0.25">
      <c r="A983">
        <v>22781</v>
      </c>
      <c r="B983" t="s">
        <v>916</v>
      </c>
      <c r="C983" t="s">
        <v>915</v>
      </c>
      <c r="D983" t="s">
        <v>1400</v>
      </c>
      <c r="E983">
        <v>31</v>
      </c>
      <c r="F983">
        <v>0</v>
      </c>
      <c r="G983">
        <v>0</v>
      </c>
      <c r="H983">
        <v>451</v>
      </c>
      <c r="I983">
        <v>17</v>
      </c>
      <c r="J983">
        <v>499</v>
      </c>
      <c r="K983">
        <f>COUNTIF(DF_Calculation!E:E,Table1[[#This Row],[ACS_CODE]])</f>
        <v>1</v>
      </c>
    </row>
    <row r="984" spans="1:11" x14ac:dyDescent="0.25">
      <c r="A984">
        <v>26347</v>
      </c>
      <c r="B984" t="s">
        <v>916</v>
      </c>
      <c r="C984" t="s">
        <v>1295</v>
      </c>
      <c r="D984" t="s">
        <v>2243</v>
      </c>
      <c r="E984">
        <v>31</v>
      </c>
      <c r="F984">
        <v>0</v>
      </c>
      <c r="G984">
        <v>0</v>
      </c>
      <c r="H984">
        <v>29</v>
      </c>
      <c r="I984">
        <v>15</v>
      </c>
      <c r="J984">
        <v>75</v>
      </c>
      <c r="K984">
        <f>COUNTIF(DF_Calculation!E:E,Table1[[#This Row],[ACS_CODE]])</f>
        <v>1</v>
      </c>
    </row>
    <row r="985" spans="1:11" x14ac:dyDescent="0.25">
      <c r="A985">
        <v>73244</v>
      </c>
      <c r="B985" t="s">
        <v>937</v>
      </c>
      <c r="C985" t="s">
        <v>1278</v>
      </c>
      <c r="D985" t="s">
        <v>2244</v>
      </c>
      <c r="E985">
        <v>31</v>
      </c>
      <c r="F985">
        <v>0</v>
      </c>
      <c r="G985">
        <v>0</v>
      </c>
      <c r="H985">
        <v>248</v>
      </c>
      <c r="I985">
        <v>4</v>
      </c>
      <c r="J985">
        <v>283</v>
      </c>
      <c r="K985">
        <f>COUNTIF(DF_Calculation!E:E,Table1[[#This Row],[ACS_CODE]])</f>
        <v>1</v>
      </c>
    </row>
    <row r="986" spans="1:11" x14ac:dyDescent="0.25">
      <c r="A986">
        <v>62295</v>
      </c>
      <c r="B986" t="s">
        <v>1270</v>
      </c>
      <c r="C986" t="s">
        <v>1269</v>
      </c>
      <c r="D986" t="s">
        <v>2245</v>
      </c>
      <c r="E986">
        <v>31</v>
      </c>
      <c r="F986">
        <v>0</v>
      </c>
      <c r="G986">
        <v>0</v>
      </c>
      <c r="H986">
        <v>600</v>
      </c>
      <c r="J986">
        <v>631</v>
      </c>
      <c r="K986">
        <f>COUNTIF(DF_Calculation!E:E,Table1[[#This Row],[ACS_CODE]])</f>
        <v>1</v>
      </c>
    </row>
    <row r="987" spans="1:11" x14ac:dyDescent="0.25">
      <c r="A987">
        <v>35430</v>
      </c>
      <c r="B987" t="s">
        <v>991</v>
      </c>
      <c r="C987" t="s">
        <v>991</v>
      </c>
      <c r="D987" t="s">
        <v>1401</v>
      </c>
      <c r="E987">
        <v>30</v>
      </c>
      <c r="F987">
        <v>0</v>
      </c>
      <c r="G987">
        <v>0</v>
      </c>
      <c r="H987">
        <v>122</v>
      </c>
      <c r="J987">
        <v>152</v>
      </c>
      <c r="K987">
        <f>COUNTIF(DF_Calculation!E:E,Table1[[#This Row],[ACS_CODE]])</f>
        <v>1</v>
      </c>
    </row>
    <row r="988" spans="1:11" x14ac:dyDescent="0.25">
      <c r="A988">
        <v>34237</v>
      </c>
      <c r="B988" t="s">
        <v>919</v>
      </c>
      <c r="C988" t="s">
        <v>931</v>
      </c>
      <c r="D988" t="s">
        <v>1158</v>
      </c>
      <c r="E988">
        <v>30</v>
      </c>
      <c r="F988">
        <v>0</v>
      </c>
      <c r="G988">
        <v>0</v>
      </c>
      <c r="H988">
        <v>150</v>
      </c>
      <c r="I988">
        <v>2</v>
      </c>
      <c r="J988">
        <v>182</v>
      </c>
      <c r="K988">
        <f>COUNTIF(DF_Calculation!E:E,Table1[[#This Row],[ACS_CODE]])</f>
        <v>1</v>
      </c>
    </row>
    <row r="989" spans="1:11" x14ac:dyDescent="0.25">
      <c r="A989">
        <v>34122</v>
      </c>
      <c r="B989" t="s">
        <v>919</v>
      </c>
      <c r="C989" t="s">
        <v>931</v>
      </c>
      <c r="D989" t="s">
        <v>1159</v>
      </c>
      <c r="E989">
        <v>30</v>
      </c>
      <c r="F989">
        <v>0</v>
      </c>
      <c r="G989">
        <v>0</v>
      </c>
      <c r="H989">
        <v>248</v>
      </c>
      <c r="I989">
        <v>5</v>
      </c>
      <c r="J989">
        <v>283</v>
      </c>
      <c r="K989">
        <f>COUNTIF(DF_Calculation!E:E,Table1[[#This Row],[ACS_CODE]])</f>
        <v>1</v>
      </c>
    </row>
    <row r="990" spans="1:11" x14ac:dyDescent="0.25">
      <c r="A990">
        <v>22627</v>
      </c>
      <c r="B990" t="s">
        <v>916</v>
      </c>
      <c r="C990" t="s">
        <v>915</v>
      </c>
      <c r="D990" t="s">
        <v>1160</v>
      </c>
      <c r="E990">
        <v>30</v>
      </c>
      <c r="F990">
        <v>0</v>
      </c>
      <c r="G990">
        <v>0</v>
      </c>
      <c r="H990">
        <v>1054</v>
      </c>
      <c r="I990">
        <v>45</v>
      </c>
      <c r="J990">
        <v>1129</v>
      </c>
      <c r="K990">
        <f>COUNTIF(DF_Calculation!E:E,Table1[[#This Row],[ACS_CODE]])</f>
        <v>1</v>
      </c>
    </row>
    <row r="991" spans="1:11" x14ac:dyDescent="0.25">
      <c r="A991">
        <v>26165</v>
      </c>
      <c r="B991" t="s">
        <v>916</v>
      </c>
      <c r="C991" t="s">
        <v>1295</v>
      </c>
      <c r="D991" t="s">
        <v>2246</v>
      </c>
      <c r="E991">
        <v>30</v>
      </c>
      <c r="F991">
        <v>0</v>
      </c>
      <c r="G991">
        <v>0</v>
      </c>
      <c r="H991">
        <v>1065</v>
      </c>
      <c r="I991">
        <v>59</v>
      </c>
      <c r="J991">
        <v>1154</v>
      </c>
      <c r="K991">
        <f>COUNTIF(DF_Calculation!E:E,Table1[[#This Row],[ACS_CODE]])</f>
        <v>1</v>
      </c>
    </row>
    <row r="992" spans="1:11" x14ac:dyDescent="0.25">
      <c r="A992">
        <v>25353</v>
      </c>
      <c r="B992" t="s">
        <v>916</v>
      </c>
      <c r="C992" t="s">
        <v>1307</v>
      </c>
      <c r="D992" t="s">
        <v>2247</v>
      </c>
      <c r="E992">
        <v>30</v>
      </c>
      <c r="F992">
        <v>0</v>
      </c>
      <c r="G992">
        <v>0</v>
      </c>
      <c r="H992">
        <v>938</v>
      </c>
      <c r="I992">
        <v>16</v>
      </c>
      <c r="J992">
        <v>984</v>
      </c>
      <c r="K992">
        <f>COUNTIF(DF_Calculation!E:E,Table1[[#This Row],[ACS_CODE]])</f>
        <v>1</v>
      </c>
    </row>
    <row r="993" spans="1:11" x14ac:dyDescent="0.25">
      <c r="A993">
        <v>61441</v>
      </c>
      <c r="B993" t="s">
        <v>1270</v>
      </c>
      <c r="C993" t="s">
        <v>1288</v>
      </c>
      <c r="D993" t="s">
        <v>1402</v>
      </c>
      <c r="E993">
        <v>30</v>
      </c>
      <c r="F993">
        <v>0</v>
      </c>
      <c r="G993">
        <v>0</v>
      </c>
      <c r="H993">
        <v>86</v>
      </c>
      <c r="I993">
        <v>15</v>
      </c>
      <c r="J993">
        <v>131</v>
      </c>
      <c r="K993">
        <f>COUNTIF(DF_Calculation!E:E,Table1[[#This Row],[ACS_CODE]])</f>
        <v>1</v>
      </c>
    </row>
    <row r="994" spans="1:11" x14ac:dyDescent="0.25">
      <c r="A994">
        <v>62236</v>
      </c>
      <c r="B994" t="s">
        <v>1270</v>
      </c>
      <c r="C994" t="s">
        <v>1269</v>
      </c>
      <c r="D994" t="s">
        <v>2248</v>
      </c>
      <c r="E994">
        <v>30</v>
      </c>
      <c r="F994">
        <v>0</v>
      </c>
      <c r="G994">
        <v>0</v>
      </c>
      <c r="H994">
        <v>664</v>
      </c>
      <c r="I994">
        <v>4</v>
      </c>
      <c r="J994">
        <v>698</v>
      </c>
      <c r="K994">
        <f>COUNTIF(DF_Calculation!E:E,Table1[[#This Row],[ACS_CODE]])</f>
        <v>1</v>
      </c>
    </row>
    <row r="995" spans="1:11" x14ac:dyDescent="0.25">
      <c r="A995">
        <v>33227</v>
      </c>
      <c r="B995" t="s">
        <v>919</v>
      </c>
      <c r="C995" t="s">
        <v>1297</v>
      </c>
      <c r="D995" t="s">
        <v>2249</v>
      </c>
      <c r="E995">
        <v>30</v>
      </c>
      <c r="F995">
        <v>0</v>
      </c>
      <c r="G995">
        <v>0</v>
      </c>
      <c r="H995">
        <v>1037</v>
      </c>
      <c r="I995">
        <v>4</v>
      </c>
      <c r="J995">
        <v>1071</v>
      </c>
      <c r="K995">
        <f>COUNTIF(DF_Calculation!E:E,Table1[[#This Row],[ACS_CODE]])</f>
        <v>1</v>
      </c>
    </row>
    <row r="996" spans="1:11" x14ac:dyDescent="0.25">
      <c r="A996">
        <v>35453</v>
      </c>
      <c r="B996" t="s">
        <v>991</v>
      </c>
      <c r="C996" t="s">
        <v>991</v>
      </c>
      <c r="D996" t="s">
        <v>2250</v>
      </c>
      <c r="E996">
        <v>29</v>
      </c>
      <c r="F996">
        <v>0</v>
      </c>
      <c r="G996">
        <v>0</v>
      </c>
      <c r="H996">
        <v>250</v>
      </c>
      <c r="J996">
        <v>279</v>
      </c>
      <c r="K996">
        <f>COUNTIF(DF_Calculation!E:E,Table1[[#This Row],[ACS_CODE]])</f>
        <v>1</v>
      </c>
    </row>
    <row r="997" spans="1:11" x14ac:dyDescent="0.25">
      <c r="A997">
        <v>24421</v>
      </c>
      <c r="B997" t="s">
        <v>916</v>
      </c>
      <c r="C997" t="s">
        <v>1282</v>
      </c>
      <c r="D997" t="s">
        <v>2251</v>
      </c>
      <c r="E997">
        <v>29</v>
      </c>
      <c r="F997">
        <v>0</v>
      </c>
      <c r="G997">
        <v>0</v>
      </c>
      <c r="H997">
        <v>118</v>
      </c>
      <c r="I997">
        <v>2</v>
      </c>
      <c r="J997">
        <v>149</v>
      </c>
      <c r="K997">
        <f>COUNTIF(DF_Calculation!E:E,Table1[[#This Row],[ACS_CODE]])</f>
        <v>1</v>
      </c>
    </row>
    <row r="998" spans="1:11" x14ac:dyDescent="0.25">
      <c r="A998">
        <v>24461</v>
      </c>
      <c r="B998" t="s">
        <v>916</v>
      </c>
      <c r="C998" t="s">
        <v>1282</v>
      </c>
      <c r="D998" t="s">
        <v>2252</v>
      </c>
      <c r="E998">
        <v>29</v>
      </c>
      <c r="F998">
        <v>0</v>
      </c>
      <c r="G998">
        <v>0</v>
      </c>
      <c r="H998">
        <v>0</v>
      </c>
      <c r="J998">
        <v>29</v>
      </c>
      <c r="K998">
        <f>COUNTIF(DF_Calculation!E:E,Table1[[#This Row],[ACS_CODE]])</f>
        <v>1</v>
      </c>
    </row>
    <row r="999" spans="1:11" x14ac:dyDescent="0.25">
      <c r="A999">
        <v>23421</v>
      </c>
      <c r="B999" t="s">
        <v>916</v>
      </c>
      <c r="C999" t="s">
        <v>921</v>
      </c>
      <c r="D999" t="s">
        <v>1161</v>
      </c>
      <c r="E999">
        <v>29</v>
      </c>
      <c r="F999">
        <v>0</v>
      </c>
      <c r="G999">
        <v>0</v>
      </c>
      <c r="H999">
        <v>1228</v>
      </c>
      <c r="I999">
        <v>5</v>
      </c>
      <c r="J999">
        <v>1262</v>
      </c>
      <c r="K999">
        <f>COUNTIF(DF_Calculation!E:E,Table1[[#This Row],[ACS_CODE]])</f>
        <v>1</v>
      </c>
    </row>
    <row r="1000" spans="1:11" x14ac:dyDescent="0.25">
      <c r="A1000">
        <v>34218</v>
      </c>
      <c r="B1000" t="s">
        <v>919</v>
      </c>
      <c r="C1000" t="s">
        <v>931</v>
      </c>
      <c r="D1000" t="s">
        <v>1162</v>
      </c>
      <c r="E1000">
        <v>29</v>
      </c>
      <c r="F1000">
        <v>0</v>
      </c>
      <c r="G1000">
        <v>0</v>
      </c>
      <c r="H1000">
        <v>161</v>
      </c>
      <c r="I1000">
        <v>6</v>
      </c>
      <c r="J1000">
        <v>196</v>
      </c>
      <c r="K1000">
        <f>COUNTIF(DF_Calculation!E:E,Table1[[#This Row],[ACS_CODE]])</f>
        <v>1</v>
      </c>
    </row>
    <row r="1001" spans="1:11" x14ac:dyDescent="0.25">
      <c r="A1001">
        <v>22751</v>
      </c>
      <c r="B1001" t="s">
        <v>916</v>
      </c>
      <c r="C1001" t="s">
        <v>915</v>
      </c>
      <c r="D1001" t="s">
        <v>1403</v>
      </c>
      <c r="E1001">
        <v>29</v>
      </c>
      <c r="F1001">
        <v>0</v>
      </c>
      <c r="G1001">
        <v>0</v>
      </c>
      <c r="H1001">
        <v>1626</v>
      </c>
      <c r="I1001">
        <v>20</v>
      </c>
      <c r="J1001">
        <v>1675</v>
      </c>
      <c r="K1001">
        <f>COUNTIF(DF_Calculation!E:E,Table1[[#This Row],[ACS_CODE]])</f>
        <v>1</v>
      </c>
    </row>
    <row r="1002" spans="1:11" x14ac:dyDescent="0.25">
      <c r="A1002">
        <v>71216</v>
      </c>
      <c r="B1002" t="s">
        <v>937</v>
      </c>
      <c r="C1002" t="s">
        <v>937</v>
      </c>
      <c r="D1002" t="s">
        <v>1404</v>
      </c>
      <c r="E1002">
        <v>29</v>
      </c>
      <c r="F1002">
        <v>0</v>
      </c>
      <c r="G1002">
        <v>0</v>
      </c>
      <c r="H1002">
        <v>742</v>
      </c>
      <c r="J1002">
        <v>771</v>
      </c>
      <c r="K1002">
        <f>COUNTIF(DF_Calculation!E:E,Table1[[#This Row],[ACS_CODE]])</f>
        <v>1</v>
      </c>
    </row>
    <row r="1003" spans="1:11" x14ac:dyDescent="0.25">
      <c r="A1003">
        <v>61488</v>
      </c>
      <c r="B1003" t="s">
        <v>1270</v>
      </c>
      <c r="C1003" t="s">
        <v>1288</v>
      </c>
      <c r="D1003" t="s">
        <v>2253</v>
      </c>
      <c r="E1003">
        <v>29</v>
      </c>
      <c r="F1003">
        <v>0</v>
      </c>
      <c r="G1003">
        <v>0</v>
      </c>
      <c r="H1003">
        <v>481</v>
      </c>
      <c r="I1003">
        <v>15</v>
      </c>
      <c r="J1003">
        <v>525</v>
      </c>
      <c r="K1003">
        <f>COUNTIF(DF_Calculation!E:E,Table1[[#This Row],[ACS_CODE]])</f>
        <v>1</v>
      </c>
    </row>
    <row r="1004" spans="1:11" x14ac:dyDescent="0.25">
      <c r="A1004">
        <v>51123</v>
      </c>
      <c r="B1004" t="s">
        <v>1260</v>
      </c>
      <c r="C1004" t="s">
        <v>1259</v>
      </c>
      <c r="D1004" t="s">
        <v>2254</v>
      </c>
      <c r="E1004">
        <v>29</v>
      </c>
      <c r="F1004">
        <v>0</v>
      </c>
      <c r="G1004">
        <v>0</v>
      </c>
      <c r="H1004">
        <v>0</v>
      </c>
      <c r="I1004">
        <v>20</v>
      </c>
      <c r="J1004">
        <v>49</v>
      </c>
      <c r="K1004">
        <f>COUNTIF(DF_Calculation!E:E,Table1[[#This Row],[ACS_CODE]])</f>
        <v>1</v>
      </c>
    </row>
    <row r="1005" spans="1:11" x14ac:dyDescent="0.25">
      <c r="A1005">
        <v>23449</v>
      </c>
      <c r="B1005" t="s">
        <v>916</v>
      </c>
      <c r="C1005" t="s">
        <v>921</v>
      </c>
      <c r="D1005" t="s">
        <v>1405</v>
      </c>
      <c r="E1005">
        <v>28</v>
      </c>
      <c r="F1005">
        <v>0</v>
      </c>
      <c r="G1005">
        <v>0</v>
      </c>
      <c r="H1005">
        <v>764</v>
      </c>
      <c r="I1005">
        <v>4</v>
      </c>
      <c r="J1005">
        <v>796</v>
      </c>
      <c r="K1005">
        <f>COUNTIF(DF_Calculation!E:E,Table1[[#This Row],[ACS_CODE]])</f>
        <v>1</v>
      </c>
    </row>
    <row r="1006" spans="1:11" x14ac:dyDescent="0.25">
      <c r="A1006">
        <v>34214</v>
      </c>
      <c r="B1006" t="s">
        <v>919</v>
      </c>
      <c r="C1006" t="s">
        <v>931</v>
      </c>
      <c r="D1006" t="s">
        <v>1163</v>
      </c>
      <c r="E1006">
        <v>28</v>
      </c>
      <c r="F1006">
        <v>0</v>
      </c>
      <c r="G1006">
        <v>0</v>
      </c>
      <c r="H1006">
        <v>92</v>
      </c>
      <c r="I1006">
        <v>1</v>
      </c>
      <c r="J1006">
        <v>121</v>
      </c>
      <c r="K1006">
        <f>COUNTIF(DF_Calculation!E:E,Table1[[#This Row],[ACS_CODE]])</f>
        <v>1</v>
      </c>
    </row>
    <row r="1007" spans="1:11" x14ac:dyDescent="0.25">
      <c r="A1007">
        <v>22724</v>
      </c>
      <c r="B1007" t="s">
        <v>916</v>
      </c>
      <c r="C1007" t="s">
        <v>915</v>
      </c>
      <c r="D1007" t="s">
        <v>1406</v>
      </c>
      <c r="E1007">
        <v>28</v>
      </c>
      <c r="F1007">
        <v>0</v>
      </c>
      <c r="G1007">
        <v>0</v>
      </c>
      <c r="H1007">
        <v>149</v>
      </c>
      <c r="I1007">
        <v>5</v>
      </c>
      <c r="J1007">
        <v>182</v>
      </c>
      <c r="K1007">
        <f>COUNTIF(DF_Calculation!E:E,Table1[[#This Row],[ACS_CODE]])</f>
        <v>1</v>
      </c>
    </row>
    <row r="1008" spans="1:11" x14ac:dyDescent="0.25">
      <c r="A1008">
        <v>37371</v>
      </c>
      <c r="B1008" t="s">
        <v>919</v>
      </c>
      <c r="C1008" t="s">
        <v>918</v>
      </c>
      <c r="D1008" t="s">
        <v>1164</v>
      </c>
      <c r="E1008">
        <v>28</v>
      </c>
      <c r="F1008">
        <v>0</v>
      </c>
      <c r="G1008">
        <v>0</v>
      </c>
      <c r="H1008">
        <v>437</v>
      </c>
      <c r="I1008">
        <v>5</v>
      </c>
      <c r="J1008">
        <v>470</v>
      </c>
      <c r="K1008">
        <f>COUNTIF(DF_Calculation!E:E,Table1[[#This Row],[ACS_CODE]])</f>
        <v>1</v>
      </c>
    </row>
    <row r="1009" spans="1:11" x14ac:dyDescent="0.25">
      <c r="A1009">
        <v>37331</v>
      </c>
      <c r="B1009" t="s">
        <v>919</v>
      </c>
      <c r="C1009" t="s">
        <v>918</v>
      </c>
      <c r="D1009" t="s">
        <v>1165</v>
      </c>
      <c r="E1009">
        <v>28</v>
      </c>
      <c r="F1009">
        <v>0</v>
      </c>
      <c r="G1009">
        <v>0</v>
      </c>
      <c r="H1009">
        <v>291</v>
      </c>
      <c r="J1009">
        <v>319</v>
      </c>
      <c r="K1009">
        <f>COUNTIF(DF_Calculation!E:E,Table1[[#This Row],[ACS_CODE]])</f>
        <v>1</v>
      </c>
    </row>
    <row r="1010" spans="1:11" x14ac:dyDescent="0.25">
      <c r="A1010">
        <v>26271</v>
      </c>
      <c r="B1010" t="s">
        <v>916</v>
      </c>
      <c r="C1010" t="s">
        <v>1295</v>
      </c>
      <c r="D1010" t="s">
        <v>2255</v>
      </c>
      <c r="E1010">
        <v>28</v>
      </c>
      <c r="F1010">
        <v>0</v>
      </c>
      <c r="G1010">
        <v>0</v>
      </c>
      <c r="H1010">
        <v>140</v>
      </c>
      <c r="I1010">
        <v>9</v>
      </c>
      <c r="J1010">
        <v>177</v>
      </c>
      <c r="K1010">
        <f>COUNTIF(DF_Calculation!E:E,Table1[[#This Row],[ACS_CODE]])</f>
        <v>1</v>
      </c>
    </row>
    <row r="1011" spans="1:11" x14ac:dyDescent="0.25">
      <c r="A1011">
        <v>26243</v>
      </c>
      <c r="B1011" t="s">
        <v>916</v>
      </c>
      <c r="C1011" t="s">
        <v>1295</v>
      </c>
      <c r="D1011" t="s">
        <v>2256</v>
      </c>
      <c r="E1011">
        <v>28</v>
      </c>
      <c r="F1011">
        <v>0</v>
      </c>
      <c r="G1011">
        <v>0</v>
      </c>
      <c r="H1011">
        <v>484</v>
      </c>
      <c r="I1011">
        <v>39</v>
      </c>
      <c r="J1011">
        <v>551</v>
      </c>
      <c r="K1011">
        <f>COUNTIF(DF_Calculation!E:E,Table1[[#This Row],[ACS_CODE]])</f>
        <v>1</v>
      </c>
    </row>
    <row r="1012" spans="1:11" x14ac:dyDescent="0.25">
      <c r="A1012">
        <v>26281</v>
      </c>
      <c r="B1012" t="s">
        <v>916</v>
      </c>
      <c r="C1012" t="s">
        <v>1295</v>
      </c>
      <c r="D1012" t="s">
        <v>2257</v>
      </c>
      <c r="E1012">
        <v>28</v>
      </c>
      <c r="F1012">
        <v>0</v>
      </c>
      <c r="G1012">
        <v>0</v>
      </c>
      <c r="H1012">
        <v>504</v>
      </c>
      <c r="I1012">
        <v>8</v>
      </c>
      <c r="J1012">
        <v>540</v>
      </c>
      <c r="K1012">
        <f>COUNTIF(DF_Calculation!E:E,Table1[[#This Row],[ACS_CODE]])</f>
        <v>1</v>
      </c>
    </row>
    <row r="1013" spans="1:11" x14ac:dyDescent="0.25">
      <c r="A1013">
        <v>26229</v>
      </c>
      <c r="B1013" t="s">
        <v>916</v>
      </c>
      <c r="C1013" t="s">
        <v>1295</v>
      </c>
      <c r="D1013" t="s">
        <v>2258</v>
      </c>
      <c r="E1013">
        <v>28</v>
      </c>
      <c r="F1013">
        <v>0</v>
      </c>
      <c r="G1013">
        <v>0</v>
      </c>
      <c r="H1013">
        <v>938</v>
      </c>
      <c r="I1013">
        <v>24</v>
      </c>
      <c r="J1013">
        <v>990</v>
      </c>
      <c r="K1013">
        <f>COUNTIF(DF_Calculation!E:E,Table1[[#This Row],[ACS_CODE]])</f>
        <v>1</v>
      </c>
    </row>
    <row r="1014" spans="1:11" x14ac:dyDescent="0.25">
      <c r="A1014">
        <v>55134</v>
      </c>
      <c r="B1014" t="s">
        <v>1260</v>
      </c>
      <c r="C1014" t="s">
        <v>1291</v>
      </c>
      <c r="D1014" t="s">
        <v>2259</v>
      </c>
      <c r="E1014">
        <v>28</v>
      </c>
      <c r="F1014">
        <v>0</v>
      </c>
      <c r="G1014">
        <v>0</v>
      </c>
      <c r="H1014">
        <v>2158</v>
      </c>
      <c r="I1014">
        <v>4</v>
      </c>
      <c r="J1014">
        <v>2190</v>
      </c>
      <c r="K1014">
        <f>COUNTIF(DF_Calculation!E:E,Table1[[#This Row],[ACS_CODE]])</f>
        <v>1</v>
      </c>
    </row>
    <row r="1015" spans="1:11" x14ac:dyDescent="0.25">
      <c r="A1015">
        <v>51135</v>
      </c>
      <c r="B1015" t="s">
        <v>1260</v>
      </c>
      <c r="C1015" t="s">
        <v>1259</v>
      </c>
      <c r="D1015" t="s">
        <v>2260</v>
      </c>
      <c r="E1015">
        <v>28</v>
      </c>
      <c r="F1015">
        <v>0</v>
      </c>
      <c r="G1015">
        <v>0</v>
      </c>
      <c r="H1015">
        <v>4116</v>
      </c>
      <c r="I1015">
        <v>30</v>
      </c>
      <c r="J1015">
        <v>4174</v>
      </c>
      <c r="K1015">
        <f>COUNTIF(DF_Calculation!E:E,Table1[[#This Row],[ACS_CODE]])</f>
        <v>1</v>
      </c>
    </row>
    <row r="1016" spans="1:11" x14ac:dyDescent="0.25">
      <c r="A1016">
        <v>34241</v>
      </c>
      <c r="B1016" t="s">
        <v>919</v>
      </c>
      <c r="C1016" t="s">
        <v>931</v>
      </c>
      <c r="D1016" t="s">
        <v>1407</v>
      </c>
      <c r="E1016">
        <v>27</v>
      </c>
      <c r="F1016">
        <v>0</v>
      </c>
      <c r="G1016">
        <v>0</v>
      </c>
      <c r="H1016">
        <v>367</v>
      </c>
      <c r="I1016">
        <v>6</v>
      </c>
      <c r="J1016">
        <v>400</v>
      </c>
      <c r="K1016">
        <f>COUNTIF(DF_Calculation!E:E,Table1[[#This Row],[ACS_CODE]])</f>
        <v>1</v>
      </c>
    </row>
    <row r="1017" spans="1:11" x14ac:dyDescent="0.25">
      <c r="A1017">
        <v>32133</v>
      </c>
      <c r="B1017" t="s">
        <v>919</v>
      </c>
      <c r="C1017" t="s">
        <v>934</v>
      </c>
      <c r="D1017" t="s">
        <v>1166</v>
      </c>
      <c r="E1017">
        <v>27</v>
      </c>
      <c r="F1017">
        <v>0</v>
      </c>
      <c r="G1017">
        <v>0</v>
      </c>
      <c r="H1017">
        <v>556</v>
      </c>
      <c r="I1017">
        <v>3</v>
      </c>
      <c r="J1017">
        <v>586</v>
      </c>
      <c r="K1017">
        <f>COUNTIF(DF_Calculation!E:E,Table1[[#This Row],[ACS_CODE]])</f>
        <v>1</v>
      </c>
    </row>
    <row r="1018" spans="1:11" x14ac:dyDescent="0.25">
      <c r="A1018">
        <v>22764</v>
      </c>
      <c r="B1018" t="s">
        <v>916</v>
      </c>
      <c r="C1018" t="s">
        <v>915</v>
      </c>
      <c r="D1018" t="s">
        <v>2261</v>
      </c>
      <c r="E1018">
        <v>27</v>
      </c>
      <c r="F1018">
        <v>0</v>
      </c>
      <c r="G1018">
        <v>0</v>
      </c>
      <c r="H1018">
        <v>531</v>
      </c>
      <c r="I1018">
        <v>93</v>
      </c>
      <c r="J1018">
        <v>651</v>
      </c>
      <c r="K1018">
        <f>COUNTIF(DF_Calculation!E:E,Table1[[#This Row],[ACS_CODE]])</f>
        <v>1</v>
      </c>
    </row>
    <row r="1019" spans="1:11" x14ac:dyDescent="0.25">
      <c r="A1019">
        <v>25315</v>
      </c>
      <c r="B1019" t="s">
        <v>916</v>
      </c>
      <c r="C1019" t="s">
        <v>1307</v>
      </c>
      <c r="D1019" t="s">
        <v>2262</v>
      </c>
      <c r="E1019">
        <v>27</v>
      </c>
      <c r="F1019">
        <v>0</v>
      </c>
      <c r="G1019">
        <v>0</v>
      </c>
      <c r="H1019">
        <v>725</v>
      </c>
      <c r="I1019">
        <v>35</v>
      </c>
      <c r="J1019">
        <v>787</v>
      </c>
      <c r="K1019">
        <f>COUNTIF(DF_Calculation!E:E,Table1[[#This Row],[ACS_CODE]])</f>
        <v>1</v>
      </c>
    </row>
    <row r="1020" spans="1:11" x14ac:dyDescent="0.25">
      <c r="A1020">
        <v>25331</v>
      </c>
      <c r="B1020" t="s">
        <v>916</v>
      </c>
      <c r="C1020" t="s">
        <v>1307</v>
      </c>
      <c r="D1020" t="s">
        <v>2263</v>
      </c>
      <c r="E1020">
        <v>27</v>
      </c>
      <c r="F1020">
        <v>0</v>
      </c>
      <c r="G1020">
        <v>0</v>
      </c>
      <c r="H1020">
        <v>695</v>
      </c>
      <c r="I1020">
        <v>15</v>
      </c>
      <c r="J1020">
        <v>737</v>
      </c>
      <c r="K1020">
        <f>COUNTIF(DF_Calculation!E:E,Table1[[#This Row],[ACS_CODE]])</f>
        <v>1</v>
      </c>
    </row>
    <row r="1021" spans="1:11" x14ac:dyDescent="0.25">
      <c r="A1021">
        <v>23435</v>
      </c>
      <c r="B1021" t="s">
        <v>916</v>
      </c>
      <c r="C1021" t="s">
        <v>921</v>
      </c>
      <c r="D1021" t="s">
        <v>1167</v>
      </c>
      <c r="E1021">
        <v>26</v>
      </c>
      <c r="F1021">
        <v>0</v>
      </c>
      <c r="G1021">
        <v>0</v>
      </c>
      <c r="H1021">
        <v>940</v>
      </c>
      <c r="I1021">
        <v>10</v>
      </c>
      <c r="J1021">
        <v>976</v>
      </c>
      <c r="K1021">
        <f>COUNTIF(DF_Calculation!E:E,Table1[[#This Row],[ACS_CODE]])</f>
        <v>1</v>
      </c>
    </row>
    <row r="1022" spans="1:11" x14ac:dyDescent="0.25">
      <c r="A1022">
        <v>23467</v>
      </c>
      <c r="B1022" t="s">
        <v>916</v>
      </c>
      <c r="C1022" t="s">
        <v>921</v>
      </c>
      <c r="D1022" t="s">
        <v>2264</v>
      </c>
      <c r="E1022">
        <v>26</v>
      </c>
      <c r="F1022">
        <v>0</v>
      </c>
      <c r="G1022">
        <v>0</v>
      </c>
      <c r="H1022">
        <v>646</v>
      </c>
      <c r="I1022">
        <v>10</v>
      </c>
      <c r="J1022">
        <v>682</v>
      </c>
      <c r="K1022">
        <f>COUNTIF(DF_Calculation!E:E,Table1[[#This Row],[ACS_CODE]])</f>
        <v>1</v>
      </c>
    </row>
    <row r="1023" spans="1:11" x14ac:dyDescent="0.25">
      <c r="A1023">
        <v>23455</v>
      </c>
      <c r="B1023" t="s">
        <v>916</v>
      </c>
      <c r="C1023" t="s">
        <v>921</v>
      </c>
      <c r="D1023" t="s">
        <v>1168</v>
      </c>
      <c r="E1023">
        <v>26</v>
      </c>
      <c r="F1023">
        <v>0</v>
      </c>
      <c r="G1023">
        <v>0</v>
      </c>
      <c r="H1023">
        <v>1070</v>
      </c>
      <c r="J1023">
        <v>1096</v>
      </c>
      <c r="K1023">
        <f>COUNTIF(DF_Calculation!E:E,Table1[[#This Row],[ACS_CODE]])</f>
        <v>1</v>
      </c>
    </row>
    <row r="1024" spans="1:11" x14ac:dyDescent="0.25">
      <c r="A1024">
        <v>37387</v>
      </c>
      <c r="B1024" t="s">
        <v>919</v>
      </c>
      <c r="C1024" t="s">
        <v>918</v>
      </c>
      <c r="D1024" t="s">
        <v>1408</v>
      </c>
      <c r="E1024">
        <v>26</v>
      </c>
      <c r="F1024">
        <v>0</v>
      </c>
      <c r="G1024">
        <v>0</v>
      </c>
      <c r="H1024">
        <v>215</v>
      </c>
      <c r="I1024">
        <v>4</v>
      </c>
      <c r="J1024">
        <v>245</v>
      </c>
      <c r="K1024">
        <f>COUNTIF(DF_Calculation!E:E,Table1[[#This Row],[ACS_CODE]])</f>
        <v>1</v>
      </c>
    </row>
    <row r="1025" spans="1:11" x14ac:dyDescent="0.25">
      <c r="A1025">
        <v>61491</v>
      </c>
      <c r="B1025" t="s">
        <v>1270</v>
      </c>
      <c r="C1025" t="s">
        <v>1288</v>
      </c>
      <c r="D1025" t="s">
        <v>2265</v>
      </c>
      <c r="E1025">
        <v>26</v>
      </c>
      <c r="F1025">
        <v>0</v>
      </c>
      <c r="G1025">
        <v>0</v>
      </c>
      <c r="H1025">
        <v>185</v>
      </c>
      <c r="I1025">
        <v>9</v>
      </c>
      <c r="J1025">
        <v>220</v>
      </c>
      <c r="K1025">
        <f>COUNTIF(DF_Calculation!E:E,Table1[[#This Row],[ACS_CODE]])</f>
        <v>1</v>
      </c>
    </row>
    <row r="1026" spans="1:11" x14ac:dyDescent="0.25">
      <c r="A1026">
        <v>52121</v>
      </c>
      <c r="B1026" t="s">
        <v>1260</v>
      </c>
      <c r="C1026" t="s">
        <v>1323</v>
      </c>
      <c r="D1026" t="s">
        <v>2266</v>
      </c>
      <c r="E1026">
        <v>26</v>
      </c>
      <c r="F1026">
        <v>0</v>
      </c>
      <c r="G1026">
        <v>0</v>
      </c>
      <c r="H1026">
        <v>710</v>
      </c>
      <c r="I1026">
        <v>3</v>
      </c>
      <c r="J1026">
        <v>739</v>
      </c>
      <c r="K1026">
        <f>COUNTIF(DF_Calculation!E:E,Table1[[#This Row],[ACS_CODE]])</f>
        <v>1</v>
      </c>
    </row>
    <row r="1027" spans="1:11" x14ac:dyDescent="0.25">
      <c r="A1027">
        <v>35135</v>
      </c>
      <c r="B1027" t="s">
        <v>991</v>
      </c>
      <c r="C1027" t="s">
        <v>991</v>
      </c>
      <c r="D1027" t="s">
        <v>2267</v>
      </c>
      <c r="E1027">
        <v>25</v>
      </c>
      <c r="F1027">
        <v>0</v>
      </c>
      <c r="G1027">
        <v>0</v>
      </c>
      <c r="H1027">
        <v>734</v>
      </c>
      <c r="J1027">
        <v>759</v>
      </c>
      <c r="K1027">
        <f>COUNTIF(DF_Calculation!E:E,Table1[[#This Row],[ACS_CODE]])</f>
        <v>1</v>
      </c>
    </row>
    <row r="1028" spans="1:11" x14ac:dyDescent="0.25">
      <c r="A1028">
        <v>35281</v>
      </c>
      <c r="B1028" t="s">
        <v>991</v>
      </c>
      <c r="C1028" t="s">
        <v>991</v>
      </c>
      <c r="D1028" t="s">
        <v>1409</v>
      </c>
      <c r="E1028">
        <v>25</v>
      </c>
      <c r="F1028">
        <v>0</v>
      </c>
      <c r="G1028">
        <v>0</v>
      </c>
      <c r="H1028">
        <v>1105</v>
      </c>
      <c r="I1028">
        <v>4</v>
      </c>
      <c r="J1028">
        <v>1134</v>
      </c>
      <c r="K1028">
        <f>COUNTIF(DF_Calculation!E:E,Table1[[#This Row],[ACS_CODE]])</f>
        <v>1</v>
      </c>
    </row>
    <row r="1029" spans="1:11" x14ac:dyDescent="0.25">
      <c r="A1029">
        <v>24341</v>
      </c>
      <c r="B1029" t="s">
        <v>916</v>
      </c>
      <c r="C1029" t="s">
        <v>1282</v>
      </c>
      <c r="D1029" t="s">
        <v>1410</v>
      </c>
      <c r="E1029">
        <v>25</v>
      </c>
      <c r="F1029">
        <v>0</v>
      </c>
      <c r="G1029">
        <v>0</v>
      </c>
      <c r="H1029">
        <v>267</v>
      </c>
      <c r="I1029">
        <v>12</v>
      </c>
      <c r="J1029">
        <v>304</v>
      </c>
      <c r="K1029">
        <f>COUNTIF(DF_Calculation!E:E,Table1[[#This Row],[ACS_CODE]])</f>
        <v>1</v>
      </c>
    </row>
    <row r="1030" spans="1:11" x14ac:dyDescent="0.25">
      <c r="A1030">
        <v>24467</v>
      </c>
      <c r="B1030" t="s">
        <v>916</v>
      </c>
      <c r="C1030" t="s">
        <v>1282</v>
      </c>
      <c r="D1030" t="s">
        <v>2268</v>
      </c>
      <c r="E1030">
        <v>25</v>
      </c>
      <c r="F1030">
        <v>0</v>
      </c>
      <c r="G1030">
        <v>0</v>
      </c>
      <c r="H1030">
        <v>1077</v>
      </c>
      <c r="I1030">
        <v>12</v>
      </c>
      <c r="J1030">
        <v>1114</v>
      </c>
      <c r="K1030">
        <f>COUNTIF(DF_Calculation!E:E,Table1[[#This Row],[ACS_CODE]])</f>
        <v>1</v>
      </c>
    </row>
    <row r="1031" spans="1:11" x14ac:dyDescent="0.25">
      <c r="A1031">
        <v>24335</v>
      </c>
      <c r="B1031" t="s">
        <v>916</v>
      </c>
      <c r="C1031" t="s">
        <v>1282</v>
      </c>
      <c r="D1031" t="s">
        <v>2269</v>
      </c>
      <c r="E1031">
        <v>25</v>
      </c>
      <c r="F1031">
        <v>0</v>
      </c>
      <c r="G1031">
        <v>0</v>
      </c>
      <c r="H1031">
        <v>24</v>
      </c>
      <c r="I1031">
        <v>10</v>
      </c>
      <c r="J1031">
        <v>59</v>
      </c>
      <c r="K1031">
        <f>COUNTIF(DF_Calculation!E:E,Table1[[#This Row],[ACS_CODE]])</f>
        <v>1</v>
      </c>
    </row>
    <row r="1032" spans="1:11" x14ac:dyDescent="0.25">
      <c r="A1032">
        <v>72287</v>
      </c>
      <c r="B1032" t="s">
        <v>937</v>
      </c>
      <c r="C1032" t="s">
        <v>1514</v>
      </c>
      <c r="D1032" t="s">
        <v>2270</v>
      </c>
      <c r="E1032">
        <v>25</v>
      </c>
      <c r="F1032">
        <v>0</v>
      </c>
      <c r="G1032">
        <v>0</v>
      </c>
      <c r="H1032">
        <v>1838</v>
      </c>
      <c r="I1032">
        <v>16</v>
      </c>
      <c r="J1032">
        <v>1879</v>
      </c>
      <c r="K1032">
        <f>COUNTIF(DF_Calculation!E:E,Table1[[#This Row],[ACS_CODE]])</f>
        <v>1</v>
      </c>
    </row>
    <row r="1033" spans="1:11" x14ac:dyDescent="0.25">
      <c r="A1033">
        <v>34267</v>
      </c>
      <c r="B1033" t="s">
        <v>919</v>
      </c>
      <c r="C1033" t="s">
        <v>931</v>
      </c>
      <c r="D1033" t="s">
        <v>1169</v>
      </c>
      <c r="E1033">
        <v>25</v>
      </c>
      <c r="F1033">
        <v>0</v>
      </c>
      <c r="G1033">
        <v>0</v>
      </c>
      <c r="H1033">
        <v>241</v>
      </c>
      <c r="I1033">
        <v>5</v>
      </c>
      <c r="J1033">
        <v>271</v>
      </c>
      <c r="K1033">
        <f>COUNTIF(DF_Calculation!E:E,Table1[[#This Row],[ACS_CODE]])</f>
        <v>1</v>
      </c>
    </row>
    <row r="1034" spans="1:11" x14ac:dyDescent="0.25">
      <c r="A1034">
        <v>32161</v>
      </c>
      <c r="B1034" t="s">
        <v>919</v>
      </c>
      <c r="C1034" t="s">
        <v>934</v>
      </c>
      <c r="D1034" t="s">
        <v>1170</v>
      </c>
      <c r="E1034">
        <v>25</v>
      </c>
      <c r="F1034">
        <v>0</v>
      </c>
      <c r="G1034">
        <v>0</v>
      </c>
      <c r="H1034">
        <v>274</v>
      </c>
      <c r="J1034">
        <v>299</v>
      </c>
      <c r="K1034">
        <f>COUNTIF(DF_Calculation!E:E,Table1[[#This Row],[ACS_CODE]])</f>
        <v>1</v>
      </c>
    </row>
    <row r="1035" spans="1:11" x14ac:dyDescent="0.25">
      <c r="A1035">
        <v>22635</v>
      </c>
      <c r="B1035" t="s">
        <v>916</v>
      </c>
      <c r="C1035" t="s">
        <v>915</v>
      </c>
      <c r="D1035" t="s">
        <v>1411</v>
      </c>
      <c r="E1035">
        <v>25</v>
      </c>
      <c r="F1035">
        <v>0</v>
      </c>
      <c r="G1035">
        <v>0</v>
      </c>
      <c r="H1035">
        <v>591</v>
      </c>
      <c r="I1035">
        <v>36</v>
      </c>
      <c r="J1035">
        <v>652</v>
      </c>
      <c r="K1035">
        <f>COUNTIF(DF_Calculation!E:E,Table1[[#This Row],[ACS_CODE]])</f>
        <v>1</v>
      </c>
    </row>
    <row r="1036" spans="1:11" x14ac:dyDescent="0.25">
      <c r="A1036">
        <v>37355</v>
      </c>
      <c r="B1036" t="s">
        <v>919</v>
      </c>
      <c r="C1036" t="s">
        <v>918</v>
      </c>
      <c r="D1036" t="s">
        <v>1171</v>
      </c>
      <c r="E1036">
        <v>25</v>
      </c>
      <c r="F1036">
        <v>0</v>
      </c>
      <c r="G1036">
        <v>0</v>
      </c>
      <c r="H1036">
        <v>444</v>
      </c>
      <c r="I1036">
        <v>15</v>
      </c>
      <c r="J1036">
        <v>484</v>
      </c>
      <c r="K1036">
        <f>COUNTIF(DF_Calculation!E:E,Table1[[#This Row],[ACS_CODE]])</f>
        <v>1</v>
      </c>
    </row>
    <row r="1037" spans="1:11" x14ac:dyDescent="0.25">
      <c r="A1037">
        <v>63251</v>
      </c>
      <c r="B1037" t="s">
        <v>1270</v>
      </c>
      <c r="C1037" t="s">
        <v>1332</v>
      </c>
      <c r="D1037" t="s">
        <v>2271</v>
      </c>
      <c r="E1037">
        <v>25</v>
      </c>
      <c r="F1037">
        <v>0</v>
      </c>
      <c r="G1037">
        <v>0</v>
      </c>
      <c r="H1037">
        <v>497</v>
      </c>
      <c r="I1037">
        <v>16</v>
      </c>
      <c r="J1037">
        <v>538</v>
      </c>
      <c r="K1037">
        <f>COUNTIF(DF_Calculation!E:E,Table1[[#This Row],[ACS_CODE]])</f>
        <v>1</v>
      </c>
    </row>
    <row r="1038" spans="1:11" x14ac:dyDescent="0.25">
      <c r="A1038">
        <v>63121</v>
      </c>
      <c r="B1038" t="s">
        <v>1270</v>
      </c>
      <c r="C1038" t="s">
        <v>1332</v>
      </c>
      <c r="D1038" t="s">
        <v>2272</v>
      </c>
      <c r="E1038">
        <v>25</v>
      </c>
      <c r="F1038">
        <v>0</v>
      </c>
      <c r="G1038">
        <v>0</v>
      </c>
      <c r="H1038">
        <v>281</v>
      </c>
      <c r="I1038">
        <v>3</v>
      </c>
      <c r="J1038">
        <v>309</v>
      </c>
      <c r="K1038">
        <f>COUNTIF(DF_Calculation!E:E,Table1[[#This Row],[ACS_CODE]])</f>
        <v>1</v>
      </c>
    </row>
    <row r="1039" spans="1:11" x14ac:dyDescent="0.25">
      <c r="A1039">
        <v>33243</v>
      </c>
      <c r="B1039" t="s">
        <v>919</v>
      </c>
      <c r="C1039" t="s">
        <v>1297</v>
      </c>
      <c r="D1039" t="s">
        <v>2273</v>
      </c>
      <c r="E1039">
        <v>25</v>
      </c>
      <c r="F1039">
        <v>0</v>
      </c>
      <c r="G1039">
        <v>0</v>
      </c>
      <c r="H1039">
        <v>1134</v>
      </c>
      <c r="I1039">
        <v>11</v>
      </c>
      <c r="J1039">
        <v>1170</v>
      </c>
      <c r="K1039">
        <f>COUNTIF(DF_Calculation!E:E,Table1[[#This Row],[ACS_CODE]])</f>
        <v>1</v>
      </c>
    </row>
    <row r="1040" spans="1:11" x14ac:dyDescent="0.25">
      <c r="A1040">
        <v>21367</v>
      </c>
      <c r="B1040" t="s">
        <v>916</v>
      </c>
      <c r="C1040" t="s">
        <v>1275</v>
      </c>
      <c r="D1040" t="s">
        <v>2274</v>
      </c>
      <c r="E1040">
        <v>24</v>
      </c>
      <c r="F1040">
        <v>0</v>
      </c>
      <c r="G1040">
        <v>0</v>
      </c>
      <c r="H1040">
        <v>326</v>
      </c>
      <c r="I1040">
        <v>50</v>
      </c>
      <c r="J1040">
        <v>400</v>
      </c>
      <c r="K1040">
        <f>COUNTIF(DF_Calculation!E:E,Table1[[#This Row],[ACS_CODE]])</f>
        <v>1</v>
      </c>
    </row>
    <row r="1041" spans="1:11" x14ac:dyDescent="0.25">
      <c r="A1041">
        <v>34376</v>
      </c>
      <c r="B1041" t="s">
        <v>919</v>
      </c>
      <c r="C1041" t="s">
        <v>931</v>
      </c>
      <c r="D1041" t="s">
        <v>1412</v>
      </c>
      <c r="E1041">
        <v>24</v>
      </c>
      <c r="F1041">
        <v>0</v>
      </c>
      <c r="G1041">
        <v>0</v>
      </c>
      <c r="H1041">
        <v>200</v>
      </c>
      <c r="I1041">
        <v>1</v>
      </c>
      <c r="J1041">
        <v>225</v>
      </c>
      <c r="K1041">
        <f>COUNTIF(DF_Calculation!E:E,Table1[[#This Row],[ACS_CODE]])</f>
        <v>1</v>
      </c>
    </row>
    <row r="1042" spans="1:11" x14ac:dyDescent="0.25">
      <c r="A1042">
        <v>32139</v>
      </c>
      <c r="B1042" t="s">
        <v>919</v>
      </c>
      <c r="C1042" t="s">
        <v>934</v>
      </c>
      <c r="D1042" t="s">
        <v>1172</v>
      </c>
      <c r="E1042">
        <v>24</v>
      </c>
      <c r="F1042">
        <v>0</v>
      </c>
      <c r="G1042">
        <v>0</v>
      </c>
      <c r="H1042">
        <v>1373</v>
      </c>
      <c r="I1042">
        <v>12</v>
      </c>
      <c r="J1042">
        <v>1409</v>
      </c>
      <c r="K1042">
        <f>COUNTIF(DF_Calculation!E:E,Table1[[#This Row],[ACS_CODE]])</f>
        <v>1</v>
      </c>
    </row>
    <row r="1043" spans="1:11" x14ac:dyDescent="0.25">
      <c r="A1043">
        <v>22774</v>
      </c>
      <c r="B1043" t="s">
        <v>916</v>
      </c>
      <c r="C1043" t="s">
        <v>915</v>
      </c>
      <c r="D1043" t="s">
        <v>1173</v>
      </c>
      <c r="E1043">
        <v>24</v>
      </c>
      <c r="F1043">
        <v>0</v>
      </c>
      <c r="G1043">
        <v>0</v>
      </c>
      <c r="H1043">
        <v>318</v>
      </c>
      <c r="I1043">
        <v>3</v>
      </c>
      <c r="J1043">
        <v>345</v>
      </c>
      <c r="K1043">
        <f>COUNTIF(DF_Calculation!E:E,Table1[[#This Row],[ACS_CODE]])</f>
        <v>1</v>
      </c>
    </row>
    <row r="1044" spans="1:11" x14ac:dyDescent="0.25">
      <c r="A1044">
        <v>63311</v>
      </c>
      <c r="B1044" t="s">
        <v>1270</v>
      </c>
      <c r="C1044" t="s">
        <v>1332</v>
      </c>
      <c r="D1044" t="s">
        <v>2275</v>
      </c>
      <c r="E1044">
        <v>24</v>
      </c>
      <c r="F1044">
        <v>0</v>
      </c>
      <c r="G1044">
        <v>0</v>
      </c>
      <c r="H1044">
        <v>1309</v>
      </c>
      <c r="I1044">
        <v>2</v>
      </c>
      <c r="J1044">
        <v>1335</v>
      </c>
      <c r="K1044">
        <f>COUNTIF(DF_Calculation!E:E,Table1[[#This Row],[ACS_CODE]])</f>
        <v>1</v>
      </c>
    </row>
    <row r="1045" spans="1:11" x14ac:dyDescent="0.25">
      <c r="A1045">
        <v>51119</v>
      </c>
      <c r="B1045" t="s">
        <v>1260</v>
      </c>
      <c r="C1045" t="s">
        <v>1259</v>
      </c>
      <c r="D1045" t="s">
        <v>2276</v>
      </c>
      <c r="E1045">
        <v>24</v>
      </c>
      <c r="F1045">
        <v>0</v>
      </c>
      <c r="G1045">
        <v>0</v>
      </c>
      <c r="H1045">
        <v>1543</v>
      </c>
      <c r="I1045">
        <v>30</v>
      </c>
      <c r="J1045">
        <v>1597</v>
      </c>
      <c r="K1045">
        <f>COUNTIF(DF_Calculation!E:E,Table1[[#This Row],[ACS_CODE]])</f>
        <v>1</v>
      </c>
    </row>
    <row r="1046" spans="1:11" x14ac:dyDescent="0.25">
      <c r="A1046">
        <v>51115</v>
      </c>
      <c r="B1046" t="s">
        <v>1260</v>
      </c>
      <c r="C1046" t="s">
        <v>1259</v>
      </c>
      <c r="D1046" t="s">
        <v>1413</v>
      </c>
      <c r="E1046">
        <v>24</v>
      </c>
      <c r="F1046">
        <v>0</v>
      </c>
      <c r="G1046">
        <v>0</v>
      </c>
      <c r="H1046">
        <v>2519</v>
      </c>
      <c r="I1046">
        <v>10</v>
      </c>
      <c r="J1046">
        <v>2553</v>
      </c>
      <c r="K1046">
        <f>COUNTIF(DF_Calculation!E:E,Table1[[#This Row],[ACS_CODE]])</f>
        <v>1</v>
      </c>
    </row>
    <row r="1047" spans="1:11" x14ac:dyDescent="0.25">
      <c r="A1047">
        <v>21397</v>
      </c>
      <c r="B1047" t="s">
        <v>916</v>
      </c>
      <c r="C1047" t="s">
        <v>1275</v>
      </c>
      <c r="D1047" t="s">
        <v>2277</v>
      </c>
      <c r="E1047">
        <v>23</v>
      </c>
      <c r="F1047">
        <v>0</v>
      </c>
      <c r="G1047">
        <v>0</v>
      </c>
      <c r="H1047">
        <v>253</v>
      </c>
      <c r="I1047">
        <v>5</v>
      </c>
      <c r="J1047">
        <v>281</v>
      </c>
      <c r="K1047">
        <f>COUNTIF(DF_Calculation!E:E,Table1[[#This Row],[ACS_CODE]])</f>
        <v>1</v>
      </c>
    </row>
    <row r="1048" spans="1:11" x14ac:dyDescent="0.25">
      <c r="A1048">
        <v>21416</v>
      </c>
      <c r="B1048" t="s">
        <v>916</v>
      </c>
      <c r="C1048" t="s">
        <v>1275</v>
      </c>
      <c r="D1048" t="s">
        <v>2278</v>
      </c>
      <c r="E1048">
        <v>23</v>
      </c>
      <c r="F1048">
        <v>0</v>
      </c>
      <c r="G1048">
        <v>0</v>
      </c>
      <c r="H1048">
        <v>859</v>
      </c>
      <c r="I1048">
        <v>64</v>
      </c>
      <c r="J1048">
        <v>946</v>
      </c>
      <c r="K1048">
        <f>COUNTIF(DF_Calculation!E:E,Table1[[#This Row],[ACS_CODE]])</f>
        <v>1</v>
      </c>
    </row>
    <row r="1049" spans="1:11" x14ac:dyDescent="0.25">
      <c r="A1049">
        <v>36181</v>
      </c>
      <c r="B1049" t="s">
        <v>919</v>
      </c>
      <c r="C1049" t="s">
        <v>982</v>
      </c>
      <c r="D1049" t="s">
        <v>1174</v>
      </c>
      <c r="E1049">
        <v>23</v>
      </c>
      <c r="F1049">
        <v>0</v>
      </c>
      <c r="G1049">
        <v>0</v>
      </c>
      <c r="H1049">
        <v>708</v>
      </c>
      <c r="J1049">
        <v>731</v>
      </c>
      <c r="K1049">
        <f>COUNTIF(DF_Calculation!E:E,Table1[[#This Row],[ACS_CODE]])</f>
        <v>1</v>
      </c>
    </row>
    <row r="1050" spans="1:11" x14ac:dyDescent="0.25">
      <c r="A1050">
        <v>23371</v>
      </c>
      <c r="B1050" t="s">
        <v>916</v>
      </c>
      <c r="C1050" t="s">
        <v>921</v>
      </c>
      <c r="D1050" t="s">
        <v>1175</v>
      </c>
      <c r="E1050">
        <v>23</v>
      </c>
      <c r="F1050">
        <v>0</v>
      </c>
      <c r="G1050">
        <v>0</v>
      </c>
      <c r="H1050">
        <v>53</v>
      </c>
      <c r="I1050">
        <v>3</v>
      </c>
      <c r="J1050">
        <v>79</v>
      </c>
      <c r="K1050">
        <f>COUNTIF(DF_Calculation!E:E,Table1[[#This Row],[ACS_CODE]])</f>
        <v>1</v>
      </c>
    </row>
    <row r="1051" spans="1:11" x14ac:dyDescent="0.25">
      <c r="A1051">
        <v>22451</v>
      </c>
      <c r="B1051" t="s">
        <v>916</v>
      </c>
      <c r="C1051" t="s">
        <v>915</v>
      </c>
      <c r="D1051" t="s">
        <v>1176</v>
      </c>
      <c r="E1051">
        <v>23</v>
      </c>
      <c r="F1051">
        <v>0</v>
      </c>
      <c r="G1051">
        <v>0</v>
      </c>
      <c r="H1051">
        <v>1115</v>
      </c>
      <c r="I1051">
        <v>380</v>
      </c>
      <c r="J1051">
        <v>1518</v>
      </c>
      <c r="K1051">
        <f>COUNTIF(DF_Calculation!E:E,Table1[[#This Row],[ACS_CODE]])</f>
        <v>1</v>
      </c>
    </row>
    <row r="1052" spans="1:11" x14ac:dyDescent="0.25">
      <c r="A1052">
        <v>37347</v>
      </c>
      <c r="B1052" t="s">
        <v>919</v>
      </c>
      <c r="C1052" t="s">
        <v>918</v>
      </c>
      <c r="D1052" t="s">
        <v>1177</v>
      </c>
      <c r="E1052">
        <v>23</v>
      </c>
      <c r="F1052">
        <v>0</v>
      </c>
      <c r="G1052">
        <v>0</v>
      </c>
      <c r="H1052">
        <v>780</v>
      </c>
      <c r="J1052">
        <v>803</v>
      </c>
      <c r="K1052">
        <f>COUNTIF(DF_Calculation!E:E,Table1[[#This Row],[ACS_CODE]])</f>
        <v>1</v>
      </c>
    </row>
    <row r="1053" spans="1:11" x14ac:dyDescent="0.25">
      <c r="A1053">
        <v>26298</v>
      </c>
      <c r="B1053" t="s">
        <v>916</v>
      </c>
      <c r="C1053" t="s">
        <v>1295</v>
      </c>
      <c r="D1053" t="s">
        <v>2279</v>
      </c>
      <c r="E1053">
        <v>23</v>
      </c>
      <c r="F1053">
        <v>0</v>
      </c>
      <c r="G1053">
        <v>0</v>
      </c>
      <c r="H1053">
        <v>630</v>
      </c>
      <c r="I1053">
        <v>26</v>
      </c>
      <c r="J1053">
        <v>679</v>
      </c>
      <c r="K1053">
        <f>COUNTIF(DF_Calculation!E:E,Table1[[#This Row],[ACS_CODE]])</f>
        <v>1</v>
      </c>
    </row>
    <row r="1054" spans="1:11" x14ac:dyDescent="0.25">
      <c r="A1054">
        <v>61222</v>
      </c>
      <c r="B1054" t="s">
        <v>1270</v>
      </c>
      <c r="C1054" t="s">
        <v>1288</v>
      </c>
      <c r="D1054" t="s">
        <v>2280</v>
      </c>
      <c r="E1054">
        <v>23</v>
      </c>
      <c r="F1054">
        <v>1221</v>
      </c>
      <c r="G1054">
        <v>0</v>
      </c>
      <c r="H1054">
        <v>333</v>
      </c>
      <c r="I1054">
        <v>8</v>
      </c>
      <c r="J1054">
        <v>1585</v>
      </c>
      <c r="K1054">
        <f>COUNTIF(DF_Calculation!E:E,Table1[[#This Row],[ACS_CODE]])</f>
        <v>1</v>
      </c>
    </row>
    <row r="1055" spans="1:11" x14ac:dyDescent="0.25">
      <c r="A1055">
        <v>31176</v>
      </c>
      <c r="B1055" t="s">
        <v>919</v>
      </c>
      <c r="C1055" t="s">
        <v>1255</v>
      </c>
      <c r="D1055" t="s">
        <v>2281</v>
      </c>
      <c r="E1055">
        <v>23</v>
      </c>
      <c r="F1055">
        <v>207</v>
      </c>
      <c r="G1055">
        <v>0</v>
      </c>
      <c r="H1055">
        <v>10323</v>
      </c>
      <c r="I1055">
        <v>141</v>
      </c>
      <c r="J1055">
        <v>10694</v>
      </c>
      <c r="K1055">
        <f>COUNTIF(DF_Calculation!E:E,Table1[[#This Row],[ACS_CODE]])</f>
        <v>1</v>
      </c>
    </row>
    <row r="1056" spans="1:11" x14ac:dyDescent="0.25">
      <c r="A1056">
        <v>31131</v>
      </c>
      <c r="B1056" t="s">
        <v>919</v>
      </c>
      <c r="C1056" t="s">
        <v>1255</v>
      </c>
      <c r="D1056" t="s">
        <v>2282</v>
      </c>
      <c r="E1056">
        <v>23</v>
      </c>
      <c r="F1056">
        <v>207</v>
      </c>
      <c r="G1056">
        <v>0</v>
      </c>
      <c r="H1056">
        <v>1</v>
      </c>
      <c r="I1056">
        <v>2</v>
      </c>
      <c r="J1056">
        <v>233</v>
      </c>
      <c r="K1056">
        <f>COUNTIF(DF_Calculation!E:E,Table1[[#This Row],[ACS_CODE]])</f>
        <v>1</v>
      </c>
    </row>
    <row r="1057" spans="1:11" x14ac:dyDescent="0.25">
      <c r="A1057">
        <v>33231</v>
      </c>
      <c r="B1057" t="s">
        <v>919</v>
      </c>
      <c r="C1057" t="s">
        <v>1297</v>
      </c>
      <c r="D1057" t="s">
        <v>1414</v>
      </c>
      <c r="E1057">
        <v>23</v>
      </c>
      <c r="F1057">
        <v>0</v>
      </c>
      <c r="G1057">
        <v>0</v>
      </c>
      <c r="H1057">
        <v>38</v>
      </c>
      <c r="J1057">
        <v>61</v>
      </c>
      <c r="K1057">
        <f>COUNTIF(DF_Calculation!E:E,Table1[[#This Row],[ACS_CODE]])</f>
        <v>1</v>
      </c>
    </row>
    <row r="1058" spans="1:11" x14ac:dyDescent="0.25">
      <c r="A1058">
        <v>35167</v>
      </c>
      <c r="B1058" t="s">
        <v>991</v>
      </c>
      <c r="C1058" t="s">
        <v>991</v>
      </c>
      <c r="D1058" t="s">
        <v>2283</v>
      </c>
      <c r="E1058">
        <v>22</v>
      </c>
      <c r="F1058">
        <v>0</v>
      </c>
      <c r="G1058">
        <v>0</v>
      </c>
      <c r="H1058">
        <v>1029</v>
      </c>
      <c r="J1058">
        <v>1051</v>
      </c>
      <c r="K1058">
        <f>COUNTIF(DF_Calculation!E:E,Table1[[#This Row],[ACS_CODE]])</f>
        <v>1</v>
      </c>
    </row>
    <row r="1059" spans="1:11" x14ac:dyDescent="0.25">
      <c r="A1059">
        <v>35469</v>
      </c>
      <c r="B1059" t="s">
        <v>991</v>
      </c>
      <c r="C1059" t="s">
        <v>991</v>
      </c>
      <c r="D1059" t="s">
        <v>2284</v>
      </c>
      <c r="E1059">
        <v>22</v>
      </c>
      <c r="F1059">
        <v>0</v>
      </c>
      <c r="G1059">
        <v>0</v>
      </c>
      <c r="H1059">
        <v>296</v>
      </c>
      <c r="J1059">
        <v>318</v>
      </c>
      <c r="K1059">
        <f>COUNTIF(DF_Calculation!E:E,Table1[[#This Row],[ACS_CODE]])</f>
        <v>1</v>
      </c>
    </row>
    <row r="1060" spans="1:11" x14ac:dyDescent="0.25">
      <c r="A1060">
        <v>24373</v>
      </c>
      <c r="B1060" t="s">
        <v>916</v>
      </c>
      <c r="C1060" t="s">
        <v>1282</v>
      </c>
      <c r="D1060" t="s">
        <v>2285</v>
      </c>
      <c r="E1060">
        <v>22</v>
      </c>
      <c r="F1060">
        <v>0</v>
      </c>
      <c r="G1060">
        <v>0</v>
      </c>
      <c r="H1060">
        <v>18</v>
      </c>
      <c r="J1060">
        <v>40</v>
      </c>
      <c r="K1060">
        <f>COUNTIF(DF_Calculation!E:E,Table1[[#This Row],[ACS_CODE]])</f>
        <v>1</v>
      </c>
    </row>
    <row r="1061" spans="1:11" x14ac:dyDescent="0.25">
      <c r="A1061">
        <v>36134</v>
      </c>
      <c r="B1061" t="s">
        <v>919</v>
      </c>
      <c r="C1061" t="s">
        <v>982</v>
      </c>
      <c r="D1061" t="s">
        <v>2286</v>
      </c>
      <c r="E1061">
        <v>22</v>
      </c>
      <c r="F1061">
        <v>0</v>
      </c>
      <c r="G1061">
        <v>0</v>
      </c>
      <c r="H1061">
        <v>203</v>
      </c>
      <c r="I1061">
        <v>3</v>
      </c>
      <c r="J1061">
        <v>228</v>
      </c>
      <c r="K1061">
        <f>COUNTIF(DF_Calculation!E:E,Table1[[#This Row],[ACS_CODE]])</f>
        <v>1</v>
      </c>
    </row>
    <row r="1062" spans="1:11" x14ac:dyDescent="0.25">
      <c r="A1062">
        <v>36164</v>
      </c>
      <c r="B1062" t="s">
        <v>919</v>
      </c>
      <c r="C1062" t="s">
        <v>982</v>
      </c>
      <c r="D1062" t="s">
        <v>1178</v>
      </c>
      <c r="E1062">
        <v>22</v>
      </c>
      <c r="F1062">
        <v>0</v>
      </c>
      <c r="G1062">
        <v>0</v>
      </c>
      <c r="H1062">
        <v>208</v>
      </c>
      <c r="I1062">
        <v>2</v>
      </c>
      <c r="J1062">
        <v>232</v>
      </c>
      <c r="K1062">
        <f>COUNTIF(DF_Calculation!E:E,Table1[[#This Row],[ACS_CODE]])</f>
        <v>1</v>
      </c>
    </row>
    <row r="1063" spans="1:11" x14ac:dyDescent="0.25">
      <c r="A1063">
        <v>72284</v>
      </c>
      <c r="B1063" t="s">
        <v>937</v>
      </c>
      <c r="C1063" t="s">
        <v>1514</v>
      </c>
      <c r="D1063" t="s">
        <v>2287</v>
      </c>
      <c r="E1063">
        <v>22</v>
      </c>
      <c r="F1063">
        <v>0</v>
      </c>
      <c r="G1063">
        <v>0</v>
      </c>
      <c r="H1063">
        <v>19</v>
      </c>
      <c r="J1063">
        <v>41</v>
      </c>
      <c r="K1063">
        <f>COUNTIF(DF_Calculation!E:E,Table1[[#This Row],[ACS_CODE]])</f>
        <v>1</v>
      </c>
    </row>
    <row r="1064" spans="1:11" x14ac:dyDescent="0.25">
      <c r="A1064">
        <v>23235</v>
      </c>
      <c r="B1064" t="s">
        <v>916</v>
      </c>
      <c r="C1064" t="s">
        <v>921</v>
      </c>
      <c r="D1064" t="s">
        <v>1179</v>
      </c>
      <c r="E1064">
        <v>22</v>
      </c>
      <c r="F1064">
        <v>0</v>
      </c>
      <c r="G1064">
        <v>0</v>
      </c>
      <c r="H1064">
        <v>79</v>
      </c>
      <c r="I1064">
        <v>3</v>
      </c>
      <c r="J1064">
        <v>104</v>
      </c>
      <c r="K1064">
        <f>COUNTIF(DF_Calculation!E:E,Table1[[#This Row],[ACS_CODE]])</f>
        <v>1</v>
      </c>
    </row>
    <row r="1065" spans="1:11" x14ac:dyDescent="0.25">
      <c r="A1065">
        <v>34231</v>
      </c>
      <c r="B1065" t="s">
        <v>919</v>
      </c>
      <c r="C1065" t="s">
        <v>931</v>
      </c>
      <c r="D1065" t="s">
        <v>1180</v>
      </c>
      <c r="E1065">
        <v>22</v>
      </c>
      <c r="F1065">
        <v>0</v>
      </c>
      <c r="G1065">
        <v>0</v>
      </c>
      <c r="H1065">
        <v>253</v>
      </c>
      <c r="I1065">
        <v>8</v>
      </c>
      <c r="J1065">
        <v>283</v>
      </c>
      <c r="K1065">
        <f>COUNTIF(DF_Calculation!E:E,Table1[[#This Row],[ACS_CODE]])</f>
        <v>1</v>
      </c>
    </row>
    <row r="1066" spans="1:11" x14ac:dyDescent="0.25">
      <c r="A1066">
        <v>32173</v>
      </c>
      <c r="B1066" t="s">
        <v>919</v>
      </c>
      <c r="C1066" t="s">
        <v>934</v>
      </c>
      <c r="D1066" t="s">
        <v>1415</v>
      </c>
      <c r="E1066">
        <v>22</v>
      </c>
      <c r="F1066">
        <v>0</v>
      </c>
      <c r="G1066">
        <v>0</v>
      </c>
      <c r="H1066">
        <v>6</v>
      </c>
      <c r="J1066">
        <v>28</v>
      </c>
      <c r="K1066">
        <f>COUNTIF(DF_Calculation!E:E,Table1[[#This Row],[ACS_CODE]])</f>
        <v>1</v>
      </c>
    </row>
    <row r="1067" spans="1:11" x14ac:dyDescent="0.25">
      <c r="A1067">
        <v>22515</v>
      </c>
      <c r="B1067" t="s">
        <v>916</v>
      </c>
      <c r="C1067" t="s">
        <v>915</v>
      </c>
      <c r="D1067" t="s">
        <v>1416</v>
      </c>
      <c r="E1067">
        <v>22</v>
      </c>
      <c r="F1067">
        <v>0</v>
      </c>
      <c r="G1067">
        <v>0</v>
      </c>
      <c r="H1067">
        <v>1054</v>
      </c>
      <c r="I1067">
        <v>152</v>
      </c>
      <c r="J1067">
        <v>1228</v>
      </c>
      <c r="K1067">
        <f>COUNTIF(DF_Calculation!E:E,Table1[[#This Row],[ACS_CODE]])</f>
        <v>1</v>
      </c>
    </row>
    <row r="1068" spans="1:11" x14ac:dyDescent="0.25">
      <c r="A1068">
        <v>37281</v>
      </c>
      <c r="B1068" t="s">
        <v>919</v>
      </c>
      <c r="C1068" t="s">
        <v>918</v>
      </c>
      <c r="D1068" t="s">
        <v>1417</v>
      </c>
      <c r="E1068">
        <v>22</v>
      </c>
      <c r="F1068">
        <v>71</v>
      </c>
      <c r="G1068">
        <v>0</v>
      </c>
      <c r="H1068">
        <v>127</v>
      </c>
      <c r="J1068">
        <v>220</v>
      </c>
      <c r="K1068">
        <f>COUNTIF(DF_Calculation!E:E,Table1[[#This Row],[ACS_CODE]])</f>
        <v>1</v>
      </c>
    </row>
    <row r="1069" spans="1:11" x14ac:dyDescent="0.25">
      <c r="A1069">
        <v>74131</v>
      </c>
      <c r="B1069" t="s">
        <v>937</v>
      </c>
      <c r="C1069" t="s">
        <v>1280</v>
      </c>
      <c r="D1069" t="s">
        <v>1418</v>
      </c>
      <c r="E1069">
        <v>22</v>
      </c>
      <c r="F1069">
        <v>0</v>
      </c>
      <c r="G1069">
        <v>0</v>
      </c>
      <c r="H1069">
        <v>496</v>
      </c>
      <c r="I1069">
        <v>36</v>
      </c>
      <c r="J1069">
        <v>554</v>
      </c>
      <c r="K1069">
        <f>COUNTIF(DF_Calculation!E:E,Table1[[#This Row],[ACS_CODE]])</f>
        <v>1</v>
      </c>
    </row>
    <row r="1070" spans="1:11" x14ac:dyDescent="0.25">
      <c r="A1070">
        <v>26266</v>
      </c>
      <c r="B1070" t="s">
        <v>916</v>
      </c>
      <c r="C1070" t="s">
        <v>1295</v>
      </c>
      <c r="D1070" t="s">
        <v>2288</v>
      </c>
      <c r="E1070">
        <v>22</v>
      </c>
      <c r="F1070">
        <v>0</v>
      </c>
      <c r="G1070">
        <v>0</v>
      </c>
      <c r="H1070">
        <v>812</v>
      </c>
      <c r="I1070">
        <v>10</v>
      </c>
      <c r="J1070">
        <v>844</v>
      </c>
      <c r="K1070">
        <f>COUNTIF(DF_Calculation!E:E,Table1[[#This Row],[ACS_CODE]])</f>
        <v>1</v>
      </c>
    </row>
    <row r="1071" spans="1:11" x14ac:dyDescent="0.25">
      <c r="A1071">
        <v>63151</v>
      </c>
      <c r="B1071" t="s">
        <v>1270</v>
      </c>
      <c r="C1071" t="s">
        <v>1332</v>
      </c>
      <c r="D1071" t="s">
        <v>2289</v>
      </c>
      <c r="E1071">
        <v>22</v>
      </c>
      <c r="F1071">
        <v>0</v>
      </c>
      <c r="G1071">
        <v>0</v>
      </c>
      <c r="H1071">
        <v>362</v>
      </c>
      <c r="I1071">
        <v>1</v>
      </c>
      <c r="J1071">
        <v>385</v>
      </c>
      <c r="K1071">
        <f>COUNTIF(DF_Calculation!E:E,Table1[[#This Row],[ACS_CODE]])</f>
        <v>1</v>
      </c>
    </row>
    <row r="1072" spans="1:11" x14ac:dyDescent="0.25">
      <c r="A1072">
        <v>35273</v>
      </c>
      <c r="B1072" t="s">
        <v>991</v>
      </c>
      <c r="C1072" t="s">
        <v>991</v>
      </c>
      <c r="D1072" t="s">
        <v>2290</v>
      </c>
      <c r="E1072">
        <v>21</v>
      </c>
      <c r="F1072">
        <v>0</v>
      </c>
      <c r="G1072">
        <v>0</v>
      </c>
      <c r="H1072">
        <v>1029</v>
      </c>
      <c r="I1072">
        <v>5</v>
      </c>
      <c r="J1072">
        <v>1055</v>
      </c>
      <c r="K1072">
        <f>COUNTIF(DF_Calculation!E:E,Table1[[#This Row],[ACS_CODE]])</f>
        <v>1</v>
      </c>
    </row>
    <row r="1073" spans="1:11" x14ac:dyDescent="0.25">
      <c r="A1073">
        <v>35159</v>
      </c>
      <c r="B1073" t="s">
        <v>991</v>
      </c>
      <c r="C1073" t="s">
        <v>991</v>
      </c>
      <c r="D1073" t="s">
        <v>2291</v>
      </c>
      <c r="E1073">
        <v>21</v>
      </c>
      <c r="F1073">
        <v>0</v>
      </c>
      <c r="G1073">
        <v>0</v>
      </c>
      <c r="H1073">
        <v>568</v>
      </c>
      <c r="I1073">
        <v>10</v>
      </c>
      <c r="J1073">
        <v>599</v>
      </c>
      <c r="K1073">
        <f>COUNTIF(DF_Calculation!E:E,Table1[[#This Row],[ACS_CODE]])</f>
        <v>1</v>
      </c>
    </row>
    <row r="1074" spans="1:11" x14ac:dyDescent="0.25">
      <c r="A1074">
        <v>24431</v>
      </c>
      <c r="B1074" t="s">
        <v>916</v>
      </c>
      <c r="C1074" t="s">
        <v>1282</v>
      </c>
      <c r="D1074" t="s">
        <v>2292</v>
      </c>
      <c r="E1074">
        <v>21</v>
      </c>
      <c r="F1074">
        <v>0</v>
      </c>
      <c r="G1074">
        <v>0</v>
      </c>
      <c r="H1074">
        <v>1</v>
      </c>
      <c r="I1074">
        <v>24</v>
      </c>
      <c r="J1074">
        <v>46</v>
      </c>
      <c r="K1074">
        <f>COUNTIF(DF_Calculation!E:E,Table1[[#This Row],[ACS_CODE]])</f>
        <v>1</v>
      </c>
    </row>
    <row r="1075" spans="1:11" x14ac:dyDescent="0.25">
      <c r="A1075">
        <v>53449</v>
      </c>
      <c r="B1075" t="s">
        <v>1201</v>
      </c>
      <c r="C1075" t="s">
        <v>1266</v>
      </c>
      <c r="D1075" t="s">
        <v>2293</v>
      </c>
      <c r="E1075">
        <v>21</v>
      </c>
      <c r="F1075">
        <v>0</v>
      </c>
      <c r="G1075">
        <v>0</v>
      </c>
      <c r="H1075">
        <v>228</v>
      </c>
      <c r="J1075">
        <v>249</v>
      </c>
      <c r="K1075">
        <f>COUNTIF(DF_Calculation!E:E,Table1[[#This Row],[ACS_CODE]])</f>
        <v>1</v>
      </c>
    </row>
    <row r="1076" spans="1:11" x14ac:dyDescent="0.25">
      <c r="A1076">
        <v>37329</v>
      </c>
      <c r="B1076" t="s">
        <v>919</v>
      </c>
      <c r="C1076" t="s">
        <v>918</v>
      </c>
      <c r="D1076" t="s">
        <v>1181</v>
      </c>
      <c r="E1076">
        <v>21</v>
      </c>
      <c r="F1076">
        <v>0</v>
      </c>
      <c r="G1076">
        <v>0</v>
      </c>
      <c r="H1076">
        <v>2193</v>
      </c>
      <c r="J1076">
        <v>2214</v>
      </c>
      <c r="K1076">
        <f>COUNTIF(DF_Calculation!E:E,Table1[[#This Row],[ACS_CODE]])</f>
        <v>1</v>
      </c>
    </row>
    <row r="1077" spans="1:11" x14ac:dyDescent="0.25">
      <c r="A1077">
        <v>26299</v>
      </c>
      <c r="B1077" t="s">
        <v>916</v>
      </c>
      <c r="C1077" t="s">
        <v>1295</v>
      </c>
      <c r="D1077" t="s">
        <v>2294</v>
      </c>
      <c r="E1077">
        <v>21</v>
      </c>
      <c r="F1077">
        <v>0</v>
      </c>
      <c r="G1077">
        <v>0</v>
      </c>
      <c r="H1077">
        <v>210</v>
      </c>
      <c r="I1077">
        <v>3</v>
      </c>
      <c r="J1077">
        <v>234</v>
      </c>
      <c r="K1077">
        <f>COUNTIF(DF_Calculation!E:E,Table1[[#This Row],[ACS_CODE]])</f>
        <v>1</v>
      </c>
    </row>
    <row r="1078" spans="1:11" x14ac:dyDescent="0.25">
      <c r="A1078">
        <v>26267</v>
      </c>
      <c r="B1078" t="s">
        <v>916</v>
      </c>
      <c r="C1078" t="s">
        <v>1295</v>
      </c>
      <c r="D1078" t="s">
        <v>2295</v>
      </c>
      <c r="E1078">
        <v>21</v>
      </c>
      <c r="F1078">
        <v>0</v>
      </c>
      <c r="G1078">
        <v>0</v>
      </c>
      <c r="H1078">
        <v>861</v>
      </c>
      <c r="I1078">
        <v>6</v>
      </c>
      <c r="J1078">
        <v>888</v>
      </c>
      <c r="K1078">
        <f>COUNTIF(DF_Calculation!E:E,Table1[[#This Row],[ACS_CODE]])</f>
        <v>1</v>
      </c>
    </row>
    <row r="1079" spans="1:11" x14ac:dyDescent="0.25">
      <c r="A1079">
        <v>63351</v>
      </c>
      <c r="B1079" t="s">
        <v>1270</v>
      </c>
      <c r="C1079" t="s">
        <v>1332</v>
      </c>
      <c r="D1079" t="s">
        <v>2296</v>
      </c>
      <c r="E1079">
        <v>21</v>
      </c>
      <c r="F1079">
        <v>0</v>
      </c>
      <c r="G1079">
        <v>0</v>
      </c>
      <c r="H1079">
        <v>291</v>
      </c>
      <c r="J1079">
        <v>312</v>
      </c>
      <c r="K1079">
        <f>COUNTIF(DF_Calculation!E:E,Table1[[#This Row],[ACS_CODE]])</f>
        <v>1</v>
      </c>
    </row>
    <row r="1080" spans="1:11" x14ac:dyDescent="0.25">
      <c r="A1080">
        <v>62267</v>
      </c>
      <c r="B1080" t="s">
        <v>1270</v>
      </c>
      <c r="C1080" t="s">
        <v>1269</v>
      </c>
      <c r="D1080" t="s">
        <v>2297</v>
      </c>
      <c r="E1080">
        <v>21</v>
      </c>
      <c r="F1080">
        <v>261</v>
      </c>
      <c r="G1080">
        <v>0</v>
      </c>
      <c r="H1080">
        <v>569</v>
      </c>
      <c r="I1080">
        <v>10</v>
      </c>
      <c r="J1080">
        <v>861</v>
      </c>
      <c r="K1080">
        <f>COUNTIF(DF_Calculation!E:E,Table1[[#This Row],[ACS_CODE]])</f>
        <v>1</v>
      </c>
    </row>
    <row r="1081" spans="1:11" x14ac:dyDescent="0.25">
      <c r="A1081">
        <v>51257</v>
      </c>
      <c r="B1081" t="s">
        <v>1260</v>
      </c>
      <c r="C1081" t="s">
        <v>1259</v>
      </c>
      <c r="D1081" t="s">
        <v>2298</v>
      </c>
      <c r="E1081">
        <v>21</v>
      </c>
      <c r="F1081">
        <v>0</v>
      </c>
      <c r="G1081">
        <v>0</v>
      </c>
      <c r="H1081">
        <v>809</v>
      </c>
      <c r="J1081">
        <v>830</v>
      </c>
      <c r="K1081">
        <f>COUNTIF(DF_Calculation!E:E,Table1[[#This Row],[ACS_CODE]])</f>
        <v>1</v>
      </c>
    </row>
    <row r="1082" spans="1:11" x14ac:dyDescent="0.25">
      <c r="A1082">
        <v>35321</v>
      </c>
      <c r="B1082" t="s">
        <v>991</v>
      </c>
      <c r="C1082" t="s">
        <v>991</v>
      </c>
      <c r="D1082" t="s">
        <v>2299</v>
      </c>
      <c r="E1082">
        <v>20</v>
      </c>
      <c r="F1082">
        <v>0</v>
      </c>
      <c r="G1082">
        <v>0</v>
      </c>
      <c r="H1082">
        <v>946</v>
      </c>
      <c r="I1082">
        <v>7</v>
      </c>
      <c r="J1082">
        <v>973</v>
      </c>
      <c r="K1082">
        <f>COUNTIF(DF_Calculation!E:E,Table1[[#This Row],[ACS_CODE]])</f>
        <v>1</v>
      </c>
    </row>
    <row r="1083" spans="1:11" x14ac:dyDescent="0.25">
      <c r="A1083">
        <v>24443</v>
      </c>
      <c r="B1083" t="s">
        <v>916</v>
      </c>
      <c r="C1083" t="s">
        <v>1282</v>
      </c>
      <c r="D1083" t="s">
        <v>1419</v>
      </c>
      <c r="E1083">
        <v>20</v>
      </c>
      <c r="F1083">
        <v>0</v>
      </c>
      <c r="G1083">
        <v>0</v>
      </c>
      <c r="H1083">
        <v>0</v>
      </c>
      <c r="I1083">
        <v>10</v>
      </c>
      <c r="J1083">
        <v>30</v>
      </c>
      <c r="K1083">
        <f>COUNTIF(DF_Calculation!E:E,Table1[[#This Row],[ACS_CODE]])</f>
        <v>1</v>
      </c>
    </row>
    <row r="1084" spans="1:11" x14ac:dyDescent="0.25">
      <c r="A1084">
        <v>34229</v>
      </c>
      <c r="B1084" t="s">
        <v>919</v>
      </c>
      <c r="C1084" t="s">
        <v>931</v>
      </c>
      <c r="D1084" t="s">
        <v>1182</v>
      </c>
      <c r="E1084">
        <v>20</v>
      </c>
      <c r="F1084">
        <v>0</v>
      </c>
      <c r="G1084">
        <v>0</v>
      </c>
      <c r="H1084">
        <v>144</v>
      </c>
      <c r="I1084">
        <v>2</v>
      </c>
      <c r="J1084">
        <v>166</v>
      </c>
      <c r="K1084">
        <f>COUNTIF(DF_Calculation!E:E,Table1[[#This Row],[ACS_CODE]])</f>
        <v>1</v>
      </c>
    </row>
    <row r="1085" spans="1:11" x14ac:dyDescent="0.25">
      <c r="A1085">
        <v>22799</v>
      </c>
      <c r="B1085" t="s">
        <v>916</v>
      </c>
      <c r="C1085" t="s">
        <v>915</v>
      </c>
      <c r="D1085" t="s">
        <v>2300</v>
      </c>
      <c r="E1085">
        <v>20</v>
      </c>
      <c r="F1085">
        <v>0</v>
      </c>
      <c r="G1085">
        <v>0</v>
      </c>
      <c r="H1085">
        <v>0</v>
      </c>
      <c r="I1085">
        <v>6</v>
      </c>
      <c r="J1085">
        <v>26</v>
      </c>
      <c r="K1085">
        <f>COUNTIF(DF_Calculation!E:E,Table1[[#This Row],[ACS_CODE]])</f>
        <v>1</v>
      </c>
    </row>
    <row r="1086" spans="1:11" x14ac:dyDescent="0.25">
      <c r="A1086">
        <v>26279</v>
      </c>
      <c r="B1086" t="s">
        <v>916</v>
      </c>
      <c r="C1086" t="s">
        <v>1295</v>
      </c>
      <c r="D1086" t="s">
        <v>2301</v>
      </c>
      <c r="E1086">
        <v>20</v>
      </c>
      <c r="F1086">
        <v>0</v>
      </c>
      <c r="G1086">
        <v>0</v>
      </c>
      <c r="H1086">
        <v>708</v>
      </c>
      <c r="I1086">
        <v>50</v>
      </c>
      <c r="J1086">
        <v>778</v>
      </c>
      <c r="K1086">
        <f>COUNTIF(DF_Calculation!E:E,Table1[[#This Row],[ACS_CODE]])</f>
        <v>1</v>
      </c>
    </row>
    <row r="1087" spans="1:11" x14ac:dyDescent="0.25">
      <c r="A1087">
        <v>63331</v>
      </c>
      <c r="B1087" t="s">
        <v>1270</v>
      </c>
      <c r="C1087" t="s">
        <v>1332</v>
      </c>
      <c r="D1087" t="s">
        <v>1420</v>
      </c>
      <c r="E1087">
        <v>20</v>
      </c>
      <c r="F1087">
        <v>0</v>
      </c>
      <c r="G1087">
        <v>0</v>
      </c>
      <c r="H1087">
        <v>48</v>
      </c>
      <c r="I1087">
        <v>5</v>
      </c>
      <c r="J1087">
        <v>73</v>
      </c>
      <c r="K1087">
        <f>COUNTIF(DF_Calculation!E:E,Table1[[#This Row],[ACS_CODE]])</f>
        <v>1</v>
      </c>
    </row>
    <row r="1088" spans="1:11" x14ac:dyDescent="0.25">
      <c r="A1088">
        <v>55184</v>
      </c>
      <c r="B1088" t="s">
        <v>1260</v>
      </c>
      <c r="C1088" t="s">
        <v>1291</v>
      </c>
      <c r="D1088" t="s">
        <v>2302</v>
      </c>
      <c r="E1088">
        <v>20</v>
      </c>
      <c r="F1088">
        <v>0</v>
      </c>
      <c r="G1088">
        <v>0</v>
      </c>
      <c r="H1088">
        <v>1777</v>
      </c>
      <c r="I1088">
        <v>7</v>
      </c>
      <c r="J1088">
        <v>1804</v>
      </c>
      <c r="K1088">
        <f>COUNTIF(DF_Calculation!E:E,Table1[[#This Row],[ACS_CODE]])</f>
        <v>1</v>
      </c>
    </row>
    <row r="1089" spans="1:11" x14ac:dyDescent="0.25">
      <c r="A1089">
        <v>61471</v>
      </c>
      <c r="B1089" t="s">
        <v>1270</v>
      </c>
      <c r="C1089" t="s">
        <v>1288</v>
      </c>
      <c r="D1089" t="s">
        <v>2303</v>
      </c>
      <c r="E1089">
        <v>20</v>
      </c>
      <c r="F1089">
        <v>0</v>
      </c>
      <c r="G1089">
        <v>0</v>
      </c>
      <c r="H1089">
        <v>677</v>
      </c>
      <c r="I1089">
        <v>4</v>
      </c>
      <c r="J1089">
        <v>701</v>
      </c>
      <c r="K1089">
        <f>COUNTIF(DF_Calculation!E:E,Table1[[#This Row],[ACS_CODE]])</f>
        <v>1</v>
      </c>
    </row>
    <row r="1090" spans="1:11" x14ac:dyDescent="0.25">
      <c r="A1090">
        <v>61474</v>
      </c>
      <c r="B1090" t="s">
        <v>1270</v>
      </c>
      <c r="C1090" t="s">
        <v>1288</v>
      </c>
      <c r="D1090" t="s">
        <v>2304</v>
      </c>
      <c r="E1090">
        <v>20</v>
      </c>
      <c r="F1090">
        <v>0</v>
      </c>
      <c r="G1090">
        <v>0</v>
      </c>
      <c r="H1090">
        <v>111</v>
      </c>
      <c r="I1090">
        <v>1</v>
      </c>
      <c r="J1090">
        <v>132</v>
      </c>
      <c r="K1090">
        <f>COUNTIF(DF_Calculation!E:E,Table1[[#This Row],[ACS_CODE]])</f>
        <v>1</v>
      </c>
    </row>
    <row r="1091" spans="1:11" x14ac:dyDescent="0.25">
      <c r="A1091">
        <v>61418</v>
      </c>
      <c r="B1091" t="s">
        <v>1270</v>
      </c>
      <c r="C1091" t="s">
        <v>1288</v>
      </c>
      <c r="D1091" t="s">
        <v>1421</v>
      </c>
      <c r="E1091">
        <v>20</v>
      </c>
      <c r="F1091">
        <v>141</v>
      </c>
      <c r="G1091">
        <v>0</v>
      </c>
      <c r="H1091">
        <v>635</v>
      </c>
      <c r="J1091">
        <v>796</v>
      </c>
      <c r="K1091">
        <f>COUNTIF(DF_Calculation!E:E,Table1[[#This Row],[ACS_CODE]])</f>
        <v>1</v>
      </c>
    </row>
    <row r="1092" spans="1:11" x14ac:dyDescent="0.25">
      <c r="A1092">
        <v>62244</v>
      </c>
      <c r="B1092" t="s">
        <v>1270</v>
      </c>
      <c r="C1092" t="s">
        <v>1269</v>
      </c>
      <c r="D1092" t="s">
        <v>2305</v>
      </c>
      <c r="E1092">
        <v>20</v>
      </c>
      <c r="F1092">
        <v>0</v>
      </c>
      <c r="G1092">
        <v>0</v>
      </c>
      <c r="H1092">
        <v>526</v>
      </c>
      <c r="I1092">
        <v>17</v>
      </c>
      <c r="J1092">
        <v>563</v>
      </c>
      <c r="K1092">
        <f>COUNTIF(DF_Calculation!E:E,Table1[[#This Row],[ACS_CODE]])</f>
        <v>1</v>
      </c>
    </row>
    <row r="1093" spans="1:11" x14ac:dyDescent="0.25">
      <c r="A1093">
        <v>35423</v>
      </c>
      <c r="B1093" t="s">
        <v>991</v>
      </c>
      <c r="C1093" t="s">
        <v>991</v>
      </c>
      <c r="D1093" t="s">
        <v>2306</v>
      </c>
      <c r="E1093">
        <v>19</v>
      </c>
      <c r="F1093">
        <v>0</v>
      </c>
      <c r="G1093">
        <v>0</v>
      </c>
      <c r="H1093">
        <v>31</v>
      </c>
      <c r="J1093">
        <v>50</v>
      </c>
      <c r="K1093">
        <f>COUNTIF(DF_Calculation!E:E,Table1[[#This Row],[ACS_CODE]])</f>
        <v>1</v>
      </c>
    </row>
    <row r="1094" spans="1:11" x14ac:dyDescent="0.25">
      <c r="A1094">
        <v>21324</v>
      </c>
      <c r="B1094" t="s">
        <v>916</v>
      </c>
      <c r="C1094" t="s">
        <v>1275</v>
      </c>
      <c r="D1094" t="s">
        <v>2307</v>
      </c>
      <c r="E1094">
        <v>19</v>
      </c>
      <c r="F1094">
        <v>0</v>
      </c>
      <c r="G1094">
        <v>0</v>
      </c>
      <c r="H1094">
        <v>354</v>
      </c>
      <c r="I1094">
        <v>2</v>
      </c>
      <c r="J1094">
        <v>375</v>
      </c>
      <c r="K1094">
        <f>COUNTIF(DF_Calculation!E:E,Table1[[#This Row],[ACS_CODE]])</f>
        <v>1</v>
      </c>
    </row>
    <row r="1095" spans="1:11" x14ac:dyDescent="0.25">
      <c r="A1095">
        <v>53366</v>
      </c>
      <c r="B1095" t="s">
        <v>1201</v>
      </c>
      <c r="C1095" t="s">
        <v>1266</v>
      </c>
      <c r="D1095" t="s">
        <v>2308</v>
      </c>
      <c r="E1095">
        <v>19</v>
      </c>
      <c r="F1095">
        <v>0</v>
      </c>
      <c r="G1095">
        <v>0</v>
      </c>
      <c r="H1095">
        <v>94</v>
      </c>
      <c r="I1095">
        <v>3</v>
      </c>
      <c r="J1095">
        <v>116</v>
      </c>
      <c r="K1095">
        <f>COUNTIF(DF_Calculation!E:E,Table1[[#This Row],[ACS_CODE]])</f>
        <v>1</v>
      </c>
    </row>
    <row r="1096" spans="1:11" x14ac:dyDescent="0.25">
      <c r="A1096">
        <v>36184</v>
      </c>
      <c r="B1096" t="s">
        <v>919</v>
      </c>
      <c r="C1096" t="s">
        <v>982</v>
      </c>
      <c r="D1096" t="s">
        <v>1183</v>
      </c>
      <c r="E1096">
        <v>19</v>
      </c>
      <c r="F1096">
        <v>0</v>
      </c>
      <c r="G1096">
        <v>0</v>
      </c>
      <c r="H1096">
        <v>1025</v>
      </c>
      <c r="I1096">
        <v>4</v>
      </c>
      <c r="J1096">
        <v>1048</v>
      </c>
      <c r="K1096">
        <f>COUNTIF(DF_Calculation!E:E,Table1[[#This Row],[ACS_CODE]])</f>
        <v>1</v>
      </c>
    </row>
    <row r="1097" spans="1:11" x14ac:dyDescent="0.25">
      <c r="A1097">
        <v>10550</v>
      </c>
      <c r="B1097" t="s">
        <v>1315</v>
      </c>
      <c r="C1097" t="s">
        <v>1315</v>
      </c>
      <c r="D1097" t="s">
        <v>2309</v>
      </c>
      <c r="E1097">
        <v>19</v>
      </c>
      <c r="F1097">
        <v>0</v>
      </c>
      <c r="G1097">
        <v>26</v>
      </c>
      <c r="H1097">
        <v>19546</v>
      </c>
      <c r="I1097">
        <v>2387</v>
      </c>
      <c r="J1097">
        <v>21978</v>
      </c>
      <c r="K1097">
        <f>COUNTIF(DF_Calculation!E:E,Table1[[#This Row],[ACS_CODE]])</f>
        <v>1</v>
      </c>
    </row>
    <row r="1098" spans="1:11" x14ac:dyDescent="0.25">
      <c r="A1098">
        <v>72267</v>
      </c>
      <c r="B1098" t="s">
        <v>937</v>
      </c>
      <c r="C1098" t="s">
        <v>1514</v>
      </c>
      <c r="D1098" t="s">
        <v>2310</v>
      </c>
      <c r="E1098">
        <v>19</v>
      </c>
      <c r="F1098">
        <v>0</v>
      </c>
      <c r="G1098">
        <v>0</v>
      </c>
      <c r="H1098">
        <v>55</v>
      </c>
      <c r="I1098">
        <v>5</v>
      </c>
      <c r="J1098">
        <v>79</v>
      </c>
      <c r="K1098">
        <f>COUNTIF(DF_Calculation!E:E,Table1[[#This Row],[ACS_CODE]])</f>
        <v>1</v>
      </c>
    </row>
    <row r="1099" spans="1:11" x14ac:dyDescent="0.25">
      <c r="A1099">
        <v>34351</v>
      </c>
      <c r="B1099" t="s">
        <v>919</v>
      </c>
      <c r="C1099" t="s">
        <v>931</v>
      </c>
      <c r="D1099" t="s">
        <v>1184</v>
      </c>
      <c r="E1099">
        <v>19</v>
      </c>
      <c r="F1099">
        <v>0</v>
      </c>
      <c r="G1099">
        <v>0</v>
      </c>
      <c r="H1099">
        <v>443</v>
      </c>
      <c r="I1099">
        <v>5</v>
      </c>
      <c r="J1099">
        <v>467</v>
      </c>
      <c r="K1099">
        <f>COUNTIF(DF_Calculation!E:E,Table1[[#This Row],[ACS_CODE]])</f>
        <v>1</v>
      </c>
    </row>
    <row r="1100" spans="1:11" x14ac:dyDescent="0.25">
      <c r="A1100">
        <v>22245</v>
      </c>
      <c r="B1100" t="s">
        <v>916</v>
      </c>
      <c r="C1100" t="s">
        <v>915</v>
      </c>
      <c r="D1100" t="s">
        <v>1422</v>
      </c>
      <c r="E1100">
        <v>19</v>
      </c>
      <c r="F1100">
        <v>0</v>
      </c>
      <c r="G1100">
        <v>0</v>
      </c>
      <c r="H1100">
        <v>1163</v>
      </c>
      <c r="I1100">
        <v>274</v>
      </c>
      <c r="J1100">
        <v>1456</v>
      </c>
      <c r="K1100">
        <f>COUNTIF(DF_Calculation!E:E,Table1[[#This Row],[ACS_CODE]])</f>
        <v>1</v>
      </c>
    </row>
    <row r="1101" spans="1:11" x14ac:dyDescent="0.25">
      <c r="A1101">
        <v>63375</v>
      </c>
      <c r="B1101" t="s">
        <v>1270</v>
      </c>
      <c r="C1101" t="s">
        <v>1332</v>
      </c>
      <c r="D1101" t="s">
        <v>2311</v>
      </c>
      <c r="E1101">
        <v>19</v>
      </c>
      <c r="F1101">
        <v>0</v>
      </c>
      <c r="G1101">
        <v>0</v>
      </c>
      <c r="H1101">
        <v>21</v>
      </c>
      <c r="I1101">
        <v>1</v>
      </c>
      <c r="J1101">
        <v>41</v>
      </c>
      <c r="K1101">
        <f>COUNTIF(DF_Calculation!E:E,Table1[[#This Row],[ACS_CODE]])</f>
        <v>1</v>
      </c>
    </row>
    <row r="1102" spans="1:11" x14ac:dyDescent="0.25">
      <c r="A1102">
        <v>25345</v>
      </c>
      <c r="B1102" t="s">
        <v>916</v>
      </c>
      <c r="C1102" t="s">
        <v>1307</v>
      </c>
      <c r="D1102" t="s">
        <v>2312</v>
      </c>
      <c r="E1102">
        <v>19</v>
      </c>
      <c r="F1102">
        <v>0</v>
      </c>
      <c r="G1102">
        <v>0</v>
      </c>
      <c r="H1102">
        <v>300</v>
      </c>
      <c r="J1102">
        <v>319</v>
      </c>
      <c r="K1102">
        <f>COUNTIF(DF_Calculation!E:E,Table1[[#This Row],[ACS_CODE]])</f>
        <v>1</v>
      </c>
    </row>
    <row r="1103" spans="1:11" x14ac:dyDescent="0.25">
      <c r="A1103">
        <v>25482</v>
      </c>
      <c r="B1103" t="s">
        <v>916</v>
      </c>
      <c r="C1103" t="s">
        <v>1307</v>
      </c>
      <c r="D1103" t="s">
        <v>1423</v>
      </c>
      <c r="E1103">
        <v>19</v>
      </c>
      <c r="F1103">
        <v>0</v>
      </c>
      <c r="G1103">
        <v>0</v>
      </c>
      <c r="H1103">
        <v>0</v>
      </c>
      <c r="J1103">
        <v>19</v>
      </c>
      <c r="K1103">
        <f>COUNTIF(DF_Calculation!E:E,Table1[[#This Row],[ACS_CODE]])</f>
        <v>1</v>
      </c>
    </row>
    <row r="1104" spans="1:11" x14ac:dyDescent="0.25">
      <c r="A1104">
        <v>35334</v>
      </c>
      <c r="B1104" t="s">
        <v>991</v>
      </c>
      <c r="C1104" t="s">
        <v>991</v>
      </c>
      <c r="D1104" t="s">
        <v>2313</v>
      </c>
      <c r="E1104">
        <v>18</v>
      </c>
      <c r="F1104">
        <v>0</v>
      </c>
      <c r="G1104">
        <v>0</v>
      </c>
      <c r="H1104">
        <v>832</v>
      </c>
      <c r="J1104">
        <v>850</v>
      </c>
      <c r="K1104">
        <f>COUNTIF(DF_Calculation!E:E,Table1[[#This Row],[ACS_CODE]])</f>
        <v>1</v>
      </c>
    </row>
    <row r="1105" spans="1:11" x14ac:dyDescent="0.25">
      <c r="A1105">
        <v>21487</v>
      </c>
      <c r="B1105" t="s">
        <v>916</v>
      </c>
      <c r="C1105" t="s">
        <v>1275</v>
      </c>
      <c r="D1105" t="s">
        <v>2314</v>
      </c>
      <c r="E1105">
        <v>18</v>
      </c>
      <c r="F1105">
        <v>0</v>
      </c>
      <c r="G1105">
        <v>0</v>
      </c>
      <c r="H1105">
        <v>46</v>
      </c>
      <c r="J1105">
        <v>64</v>
      </c>
      <c r="K1105">
        <f>COUNTIF(DF_Calculation!E:E,Table1[[#This Row],[ACS_CODE]])</f>
        <v>1</v>
      </c>
    </row>
    <row r="1106" spans="1:11" x14ac:dyDescent="0.25">
      <c r="A1106">
        <v>34254</v>
      </c>
      <c r="B1106" t="s">
        <v>919</v>
      </c>
      <c r="C1106" t="s">
        <v>931</v>
      </c>
      <c r="D1106" t="s">
        <v>1185</v>
      </c>
      <c r="E1106">
        <v>18</v>
      </c>
      <c r="F1106">
        <v>0</v>
      </c>
      <c r="G1106">
        <v>0</v>
      </c>
      <c r="H1106">
        <v>75</v>
      </c>
      <c r="J1106">
        <v>93</v>
      </c>
      <c r="K1106">
        <f>COUNTIF(DF_Calculation!E:E,Table1[[#This Row],[ACS_CODE]])</f>
        <v>1</v>
      </c>
    </row>
    <row r="1107" spans="1:11" x14ac:dyDescent="0.25">
      <c r="A1107">
        <v>22734</v>
      </c>
      <c r="B1107" t="s">
        <v>916</v>
      </c>
      <c r="C1107" t="s">
        <v>915</v>
      </c>
      <c r="D1107" t="s">
        <v>1186</v>
      </c>
      <c r="E1107">
        <v>18</v>
      </c>
      <c r="F1107">
        <v>0</v>
      </c>
      <c r="G1107">
        <v>0</v>
      </c>
      <c r="H1107">
        <v>543</v>
      </c>
      <c r="I1107">
        <v>17</v>
      </c>
      <c r="J1107">
        <v>578</v>
      </c>
      <c r="K1107">
        <f>COUNTIF(DF_Calculation!E:E,Table1[[#This Row],[ACS_CODE]])</f>
        <v>1</v>
      </c>
    </row>
    <row r="1108" spans="1:11" x14ac:dyDescent="0.25">
      <c r="A1108">
        <v>37349</v>
      </c>
      <c r="B1108" t="s">
        <v>919</v>
      </c>
      <c r="C1108" t="s">
        <v>918</v>
      </c>
      <c r="D1108" t="s">
        <v>1424</v>
      </c>
      <c r="E1108">
        <v>18</v>
      </c>
      <c r="F1108">
        <v>0</v>
      </c>
      <c r="G1108">
        <v>0</v>
      </c>
      <c r="H1108">
        <v>501</v>
      </c>
      <c r="J1108">
        <v>519</v>
      </c>
      <c r="K1108">
        <f>COUNTIF(DF_Calculation!E:E,Table1[[#This Row],[ACS_CODE]])</f>
        <v>1</v>
      </c>
    </row>
    <row r="1109" spans="1:11" x14ac:dyDescent="0.25">
      <c r="A1109">
        <v>26286</v>
      </c>
      <c r="B1109" t="s">
        <v>916</v>
      </c>
      <c r="C1109" t="s">
        <v>1295</v>
      </c>
      <c r="D1109" t="s">
        <v>2315</v>
      </c>
      <c r="E1109">
        <v>18</v>
      </c>
      <c r="F1109">
        <v>0</v>
      </c>
      <c r="G1109">
        <v>0</v>
      </c>
      <c r="H1109">
        <v>1442</v>
      </c>
      <c r="I1109">
        <v>15</v>
      </c>
      <c r="J1109">
        <v>1475</v>
      </c>
      <c r="K1109">
        <f>COUNTIF(DF_Calculation!E:E,Table1[[#This Row],[ACS_CODE]])</f>
        <v>1</v>
      </c>
    </row>
    <row r="1110" spans="1:11" x14ac:dyDescent="0.25">
      <c r="A1110">
        <v>61446</v>
      </c>
      <c r="B1110" t="s">
        <v>1270</v>
      </c>
      <c r="C1110" t="s">
        <v>1288</v>
      </c>
      <c r="D1110" t="s">
        <v>2316</v>
      </c>
      <c r="E1110">
        <v>18</v>
      </c>
      <c r="F1110">
        <v>0</v>
      </c>
      <c r="G1110">
        <v>0</v>
      </c>
      <c r="H1110">
        <v>523</v>
      </c>
      <c r="I1110">
        <v>10</v>
      </c>
      <c r="J1110">
        <v>551</v>
      </c>
      <c r="K1110">
        <f>COUNTIF(DF_Calculation!E:E,Table1[[#This Row],[ACS_CODE]])</f>
        <v>1</v>
      </c>
    </row>
    <row r="1111" spans="1:11" x14ac:dyDescent="0.25">
      <c r="A1111">
        <v>35337</v>
      </c>
      <c r="B1111" t="s">
        <v>991</v>
      </c>
      <c r="C1111" t="s">
        <v>991</v>
      </c>
      <c r="D1111" t="s">
        <v>2317</v>
      </c>
      <c r="E1111">
        <v>17</v>
      </c>
      <c r="F1111">
        <v>0</v>
      </c>
      <c r="G1111">
        <v>0</v>
      </c>
      <c r="H1111">
        <v>1007</v>
      </c>
      <c r="J1111">
        <v>1024</v>
      </c>
      <c r="K1111">
        <f>COUNTIF(DF_Calculation!E:E,Table1[[#This Row],[ACS_CODE]])</f>
        <v>1</v>
      </c>
    </row>
    <row r="1112" spans="1:11" x14ac:dyDescent="0.25">
      <c r="A1112">
        <v>24319</v>
      </c>
      <c r="B1112" t="s">
        <v>916</v>
      </c>
      <c r="C1112" t="s">
        <v>1282</v>
      </c>
      <c r="D1112" t="s">
        <v>2318</v>
      </c>
      <c r="E1112">
        <v>17</v>
      </c>
      <c r="F1112">
        <v>0</v>
      </c>
      <c r="G1112">
        <v>0</v>
      </c>
      <c r="H1112">
        <v>569</v>
      </c>
      <c r="J1112">
        <v>586</v>
      </c>
      <c r="K1112">
        <f>COUNTIF(DF_Calculation!E:E,Table1[[#This Row],[ACS_CODE]])</f>
        <v>1</v>
      </c>
    </row>
    <row r="1113" spans="1:11" x14ac:dyDescent="0.25">
      <c r="A1113">
        <v>53244</v>
      </c>
      <c r="B1113" t="s">
        <v>1201</v>
      </c>
      <c r="C1113" t="s">
        <v>1266</v>
      </c>
      <c r="D1113" t="s">
        <v>1425</v>
      </c>
      <c r="E1113">
        <v>17</v>
      </c>
      <c r="F1113">
        <v>0</v>
      </c>
      <c r="G1113">
        <v>0</v>
      </c>
      <c r="H1113">
        <v>66</v>
      </c>
      <c r="J1113">
        <v>83</v>
      </c>
      <c r="K1113">
        <f>COUNTIF(DF_Calculation!E:E,Table1[[#This Row],[ACS_CODE]])</f>
        <v>1</v>
      </c>
    </row>
    <row r="1114" spans="1:11" x14ac:dyDescent="0.25">
      <c r="A1114">
        <v>23376</v>
      </c>
      <c r="B1114" t="s">
        <v>916</v>
      </c>
      <c r="C1114" t="s">
        <v>921</v>
      </c>
      <c r="D1114" t="s">
        <v>1187</v>
      </c>
      <c r="E1114">
        <v>17</v>
      </c>
      <c r="F1114">
        <v>0</v>
      </c>
      <c r="G1114">
        <v>0</v>
      </c>
      <c r="H1114">
        <v>33</v>
      </c>
      <c r="J1114">
        <v>50</v>
      </c>
      <c r="K1114">
        <f>COUNTIF(DF_Calculation!E:E,Table1[[#This Row],[ACS_CODE]])</f>
        <v>1</v>
      </c>
    </row>
    <row r="1115" spans="1:11" x14ac:dyDescent="0.25">
      <c r="A1115">
        <v>37373</v>
      </c>
      <c r="B1115" t="s">
        <v>919</v>
      </c>
      <c r="C1115" t="s">
        <v>918</v>
      </c>
      <c r="D1115" t="s">
        <v>1188</v>
      </c>
      <c r="E1115">
        <v>17</v>
      </c>
      <c r="F1115">
        <v>0</v>
      </c>
      <c r="G1115">
        <v>0</v>
      </c>
      <c r="H1115">
        <v>501</v>
      </c>
      <c r="I1115">
        <v>10</v>
      </c>
      <c r="J1115">
        <v>528</v>
      </c>
      <c r="K1115">
        <f>COUNTIF(DF_Calculation!E:E,Table1[[#This Row],[ACS_CODE]])</f>
        <v>1</v>
      </c>
    </row>
    <row r="1116" spans="1:11" x14ac:dyDescent="0.25">
      <c r="A1116">
        <v>74114</v>
      </c>
      <c r="B1116" t="s">
        <v>937</v>
      </c>
      <c r="C1116" t="s">
        <v>1280</v>
      </c>
      <c r="D1116" t="s">
        <v>2319</v>
      </c>
      <c r="E1116">
        <v>17</v>
      </c>
      <c r="F1116">
        <v>0</v>
      </c>
      <c r="G1116">
        <v>0</v>
      </c>
      <c r="H1116">
        <v>885</v>
      </c>
      <c r="I1116">
        <v>2</v>
      </c>
      <c r="J1116">
        <v>904</v>
      </c>
      <c r="K1116">
        <f>COUNTIF(DF_Calculation!E:E,Table1[[#This Row],[ACS_CODE]])</f>
        <v>1</v>
      </c>
    </row>
    <row r="1117" spans="1:11" x14ac:dyDescent="0.25">
      <c r="A1117">
        <v>26231</v>
      </c>
      <c r="B1117" t="s">
        <v>916</v>
      </c>
      <c r="C1117" t="s">
        <v>1295</v>
      </c>
      <c r="D1117" t="s">
        <v>2320</v>
      </c>
      <c r="E1117">
        <v>17</v>
      </c>
      <c r="F1117">
        <v>0</v>
      </c>
      <c r="G1117">
        <v>0</v>
      </c>
      <c r="H1117">
        <v>952</v>
      </c>
      <c r="I1117">
        <v>10</v>
      </c>
      <c r="J1117">
        <v>979</v>
      </c>
      <c r="K1117">
        <f>COUNTIF(DF_Calculation!E:E,Table1[[#This Row],[ACS_CODE]])</f>
        <v>1</v>
      </c>
    </row>
    <row r="1118" spans="1:11" x14ac:dyDescent="0.25">
      <c r="A1118">
        <v>62341</v>
      </c>
      <c r="B1118" t="s">
        <v>1270</v>
      </c>
      <c r="C1118" t="s">
        <v>1269</v>
      </c>
      <c r="D1118" t="s">
        <v>2321</v>
      </c>
      <c r="E1118">
        <v>17</v>
      </c>
      <c r="F1118">
        <v>0</v>
      </c>
      <c r="G1118">
        <v>0</v>
      </c>
      <c r="H1118">
        <v>569</v>
      </c>
      <c r="J1118">
        <v>586</v>
      </c>
      <c r="K1118">
        <f>COUNTIF(DF_Calculation!E:E,Table1[[#This Row],[ACS_CODE]])</f>
        <v>1</v>
      </c>
    </row>
    <row r="1119" spans="1:11" x14ac:dyDescent="0.25">
      <c r="A1119">
        <v>35127</v>
      </c>
      <c r="B1119" t="s">
        <v>991</v>
      </c>
      <c r="C1119" t="s">
        <v>991</v>
      </c>
      <c r="D1119" t="s">
        <v>2322</v>
      </c>
      <c r="E1119">
        <v>16</v>
      </c>
      <c r="F1119">
        <v>0</v>
      </c>
      <c r="G1119">
        <v>0</v>
      </c>
      <c r="H1119">
        <v>2112</v>
      </c>
      <c r="I1119">
        <v>6</v>
      </c>
      <c r="J1119">
        <v>2134</v>
      </c>
      <c r="K1119">
        <f>COUNTIF(DF_Calculation!E:E,Table1[[#This Row],[ACS_CODE]])</f>
        <v>1</v>
      </c>
    </row>
    <row r="1120" spans="1:11" x14ac:dyDescent="0.25">
      <c r="A1120">
        <v>24333</v>
      </c>
      <c r="B1120" t="s">
        <v>916</v>
      </c>
      <c r="C1120" t="s">
        <v>1282</v>
      </c>
      <c r="D1120" t="s">
        <v>2323</v>
      </c>
      <c r="E1120">
        <v>16</v>
      </c>
      <c r="F1120">
        <v>0</v>
      </c>
      <c r="G1120">
        <v>0</v>
      </c>
      <c r="H1120">
        <v>78</v>
      </c>
      <c r="J1120">
        <v>94</v>
      </c>
      <c r="K1120">
        <f>COUNTIF(DF_Calculation!E:E,Table1[[#This Row],[ACS_CODE]])</f>
        <v>1</v>
      </c>
    </row>
    <row r="1121" spans="1:11" x14ac:dyDescent="0.25">
      <c r="A1121">
        <v>34251</v>
      </c>
      <c r="B1121" t="s">
        <v>919</v>
      </c>
      <c r="C1121" t="s">
        <v>931</v>
      </c>
      <c r="D1121" t="s">
        <v>1189</v>
      </c>
      <c r="E1121">
        <v>16</v>
      </c>
      <c r="F1121">
        <v>0</v>
      </c>
      <c r="G1121">
        <v>0</v>
      </c>
      <c r="H1121">
        <v>179</v>
      </c>
      <c r="I1121">
        <v>3</v>
      </c>
      <c r="J1121">
        <v>198</v>
      </c>
      <c r="K1121">
        <f>COUNTIF(DF_Calculation!E:E,Table1[[#This Row],[ACS_CODE]])</f>
        <v>1</v>
      </c>
    </row>
    <row r="1122" spans="1:11" x14ac:dyDescent="0.25">
      <c r="A1122">
        <v>34215</v>
      </c>
      <c r="B1122" t="s">
        <v>919</v>
      </c>
      <c r="C1122" t="s">
        <v>931</v>
      </c>
      <c r="D1122" t="s">
        <v>1190</v>
      </c>
      <c r="E1122">
        <v>16</v>
      </c>
      <c r="F1122">
        <v>0</v>
      </c>
      <c r="G1122">
        <v>0</v>
      </c>
      <c r="H1122">
        <v>298</v>
      </c>
      <c r="J1122">
        <v>314</v>
      </c>
      <c r="K1122">
        <f>COUNTIF(DF_Calculation!E:E,Table1[[#This Row],[ACS_CODE]])</f>
        <v>1</v>
      </c>
    </row>
    <row r="1123" spans="1:11" x14ac:dyDescent="0.25">
      <c r="A1123">
        <v>26295</v>
      </c>
      <c r="B1123" t="s">
        <v>916</v>
      </c>
      <c r="C1123" t="s">
        <v>1295</v>
      </c>
      <c r="D1123" t="s">
        <v>2324</v>
      </c>
      <c r="E1123">
        <v>16</v>
      </c>
      <c r="F1123">
        <v>0</v>
      </c>
      <c r="G1123">
        <v>0</v>
      </c>
      <c r="H1123">
        <v>700</v>
      </c>
      <c r="I1123">
        <v>8</v>
      </c>
      <c r="J1123">
        <v>724</v>
      </c>
      <c r="K1123">
        <f>COUNTIF(DF_Calculation!E:E,Table1[[#This Row],[ACS_CODE]])</f>
        <v>1</v>
      </c>
    </row>
    <row r="1124" spans="1:11" x14ac:dyDescent="0.25">
      <c r="A1124">
        <v>25355</v>
      </c>
      <c r="B1124" t="s">
        <v>916</v>
      </c>
      <c r="C1124" t="s">
        <v>1307</v>
      </c>
      <c r="D1124" t="s">
        <v>2325</v>
      </c>
      <c r="E1124">
        <v>16</v>
      </c>
      <c r="F1124">
        <v>0</v>
      </c>
      <c r="G1124">
        <v>0</v>
      </c>
      <c r="H1124">
        <v>708</v>
      </c>
      <c r="I1124">
        <v>10</v>
      </c>
      <c r="J1124">
        <v>734</v>
      </c>
      <c r="K1124">
        <f>COUNTIF(DF_Calculation!E:E,Table1[[#This Row],[ACS_CODE]])</f>
        <v>1</v>
      </c>
    </row>
    <row r="1125" spans="1:11" x14ac:dyDescent="0.25">
      <c r="A1125">
        <v>73226</v>
      </c>
      <c r="B1125" t="s">
        <v>937</v>
      </c>
      <c r="C1125" t="s">
        <v>1278</v>
      </c>
      <c r="D1125" t="s">
        <v>2326</v>
      </c>
      <c r="E1125">
        <v>16</v>
      </c>
      <c r="F1125">
        <v>0</v>
      </c>
      <c r="G1125">
        <v>0</v>
      </c>
      <c r="H1125">
        <v>104</v>
      </c>
      <c r="J1125">
        <v>120</v>
      </c>
      <c r="K1125">
        <f>COUNTIF(DF_Calculation!E:E,Table1[[#This Row],[ACS_CODE]])</f>
        <v>1</v>
      </c>
    </row>
    <row r="1126" spans="1:11" x14ac:dyDescent="0.25">
      <c r="A1126">
        <v>62219</v>
      </c>
      <c r="B1126" t="s">
        <v>1270</v>
      </c>
      <c r="C1126" t="s">
        <v>1269</v>
      </c>
      <c r="D1126" t="s">
        <v>2327</v>
      </c>
      <c r="E1126">
        <v>16</v>
      </c>
      <c r="F1126">
        <v>261</v>
      </c>
      <c r="G1126">
        <v>0</v>
      </c>
      <c r="H1126">
        <v>827</v>
      </c>
      <c r="I1126">
        <v>25</v>
      </c>
      <c r="J1126">
        <v>1129</v>
      </c>
      <c r="K1126">
        <f>COUNTIF(DF_Calculation!E:E,Table1[[#This Row],[ACS_CODE]])</f>
        <v>1</v>
      </c>
    </row>
    <row r="1127" spans="1:11" x14ac:dyDescent="0.25">
      <c r="A1127">
        <v>51129</v>
      </c>
      <c r="B1127" t="s">
        <v>1260</v>
      </c>
      <c r="C1127" t="s">
        <v>1259</v>
      </c>
      <c r="D1127" t="s">
        <v>2328</v>
      </c>
      <c r="E1127">
        <v>16</v>
      </c>
      <c r="F1127">
        <v>0</v>
      </c>
      <c r="G1127">
        <v>0</v>
      </c>
      <c r="H1127">
        <v>1</v>
      </c>
      <c r="I1127">
        <v>31</v>
      </c>
      <c r="J1127">
        <v>48</v>
      </c>
      <c r="K1127">
        <f>COUNTIF(DF_Calculation!E:E,Table1[[#This Row],[ACS_CODE]])</f>
        <v>1</v>
      </c>
    </row>
    <row r="1128" spans="1:11" x14ac:dyDescent="0.25">
      <c r="A1128">
        <v>33119</v>
      </c>
      <c r="B1128" t="s">
        <v>919</v>
      </c>
      <c r="C1128" t="s">
        <v>1297</v>
      </c>
      <c r="D1128" t="s">
        <v>2329</v>
      </c>
      <c r="E1128">
        <v>16</v>
      </c>
      <c r="F1128">
        <v>0</v>
      </c>
      <c r="G1128">
        <v>0</v>
      </c>
      <c r="H1128">
        <v>469</v>
      </c>
      <c r="I1128">
        <v>11</v>
      </c>
      <c r="J1128">
        <v>496</v>
      </c>
      <c r="K1128">
        <f>COUNTIF(DF_Calculation!E:E,Table1[[#This Row],[ACS_CODE]])</f>
        <v>1</v>
      </c>
    </row>
    <row r="1129" spans="1:11" x14ac:dyDescent="0.25">
      <c r="A1129">
        <v>33255</v>
      </c>
      <c r="B1129" t="s">
        <v>919</v>
      </c>
      <c r="C1129" t="s">
        <v>1297</v>
      </c>
      <c r="D1129" t="s">
        <v>2330</v>
      </c>
      <c r="E1129">
        <v>16</v>
      </c>
      <c r="F1129">
        <v>0</v>
      </c>
      <c r="G1129">
        <v>0</v>
      </c>
      <c r="H1129">
        <v>691</v>
      </c>
      <c r="I1129">
        <v>5</v>
      </c>
      <c r="J1129">
        <v>712</v>
      </c>
      <c r="K1129">
        <f>COUNTIF(DF_Calculation!E:E,Table1[[#This Row],[ACS_CODE]])</f>
        <v>1</v>
      </c>
    </row>
    <row r="1130" spans="1:11" x14ac:dyDescent="0.25">
      <c r="A1130">
        <v>35174</v>
      </c>
      <c r="B1130" t="s">
        <v>991</v>
      </c>
      <c r="C1130" t="s">
        <v>991</v>
      </c>
      <c r="D1130" t="s">
        <v>2331</v>
      </c>
      <c r="E1130">
        <v>15</v>
      </c>
      <c r="F1130">
        <v>0</v>
      </c>
      <c r="G1130">
        <v>0</v>
      </c>
      <c r="H1130">
        <v>1007</v>
      </c>
      <c r="I1130">
        <v>5</v>
      </c>
      <c r="J1130">
        <v>1027</v>
      </c>
      <c r="K1130">
        <f>COUNTIF(DF_Calculation!E:E,Table1[[#This Row],[ACS_CODE]])</f>
        <v>1</v>
      </c>
    </row>
    <row r="1131" spans="1:11" x14ac:dyDescent="0.25">
      <c r="A1131">
        <v>24219</v>
      </c>
      <c r="B1131" t="s">
        <v>916</v>
      </c>
      <c r="C1131" t="s">
        <v>1282</v>
      </c>
      <c r="D1131" t="s">
        <v>2332</v>
      </c>
      <c r="E1131">
        <v>15</v>
      </c>
      <c r="F1131">
        <v>0</v>
      </c>
      <c r="G1131">
        <v>0</v>
      </c>
      <c r="H1131">
        <v>0</v>
      </c>
      <c r="J1131">
        <v>15</v>
      </c>
      <c r="K1131">
        <f>COUNTIF(DF_Calculation!E:E,Table1[[#This Row],[ACS_CODE]])</f>
        <v>1</v>
      </c>
    </row>
    <row r="1132" spans="1:11" x14ac:dyDescent="0.25">
      <c r="A1132">
        <v>24464</v>
      </c>
      <c r="B1132" t="s">
        <v>916</v>
      </c>
      <c r="C1132" t="s">
        <v>1282</v>
      </c>
      <c r="D1132" t="s">
        <v>2333</v>
      </c>
      <c r="E1132">
        <v>15</v>
      </c>
      <c r="F1132">
        <v>0</v>
      </c>
      <c r="G1132">
        <v>0</v>
      </c>
      <c r="H1132">
        <v>167</v>
      </c>
      <c r="J1132">
        <v>182</v>
      </c>
      <c r="K1132">
        <f>COUNTIF(DF_Calculation!E:E,Table1[[#This Row],[ACS_CODE]])</f>
        <v>1</v>
      </c>
    </row>
    <row r="1133" spans="1:11" x14ac:dyDescent="0.25">
      <c r="A1133">
        <v>21451</v>
      </c>
      <c r="B1133" t="s">
        <v>916</v>
      </c>
      <c r="C1133" t="s">
        <v>1275</v>
      </c>
      <c r="D1133" t="s">
        <v>2334</v>
      </c>
      <c r="E1133">
        <v>15</v>
      </c>
      <c r="F1133">
        <v>0</v>
      </c>
      <c r="G1133">
        <v>0</v>
      </c>
      <c r="H1133">
        <v>126</v>
      </c>
      <c r="I1133">
        <v>15</v>
      </c>
      <c r="J1133">
        <v>156</v>
      </c>
      <c r="K1133">
        <f>COUNTIF(DF_Calculation!E:E,Table1[[#This Row],[ACS_CODE]])</f>
        <v>1</v>
      </c>
    </row>
    <row r="1134" spans="1:11" x14ac:dyDescent="0.25">
      <c r="A1134">
        <v>23639</v>
      </c>
      <c r="B1134" t="s">
        <v>916</v>
      </c>
      <c r="C1134" t="s">
        <v>921</v>
      </c>
      <c r="D1134" t="s">
        <v>1191</v>
      </c>
      <c r="E1134">
        <v>15</v>
      </c>
      <c r="F1134">
        <v>0</v>
      </c>
      <c r="G1134">
        <v>0</v>
      </c>
      <c r="H1134">
        <v>2409</v>
      </c>
      <c r="I1134">
        <v>15</v>
      </c>
      <c r="J1134">
        <v>2439</v>
      </c>
      <c r="K1134">
        <f>COUNTIF(DF_Calculation!E:E,Table1[[#This Row],[ACS_CODE]])</f>
        <v>1</v>
      </c>
    </row>
    <row r="1135" spans="1:11" x14ac:dyDescent="0.25">
      <c r="A1135">
        <v>23425</v>
      </c>
      <c r="B1135" t="s">
        <v>916</v>
      </c>
      <c r="C1135" t="s">
        <v>921</v>
      </c>
      <c r="D1135" t="s">
        <v>1426</v>
      </c>
      <c r="E1135">
        <v>15</v>
      </c>
      <c r="F1135">
        <v>0</v>
      </c>
      <c r="G1135">
        <v>0</v>
      </c>
      <c r="H1135">
        <v>156</v>
      </c>
      <c r="I1135">
        <v>2</v>
      </c>
      <c r="J1135">
        <v>173</v>
      </c>
      <c r="K1135">
        <f>COUNTIF(DF_Calculation!E:E,Table1[[#This Row],[ACS_CODE]])</f>
        <v>1</v>
      </c>
    </row>
    <row r="1136" spans="1:11" x14ac:dyDescent="0.25">
      <c r="A1136">
        <v>23351</v>
      </c>
      <c r="B1136" t="s">
        <v>916</v>
      </c>
      <c r="C1136" t="s">
        <v>921</v>
      </c>
      <c r="D1136" t="s">
        <v>1427</v>
      </c>
      <c r="E1136">
        <v>15</v>
      </c>
      <c r="F1136">
        <v>0</v>
      </c>
      <c r="G1136">
        <v>0</v>
      </c>
      <c r="H1136">
        <v>1</v>
      </c>
      <c r="J1136">
        <v>16</v>
      </c>
      <c r="K1136">
        <f>COUNTIF(DF_Calculation!E:E,Table1[[#This Row],[ACS_CODE]])</f>
        <v>1</v>
      </c>
    </row>
    <row r="1137" spans="1:11" x14ac:dyDescent="0.25">
      <c r="A1137">
        <v>22737</v>
      </c>
      <c r="B1137" t="s">
        <v>916</v>
      </c>
      <c r="C1137" t="s">
        <v>915</v>
      </c>
      <c r="D1137" t="s">
        <v>1192</v>
      </c>
      <c r="E1137">
        <v>15</v>
      </c>
      <c r="F1137">
        <v>0</v>
      </c>
      <c r="G1137">
        <v>0</v>
      </c>
      <c r="H1137">
        <v>266</v>
      </c>
      <c r="I1137">
        <v>17</v>
      </c>
      <c r="J1137">
        <v>298</v>
      </c>
      <c r="K1137">
        <f>COUNTIF(DF_Calculation!E:E,Table1[[#This Row],[ACS_CODE]])</f>
        <v>1</v>
      </c>
    </row>
    <row r="1138" spans="1:11" x14ac:dyDescent="0.25">
      <c r="A1138">
        <v>22717</v>
      </c>
      <c r="B1138" t="s">
        <v>916</v>
      </c>
      <c r="C1138" t="s">
        <v>915</v>
      </c>
      <c r="D1138" t="s">
        <v>1193</v>
      </c>
      <c r="E1138">
        <v>15</v>
      </c>
      <c r="F1138">
        <v>0</v>
      </c>
      <c r="G1138">
        <v>0</v>
      </c>
      <c r="H1138">
        <v>153</v>
      </c>
      <c r="I1138">
        <v>21</v>
      </c>
      <c r="J1138">
        <v>189</v>
      </c>
      <c r="K1138">
        <f>COUNTIF(DF_Calculation!E:E,Table1[[#This Row],[ACS_CODE]])</f>
        <v>1</v>
      </c>
    </row>
    <row r="1139" spans="1:11" x14ac:dyDescent="0.25">
      <c r="A1139">
        <v>63141</v>
      </c>
      <c r="B1139" t="s">
        <v>1270</v>
      </c>
      <c r="C1139" t="s">
        <v>1332</v>
      </c>
      <c r="D1139" t="s">
        <v>2335</v>
      </c>
      <c r="E1139">
        <v>15</v>
      </c>
      <c r="F1139">
        <v>0</v>
      </c>
      <c r="G1139">
        <v>0</v>
      </c>
      <c r="H1139">
        <v>11</v>
      </c>
      <c r="J1139">
        <v>26</v>
      </c>
      <c r="K1139">
        <f>COUNTIF(DF_Calculation!E:E,Table1[[#This Row],[ACS_CODE]])</f>
        <v>1</v>
      </c>
    </row>
    <row r="1140" spans="1:11" x14ac:dyDescent="0.25">
      <c r="A1140">
        <v>25361</v>
      </c>
      <c r="B1140" t="s">
        <v>916</v>
      </c>
      <c r="C1140" t="s">
        <v>1307</v>
      </c>
      <c r="D1140" t="s">
        <v>1428</v>
      </c>
      <c r="E1140">
        <v>15</v>
      </c>
      <c r="F1140">
        <v>0</v>
      </c>
      <c r="G1140">
        <v>0</v>
      </c>
      <c r="H1140">
        <v>665</v>
      </c>
      <c r="I1140">
        <v>10</v>
      </c>
      <c r="J1140">
        <v>690</v>
      </c>
      <c r="K1140">
        <f>COUNTIF(DF_Calculation!E:E,Table1[[#This Row],[ACS_CODE]])</f>
        <v>1</v>
      </c>
    </row>
    <row r="1141" spans="1:11" x14ac:dyDescent="0.25">
      <c r="A1141">
        <v>55171</v>
      </c>
      <c r="B1141" t="s">
        <v>1260</v>
      </c>
      <c r="C1141" t="s">
        <v>1291</v>
      </c>
      <c r="D1141" t="s">
        <v>2336</v>
      </c>
      <c r="E1141">
        <v>15</v>
      </c>
      <c r="F1141">
        <v>0</v>
      </c>
      <c r="G1141">
        <v>0</v>
      </c>
      <c r="H1141">
        <v>1538</v>
      </c>
      <c r="I1141">
        <v>10</v>
      </c>
      <c r="J1141">
        <v>1563</v>
      </c>
      <c r="K1141">
        <f>COUNTIF(DF_Calculation!E:E,Table1[[#This Row],[ACS_CODE]])</f>
        <v>1</v>
      </c>
    </row>
    <row r="1142" spans="1:11" x14ac:dyDescent="0.25">
      <c r="A1142">
        <v>62316</v>
      </c>
      <c r="B1142" t="s">
        <v>1270</v>
      </c>
      <c r="C1142" t="s">
        <v>1269</v>
      </c>
      <c r="D1142" t="s">
        <v>2337</v>
      </c>
      <c r="E1142">
        <v>15</v>
      </c>
      <c r="F1142">
        <v>0</v>
      </c>
      <c r="G1142">
        <v>0</v>
      </c>
      <c r="H1142">
        <v>1290</v>
      </c>
      <c r="I1142">
        <v>7</v>
      </c>
      <c r="J1142">
        <v>1312</v>
      </c>
      <c r="K1142">
        <f>COUNTIF(DF_Calculation!E:E,Table1[[#This Row],[ACS_CODE]])</f>
        <v>1</v>
      </c>
    </row>
    <row r="1143" spans="1:11" x14ac:dyDescent="0.25">
      <c r="A1143">
        <v>21436</v>
      </c>
      <c r="B1143" t="s">
        <v>916</v>
      </c>
      <c r="C1143" t="s">
        <v>1275</v>
      </c>
      <c r="D1143" t="s">
        <v>2338</v>
      </c>
      <c r="E1143">
        <v>14</v>
      </c>
      <c r="F1143">
        <v>0</v>
      </c>
      <c r="G1143">
        <v>0</v>
      </c>
      <c r="H1143">
        <v>379</v>
      </c>
      <c r="I1143">
        <v>12</v>
      </c>
      <c r="J1143">
        <v>405</v>
      </c>
      <c r="K1143">
        <f>COUNTIF(DF_Calculation!E:E,Table1[[#This Row],[ACS_CODE]])</f>
        <v>1</v>
      </c>
    </row>
    <row r="1144" spans="1:11" x14ac:dyDescent="0.25">
      <c r="A1144">
        <v>21235</v>
      </c>
      <c r="B1144" t="s">
        <v>916</v>
      </c>
      <c r="C1144" t="s">
        <v>1275</v>
      </c>
      <c r="D1144" t="s">
        <v>2339</v>
      </c>
      <c r="E1144">
        <v>14</v>
      </c>
      <c r="F1144">
        <v>0</v>
      </c>
      <c r="G1144">
        <v>0</v>
      </c>
      <c r="H1144">
        <v>257</v>
      </c>
      <c r="I1144">
        <v>10</v>
      </c>
      <c r="J1144">
        <v>281</v>
      </c>
      <c r="K1144">
        <f>COUNTIF(DF_Calculation!E:E,Table1[[#This Row],[ACS_CODE]])</f>
        <v>1</v>
      </c>
    </row>
    <row r="1145" spans="1:11" x14ac:dyDescent="0.25">
      <c r="A1145">
        <v>36161</v>
      </c>
      <c r="B1145" t="s">
        <v>919</v>
      </c>
      <c r="C1145" t="s">
        <v>982</v>
      </c>
      <c r="D1145" t="s">
        <v>1194</v>
      </c>
      <c r="E1145">
        <v>14</v>
      </c>
      <c r="F1145">
        <v>0</v>
      </c>
      <c r="G1145">
        <v>0</v>
      </c>
      <c r="H1145">
        <v>228</v>
      </c>
      <c r="I1145">
        <v>12</v>
      </c>
      <c r="J1145">
        <v>254</v>
      </c>
      <c r="K1145">
        <f>COUNTIF(DF_Calculation!E:E,Table1[[#This Row],[ACS_CODE]])</f>
        <v>1</v>
      </c>
    </row>
    <row r="1146" spans="1:11" x14ac:dyDescent="0.25">
      <c r="A1146">
        <v>22391</v>
      </c>
      <c r="B1146" t="s">
        <v>916</v>
      </c>
      <c r="C1146" t="s">
        <v>915</v>
      </c>
      <c r="D1146" t="s">
        <v>1195</v>
      </c>
      <c r="E1146">
        <v>14</v>
      </c>
      <c r="F1146">
        <v>0</v>
      </c>
      <c r="G1146">
        <v>0</v>
      </c>
      <c r="H1146">
        <v>765</v>
      </c>
      <c r="I1146">
        <v>273</v>
      </c>
      <c r="J1146">
        <v>1052</v>
      </c>
      <c r="K1146">
        <f>COUNTIF(DF_Calculation!E:E,Table1[[#This Row],[ACS_CODE]])</f>
        <v>1</v>
      </c>
    </row>
    <row r="1147" spans="1:11" x14ac:dyDescent="0.25">
      <c r="A1147">
        <v>22643</v>
      </c>
      <c r="B1147" t="s">
        <v>916</v>
      </c>
      <c r="C1147" t="s">
        <v>915</v>
      </c>
      <c r="D1147" t="s">
        <v>1196</v>
      </c>
      <c r="E1147">
        <v>14</v>
      </c>
      <c r="F1147">
        <v>0</v>
      </c>
      <c r="G1147">
        <v>0</v>
      </c>
      <c r="H1147">
        <v>966</v>
      </c>
      <c r="I1147">
        <v>43</v>
      </c>
      <c r="J1147">
        <v>1023</v>
      </c>
      <c r="K1147">
        <f>COUNTIF(DF_Calculation!E:E,Table1[[#This Row],[ACS_CODE]])</f>
        <v>1</v>
      </c>
    </row>
    <row r="1148" spans="1:11" x14ac:dyDescent="0.25">
      <c r="A1148">
        <v>37395</v>
      </c>
      <c r="B1148" t="s">
        <v>919</v>
      </c>
      <c r="C1148" t="s">
        <v>918</v>
      </c>
      <c r="D1148" t="s">
        <v>1197</v>
      </c>
      <c r="E1148">
        <v>14</v>
      </c>
      <c r="F1148">
        <v>0</v>
      </c>
      <c r="G1148">
        <v>0</v>
      </c>
      <c r="H1148">
        <v>773</v>
      </c>
      <c r="J1148">
        <v>787</v>
      </c>
      <c r="K1148">
        <f>COUNTIF(DF_Calculation!E:E,Table1[[#This Row],[ACS_CODE]])</f>
        <v>1</v>
      </c>
    </row>
    <row r="1149" spans="1:11" x14ac:dyDescent="0.25">
      <c r="A1149">
        <v>74168</v>
      </c>
      <c r="B1149" t="s">
        <v>937</v>
      </c>
      <c r="C1149" t="s">
        <v>1280</v>
      </c>
      <c r="D1149" t="s">
        <v>2340</v>
      </c>
      <c r="E1149">
        <v>14</v>
      </c>
      <c r="F1149">
        <v>0</v>
      </c>
      <c r="G1149">
        <v>0</v>
      </c>
      <c r="H1149">
        <v>869</v>
      </c>
      <c r="J1149">
        <v>883</v>
      </c>
      <c r="K1149">
        <f>COUNTIF(DF_Calculation!E:E,Table1[[#This Row],[ACS_CODE]])</f>
        <v>1</v>
      </c>
    </row>
    <row r="1150" spans="1:11" x14ac:dyDescent="0.25">
      <c r="A1150">
        <v>63161</v>
      </c>
      <c r="B1150" t="s">
        <v>1270</v>
      </c>
      <c r="C1150" t="s">
        <v>1332</v>
      </c>
      <c r="D1150" t="s">
        <v>2341</v>
      </c>
      <c r="E1150">
        <v>14</v>
      </c>
      <c r="F1150">
        <v>0</v>
      </c>
      <c r="G1150">
        <v>0</v>
      </c>
      <c r="H1150">
        <v>184</v>
      </c>
      <c r="I1150">
        <v>4</v>
      </c>
      <c r="J1150">
        <v>202</v>
      </c>
      <c r="K1150">
        <f>COUNTIF(DF_Calculation!E:E,Table1[[#This Row],[ACS_CODE]])</f>
        <v>1</v>
      </c>
    </row>
    <row r="1151" spans="1:11" x14ac:dyDescent="0.25">
      <c r="A1151">
        <v>62285</v>
      </c>
      <c r="B1151" t="s">
        <v>1270</v>
      </c>
      <c r="C1151" t="s">
        <v>1269</v>
      </c>
      <c r="D1151" t="s">
        <v>2342</v>
      </c>
      <c r="E1151">
        <v>14</v>
      </c>
      <c r="F1151">
        <v>0</v>
      </c>
      <c r="G1151">
        <v>0</v>
      </c>
      <c r="H1151">
        <v>480</v>
      </c>
      <c r="J1151">
        <v>494</v>
      </c>
      <c r="K1151">
        <f>COUNTIF(DF_Calculation!E:E,Table1[[#This Row],[ACS_CODE]])</f>
        <v>1</v>
      </c>
    </row>
    <row r="1152" spans="1:11" x14ac:dyDescent="0.25">
      <c r="A1152">
        <v>35435</v>
      </c>
      <c r="B1152" t="s">
        <v>991</v>
      </c>
      <c r="C1152" t="s">
        <v>991</v>
      </c>
      <c r="D1152" t="s">
        <v>2343</v>
      </c>
      <c r="E1152">
        <v>13</v>
      </c>
      <c r="F1152">
        <v>0</v>
      </c>
      <c r="G1152">
        <v>0</v>
      </c>
      <c r="H1152">
        <v>575</v>
      </c>
      <c r="J1152">
        <v>588</v>
      </c>
      <c r="K1152">
        <f>COUNTIF(DF_Calculation!E:E,Table1[[#This Row],[ACS_CODE]])</f>
        <v>1</v>
      </c>
    </row>
    <row r="1153" spans="1:11" x14ac:dyDescent="0.25">
      <c r="A1153">
        <v>35367</v>
      </c>
      <c r="B1153" t="s">
        <v>991</v>
      </c>
      <c r="C1153" t="s">
        <v>991</v>
      </c>
      <c r="D1153" t="s">
        <v>2344</v>
      </c>
      <c r="E1153">
        <v>13</v>
      </c>
      <c r="F1153">
        <v>0</v>
      </c>
      <c r="G1153">
        <v>0</v>
      </c>
      <c r="H1153">
        <v>167</v>
      </c>
      <c r="J1153">
        <v>180</v>
      </c>
      <c r="K1153">
        <f>COUNTIF(DF_Calculation!E:E,Table1[[#This Row],[ACS_CODE]])</f>
        <v>1</v>
      </c>
    </row>
    <row r="1154" spans="1:11" x14ac:dyDescent="0.25">
      <c r="A1154">
        <v>35406</v>
      </c>
      <c r="B1154" t="s">
        <v>991</v>
      </c>
      <c r="C1154" t="s">
        <v>991</v>
      </c>
      <c r="D1154" t="s">
        <v>2345</v>
      </c>
      <c r="E1154">
        <v>13</v>
      </c>
      <c r="F1154">
        <v>0</v>
      </c>
      <c r="G1154">
        <v>0</v>
      </c>
      <c r="H1154">
        <v>204</v>
      </c>
      <c r="J1154">
        <v>217</v>
      </c>
      <c r="K1154">
        <f>COUNTIF(DF_Calculation!E:E,Table1[[#This Row],[ACS_CODE]])</f>
        <v>1</v>
      </c>
    </row>
    <row r="1155" spans="1:11" x14ac:dyDescent="0.25">
      <c r="A1155">
        <v>24484</v>
      </c>
      <c r="B1155" t="s">
        <v>916</v>
      </c>
      <c r="C1155" t="s">
        <v>1282</v>
      </c>
      <c r="D1155" t="s">
        <v>2346</v>
      </c>
      <c r="E1155">
        <v>13</v>
      </c>
      <c r="F1155">
        <v>0</v>
      </c>
      <c r="G1155">
        <v>0</v>
      </c>
      <c r="H1155">
        <v>41</v>
      </c>
      <c r="I1155">
        <v>20</v>
      </c>
      <c r="J1155">
        <v>74</v>
      </c>
      <c r="K1155">
        <f>COUNTIF(DF_Calculation!E:E,Table1[[#This Row],[ACS_CODE]])</f>
        <v>1</v>
      </c>
    </row>
    <row r="1156" spans="1:11" x14ac:dyDescent="0.25">
      <c r="A1156">
        <v>21381</v>
      </c>
      <c r="B1156" t="s">
        <v>916</v>
      </c>
      <c r="C1156" t="s">
        <v>1275</v>
      </c>
      <c r="D1156" t="s">
        <v>2347</v>
      </c>
      <c r="E1156">
        <v>13</v>
      </c>
      <c r="F1156">
        <v>0</v>
      </c>
      <c r="G1156">
        <v>0</v>
      </c>
      <c r="H1156">
        <v>291</v>
      </c>
      <c r="I1156">
        <v>51</v>
      </c>
      <c r="J1156">
        <v>355</v>
      </c>
      <c r="K1156">
        <f>COUNTIF(DF_Calculation!E:E,Table1[[#This Row],[ACS_CODE]])</f>
        <v>1</v>
      </c>
    </row>
    <row r="1157" spans="1:11" x14ac:dyDescent="0.25">
      <c r="A1157">
        <v>21354</v>
      </c>
      <c r="B1157" t="s">
        <v>916</v>
      </c>
      <c r="C1157" t="s">
        <v>1275</v>
      </c>
      <c r="D1157" t="s">
        <v>2348</v>
      </c>
      <c r="E1157">
        <v>13</v>
      </c>
      <c r="F1157">
        <v>0</v>
      </c>
      <c r="G1157">
        <v>0</v>
      </c>
      <c r="H1157">
        <v>848</v>
      </c>
      <c r="I1157">
        <v>8</v>
      </c>
      <c r="J1157">
        <v>869</v>
      </c>
      <c r="K1157">
        <f>COUNTIF(DF_Calculation!E:E,Table1[[#This Row],[ACS_CODE]])</f>
        <v>1</v>
      </c>
    </row>
    <row r="1158" spans="1:11" x14ac:dyDescent="0.25">
      <c r="A1158">
        <v>21327</v>
      </c>
      <c r="B1158" t="s">
        <v>916</v>
      </c>
      <c r="C1158" t="s">
        <v>1275</v>
      </c>
      <c r="D1158" t="s">
        <v>2349</v>
      </c>
      <c r="E1158">
        <v>13</v>
      </c>
      <c r="F1158">
        <v>0</v>
      </c>
      <c r="G1158">
        <v>0</v>
      </c>
      <c r="H1158">
        <v>12</v>
      </c>
      <c r="I1158">
        <v>2</v>
      </c>
      <c r="J1158">
        <v>27</v>
      </c>
      <c r="K1158">
        <f>COUNTIF(DF_Calculation!E:E,Table1[[#This Row],[ACS_CODE]])</f>
        <v>1</v>
      </c>
    </row>
    <row r="1159" spans="1:11" x14ac:dyDescent="0.25">
      <c r="A1159">
        <v>21361</v>
      </c>
      <c r="B1159" t="s">
        <v>916</v>
      </c>
      <c r="C1159" t="s">
        <v>1275</v>
      </c>
      <c r="D1159" t="s">
        <v>2350</v>
      </c>
      <c r="E1159">
        <v>13</v>
      </c>
      <c r="F1159">
        <v>0</v>
      </c>
      <c r="G1159">
        <v>0</v>
      </c>
      <c r="H1159">
        <v>108</v>
      </c>
      <c r="I1159">
        <v>2</v>
      </c>
      <c r="J1159">
        <v>123</v>
      </c>
      <c r="K1159">
        <f>COUNTIF(DF_Calculation!E:E,Table1[[#This Row],[ACS_CODE]])</f>
        <v>1</v>
      </c>
    </row>
    <row r="1160" spans="1:11" x14ac:dyDescent="0.25">
      <c r="A1160">
        <v>54175</v>
      </c>
      <c r="B1160" t="s">
        <v>1201</v>
      </c>
      <c r="C1160" t="s">
        <v>1266</v>
      </c>
      <c r="D1160" t="s">
        <v>2351</v>
      </c>
      <c r="E1160">
        <v>13</v>
      </c>
      <c r="F1160">
        <v>0</v>
      </c>
      <c r="G1160">
        <v>0</v>
      </c>
      <c r="H1160">
        <v>159</v>
      </c>
      <c r="J1160">
        <v>172</v>
      </c>
      <c r="K1160">
        <f>COUNTIF(DF_Calculation!E:E,Table1[[#This Row],[ACS_CODE]])</f>
        <v>1</v>
      </c>
    </row>
    <row r="1161" spans="1:11" x14ac:dyDescent="0.25">
      <c r="A1161">
        <v>34273</v>
      </c>
      <c r="B1161" t="s">
        <v>919</v>
      </c>
      <c r="C1161" t="s">
        <v>931</v>
      </c>
      <c r="D1161" t="s">
        <v>1198</v>
      </c>
      <c r="E1161">
        <v>13</v>
      </c>
      <c r="F1161">
        <v>0</v>
      </c>
      <c r="G1161">
        <v>0</v>
      </c>
      <c r="H1161">
        <v>62</v>
      </c>
      <c r="J1161">
        <v>75</v>
      </c>
      <c r="K1161">
        <f>COUNTIF(DF_Calculation!E:E,Table1[[#This Row],[ACS_CODE]])</f>
        <v>1</v>
      </c>
    </row>
    <row r="1162" spans="1:11" x14ac:dyDescent="0.25">
      <c r="A1162">
        <v>54114</v>
      </c>
      <c r="B1162" t="s">
        <v>1201</v>
      </c>
      <c r="C1162" t="s">
        <v>1200</v>
      </c>
      <c r="D1162" t="s">
        <v>1199</v>
      </c>
      <c r="E1162">
        <v>13</v>
      </c>
      <c r="F1162">
        <v>0</v>
      </c>
      <c r="G1162">
        <v>0</v>
      </c>
      <c r="H1162">
        <v>4</v>
      </c>
      <c r="I1162">
        <v>10</v>
      </c>
      <c r="J1162">
        <v>27</v>
      </c>
      <c r="K1162">
        <f>COUNTIF(DF_Calculation!E:E,Table1[[#This Row],[ACS_CODE]])</f>
        <v>1</v>
      </c>
    </row>
    <row r="1163" spans="1:11" x14ac:dyDescent="0.25">
      <c r="A1163">
        <v>22777</v>
      </c>
      <c r="B1163" t="s">
        <v>916</v>
      </c>
      <c r="C1163" t="s">
        <v>915</v>
      </c>
      <c r="D1163" t="s">
        <v>1202</v>
      </c>
      <c r="E1163">
        <v>13</v>
      </c>
      <c r="F1163">
        <v>0</v>
      </c>
      <c r="G1163">
        <v>0</v>
      </c>
      <c r="H1163">
        <v>270</v>
      </c>
      <c r="I1163">
        <v>25</v>
      </c>
      <c r="J1163">
        <v>308</v>
      </c>
      <c r="K1163">
        <f>COUNTIF(DF_Calculation!E:E,Table1[[#This Row],[ACS_CODE]])</f>
        <v>1</v>
      </c>
    </row>
    <row r="1164" spans="1:11" x14ac:dyDescent="0.25">
      <c r="A1164">
        <v>26289</v>
      </c>
      <c r="B1164" t="s">
        <v>916</v>
      </c>
      <c r="C1164" t="s">
        <v>1295</v>
      </c>
      <c r="D1164" t="s">
        <v>2352</v>
      </c>
      <c r="E1164">
        <v>13</v>
      </c>
      <c r="F1164">
        <v>0</v>
      </c>
      <c r="G1164">
        <v>0</v>
      </c>
      <c r="H1164">
        <v>174</v>
      </c>
      <c r="I1164">
        <v>1</v>
      </c>
      <c r="J1164">
        <v>188</v>
      </c>
      <c r="K1164">
        <f>COUNTIF(DF_Calculation!E:E,Table1[[#This Row],[ACS_CODE]])</f>
        <v>1</v>
      </c>
    </row>
    <row r="1165" spans="1:11" x14ac:dyDescent="0.25">
      <c r="A1165">
        <v>26269</v>
      </c>
      <c r="B1165" t="s">
        <v>916</v>
      </c>
      <c r="C1165" t="s">
        <v>1295</v>
      </c>
      <c r="D1165" t="s">
        <v>2353</v>
      </c>
      <c r="E1165">
        <v>13</v>
      </c>
      <c r="F1165">
        <v>0</v>
      </c>
      <c r="G1165">
        <v>0</v>
      </c>
      <c r="H1165">
        <v>622</v>
      </c>
      <c r="I1165">
        <v>22</v>
      </c>
      <c r="J1165">
        <v>657</v>
      </c>
      <c r="K1165">
        <f>COUNTIF(DF_Calculation!E:E,Table1[[#This Row],[ACS_CODE]])</f>
        <v>1</v>
      </c>
    </row>
    <row r="1166" spans="1:11" x14ac:dyDescent="0.25">
      <c r="A1166">
        <v>26381</v>
      </c>
      <c r="B1166" t="s">
        <v>916</v>
      </c>
      <c r="C1166" t="s">
        <v>1295</v>
      </c>
      <c r="D1166" t="s">
        <v>2354</v>
      </c>
      <c r="E1166">
        <v>13</v>
      </c>
      <c r="F1166">
        <v>0</v>
      </c>
      <c r="G1166">
        <v>0</v>
      </c>
      <c r="H1166">
        <v>477</v>
      </c>
      <c r="I1166">
        <v>8</v>
      </c>
      <c r="J1166">
        <v>498</v>
      </c>
      <c r="K1166">
        <f>COUNTIF(DF_Calculation!E:E,Table1[[#This Row],[ACS_CODE]])</f>
        <v>1</v>
      </c>
    </row>
    <row r="1167" spans="1:11" x14ac:dyDescent="0.25">
      <c r="A1167">
        <v>26241</v>
      </c>
      <c r="B1167" t="s">
        <v>916</v>
      </c>
      <c r="C1167" t="s">
        <v>1295</v>
      </c>
      <c r="D1167" t="s">
        <v>2355</v>
      </c>
      <c r="E1167">
        <v>13</v>
      </c>
      <c r="F1167">
        <v>0</v>
      </c>
      <c r="G1167">
        <v>0</v>
      </c>
      <c r="H1167">
        <v>700</v>
      </c>
      <c r="I1167">
        <v>6</v>
      </c>
      <c r="J1167">
        <v>719</v>
      </c>
      <c r="K1167">
        <f>COUNTIF(DF_Calculation!E:E,Table1[[#This Row],[ACS_CODE]])</f>
        <v>1</v>
      </c>
    </row>
    <row r="1168" spans="1:11" x14ac:dyDescent="0.25">
      <c r="A1168">
        <v>63127</v>
      </c>
      <c r="B1168" t="s">
        <v>1270</v>
      </c>
      <c r="C1168" t="s">
        <v>1332</v>
      </c>
      <c r="D1168" t="s">
        <v>2356</v>
      </c>
      <c r="E1168">
        <v>13</v>
      </c>
      <c r="F1168">
        <v>0</v>
      </c>
      <c r="G1168">
        <v>0</v>
      </c>
      <c r="H1168">
        <v>406</v>
      </c>
      <c r="J1168">
        <v>419</v>
      </c>
      <c r="K1168">
        <f>COUNTIF(DF_Calculation!E:E,Table1[[#This Row],[ACS_CODE]])</f>
        <v>1</v>
      </c>
    </row>
    <row r="1169" spans="1:11" x14ac:dyDescent="0.25">
      <c r="A1169">
        <v>63231</v>
      </c>
      <c r="B1169" t="s">
        <v>1270</v>
      </c>
      <c r="C1169" t="s">
        <v>1332</v>
      </c>
      <c r="D1169" t="s">
        <v>2357</v>
      </c>
      <c r="E1169">
        <v>13</v>
      </c>
      <c r="F1169">
        <v>0</v>
      </c>
      <c r="G1169">
        <v>0</v>
      </c>
      <c r="H1169">
        <v>103</v>
      </c>
      <c r="I1169">
        <v>2</v>
      </c>
      <c r="J1169">
        <v>118</v>
      </c>
      <c r="K1169">
        <f>COUNTIF(DF_Calculation!E:E,Table1[[#This Row],[ACS_CODE]])</f>
        <v>1</v>
      </c>
    </row>
    <row r="1170" spans="1:11" x14ac:dyDescent="0.25">
      <c r="A1170">
        <v>61383</v>
      </c>
      <c r="B1170" t="s">
        <v>1270</v>
      </c>
      <c r="C1170" t="s">
        <v>1288</v>
      </c>
      <c r="D1170" t="s">
        <v>2358</v>
      </c>
      <c r="E1170">
        <v>13</v>
      </c>
      <c r="F1170">
        <v>1221</v>
      </c>
      <c r="G1170">
        <v>0</v>
      </c>
      <c r="H1170">
        <v>672</v>
      </c>
      <c r="I1170">
        <v>7</v>
      </c>
      <c r="J1170">
        <v>1913</v>
      </c>
      <c r="K1170">
        <f>COUNTIF(DF_Calculation!E:E,Table1[[#This Row],[ACS_CODE]])</f>
        <v>1</v>
      </c>
    </row>
    <row r="1171" spans="1:11" x14ac:dyDescent="0.25">
      <c r="A1171">
        <v>62233</v>
      </c>
      <c r="B1171" t="s">
        <v>1270</v>
      </c>
      <c r="C1171" t="s">
        <v>1269</v>
      </c>
      <c r="D1171" t="s">
        <v>2359</v>
      </c>
      <c r="E1171">
        <v>13</v>
      </c>
      <c r="F1171">
        <v>0</v>
      </c>
      <c r="G1171">
        <v>0</v>
      </c>
      <c r="H1171">
        <v>147</v>
      </c>
      <c r="I1171">
        <v>3</v>
      </c>
      <c r="J1171">
        <v>163</v>
      </c>
      <c r="K1171">
        <f>COUNTIF(DF_Calculation!E:E,Table1[[#This Row],[ACS_CODE]])</f>
        <v>1</v>
      </c>
    </row>
    <row r="1172" spans="1:11" x14ac:dyDescent="0.25">
      <c r="A1172">
        <v>33153</v>
      </c>
      <c r="B1172" t="s">
        <v>919</v>
      </c>
      <c r="C1172" t="s">
        <v>1297</v>
      </c>
      <c r="D1172" t="s">
        <v>2360</v>
      </c>
      <c r="E1172">
        <v>13</v>
      </c>
      <c r="F1172">
        <v>0</v>
      </c>
      <c r="G1172">
        <v>0</v>
      </c>
      <c r="H1172">
        <v>548</v>
      </c>
      <c r="I1172">
        <v>14</v>
      </c>
      <c r="J1172">
        <v>575</v>
      </c>
      <c r="K1172">
        <f>COUNTIF(DF_Calculation!E:E,Table1[[#This Row],[ACS_CODE]])</f>
        <v>1</v>
      </c>
    </row>
    <row r="1173" spans="1:11" x14ac:dyDescent="0.25">
      <c r="A1173">
        <v>35251</v>
      </c>
      <c r="B1173" t="s">
        <v>991</v>
      </c>
      <c r="C1173" t="s">
        <v>991</v>
      </c>
      <c r="D1173" t="s">
        <v>1429</v>
      </c>
      <c r="E1173">
        <v>12</v>
      </c>
      <c r="F1173">
        <v>0</v>
      </c>
      <c r="G1173">
        <v>0</v>
      </c>
      <c r="H1173">
        <v>257</v>
      </c>
      <c r="J1173">
        <v>269</v>
      </c>
      <c r="K1173">
        <f>COUNTIF(DF_Calculation!E:E,Table1[[#This Row],[ACS_CODE]])</f>
        <v>1</v>
      </c>
    </row>
    <row r="1174" spans="1:11" x14ac:dyDescent="0.25">
      <c r="A1174">
        <v>24474</v>
      </c>
      <c r="B1174" t="s">
        <v>916</v>
      </c>
      <c r="C1174" t="s">
        <v>1282</v>
      </c>
      <c r="D1174" t="s">
        <v>2361</v>
      </c>
      <c r="E1174">
        <v>12</v>
      </c>
      <c r="F1174">
        <v>0</v>
      </c>
      <c r="G1174">
        <v>0</v>
      </c>
      <c r="H1174">
        <v>12</v>
      </c>
      <c r="J1174">
        <v>24</v>
      </c>
      <c r="K1174">
        <f>COUNTIF(DF_Calculation!E:E,Table1[[#This Row],[ACS_CODE]])</f>
        <v>1</v>
      </c>
    </row>
    <row r="1175" spans="1:11" x14ac:dyDescent="0.25">
      <c r="A1175">
        <v>10250</v>
      </c>
      <c r="B1175" t="s">
        <v>1315</v>
      </c>
      <c r="C1175" t="s">
        <v>1315</v>
      </c>
      <c r="D1175" t="s">
        <v>2362</v>
      </c>
      <c r="E1175">
        <v>12</v>
      </c>
      <c r="F1175">
        <v>0</v>
      </c>
      <c r="G1175">
        <v>0</v>
      </c>
      <c r="H1175">
        <v>890</v>
      </c>
      <c r="I1175">
        <v>622</v>
      </c>
      <c r="J1175">
        <v>1524</v>
      </c>
      <c r="K1175">
        <f>COUNTIF(DF_Calculation!E:E,Table1[[#This Row],[ACS_CODE]])</f>
        <v>1</v>
      </c>
    </row>
    <row r="1176" spans="1:11" x14ac:dyDescent="0.25">
      <c r="A1176">
        <v>23453</v>
      </c>
      <c r="B1176" t="s">
        <v>916</v>
      </c>
      <c r="C1176" t="s">
        <v>921</v>
      </c>
      <c r="D1176" t="s">
        <v>1203</v>
      </c>
      <c r="E1176">
        <v>12</v>
      </c>
      <c r="F1176">
        <v>0</v>
      </c>
      <c r="G1176">
        <v>0</v>
      </c>
      <c r="H1176">
        <v>156</v>
      </c>
      <c r="J1176">
        <v>168</v>
      </c>
      <c r="K1176">
        <f>COUNTIF(DF_Calculation!E:E,Table1[[#This Row],[ACS_CODE]])</f>
        <v>1</v>
      </c>
    </row>
    <row r="1177" spans="1:11" x14ac:dyDescent="0.25">
      <c r="A1177">
        <v>22479</v>
      </c>
      <c r="B1177" t="s">
        <v>916</v>
      </c>
      <c r="C1177" t="s">
        <v>915</v>
      </c>
      <c r="D1177" t="s">
        <v>1430</v>
      </c>
      <c r="E1177">
        <v>12</v>
      </c>
      <c r="F1177">
        <v>0</v>
      </c>
      <c r="G1177">
        <v>0</v>
      </c>
      <c r="H1177">
        <v>966</v>
      </c>
      <c r="I1177">
        <v>245</v>
      </c>
      <c r="J1177">
        <v>1223</v>
      </c>
      <c r="K1177">
        <f>COUNTIF(DF_Calculation!E:E,Table1[[#This Row],[ACS_CODE]])</f>
        <v>1</v>
      </c>
    </row>
    <row r="1178" spans="1:11" x14ac:dyDescent="0.25">
      <c r="A1178">
        <v>22383</v>
      </c>
      <c r="B1178" t="s">
        <v>916</v>
      </c>
      <c r="C1178" t="s">
        <v>915</v>
      </c>
      <c r="D1178" t="s">
        <v>1431</v>
      </c>
      <c r="E1178">
        <v>12</v>
      </c>
      <c r="F1178">
        <v>0</v>
      </c>
      <c r="G1178">
        <v>0</v>
      </c>
      <c r="H1178">
        <v>3142</v>
      </c>
      <c r="I1178">
        <v>457</v>
      </c>
      <c r="J1178">
        <v>3611</v>
      </c>
      <c r="K1178">
        <f>COUNTIF(DF_Calculation!E:E,Table1[[#This Row],[ACS_CODE]])</f>
        <v>1</v>
      </c>
    </row>
    <row r="1179" spans="1:11" x14ac:dyDescent="0.25">
      <c r="A1179">
        <v>63254</v>
      </c>
      <c r="B1179" t="s">
        <v>1270</v>
      </c>
      <c r="C1179" t="s">
        <v>1332</v>
      </c>
      <c r="D1179" t="s">
        <v>2363</v>
      </c>
      <c r="E1179">
        <v>12</v>
      </c>
      <c r="F1179">
        <v>0</v>
      </c>
      <c r="G1179">
        <v>0</v>
      </c>
      <c r="H1179">
        <v>395</v>
      </c>
      <c r="I1179">
        <v>6</v>
      </c>
      <c r="J1179">
        <v>413</v>
      </c>
      <c r="K1179">
        <f>COUNTIF(DF_Calculation!E:E,Table1[[#This Row],[ACS_CODE]])</f>
        <v>1</v>
      </c>
    </row>
    <row r="1180" spans="1:11" x14ac:dyDescent="0.25">
      <c r="A1180">
        <v>25369</v>
      </c>
      <c r="B1180" t="s">
        <v>916</v>
      </c>
      <c r="C1180" t="s">
        <v>1307</v>
      </c>
      <c r="D1180" t="s">
        <v>2364</v>
      </c>
      <c r="E1180">
        <v>12</v>
      </c>
      <c r="F1180">
        <v>0</v>
      </c>
      <c r="G1180">
        <v>0</v>
      </c>
      <c r="H1180">
        <v>443</v>
      </c>
      <c r="I1180">
        <v>15</v>
      </c>
      <c r="J1180">
        <v>470</v>
      </c>
      <c r="K1180">
        <f>COUNTIF(DF_Calculation!E:E,Table1[[#This Row],[ACS_CODE]])</f>
        <v>1</v>
      </c>
    </row>
    <row r="1181" spans="1:11" x14ac:dyDescent="0.25">
      <c r="A1181">
        <v>73293</v>
      </c>
      <c r="B1181" t="s">
        <v>937</v>
      </c>
      <c r="C1181" t="s">
        <v>1278</v>
      </c>
      <c r="D1181" t="s">
        <v>2365</v>
      </c>
      <c r="E1181">
        <v>12</v>
      </c>
      <c r="F1181">
        <v>0</v>
      </c>
      <c r="G1181">
        <v>0</v>
      </c>
      <c r="H1181">
        <v>0</v>
      </c>
      <c r="J1181">
        <v>12</v>
      </c>
      <c r="K1181">
        <f>COUNTIF(DF_Calculation!E:E,Table1[[#This Row],[ACS_CODE]])</f>
        <v>1</v>
      </c>
    </row>
    <row r="1182" spans="1:11" x14ac:dyDescent="0.25">
      <c r="A1182">
        <v>62249</v>
      </c>
      <c r="B1182" t="s">
        <v>1270</v>
      </c>
      <c r="C1182" t="s">
        <v>1269</v>
      </c>
      <c r="D1182" t="s">
        <v>1432</v>
      </c>
      <c r="E1182">
        <v>12</v>
      </c>
      <c r="F1182">
        <v>0</v>
      </c>
      <c r="G1182">
        <v>0</v>
      </c>
      <c r="H1182">
        <v>121</v>
      </c>
      <c r="I1182">
        <v>1</v>
      </c>
      <c r="J1182">
        <v>134</v>
      </c>
      <c r="K1182">
        <f>COUNTIF(DF_Calculation!E:E,Table1[[#This Row],[ACS_CODE]])</f>
        <v>1</v>
      </c>
    </row>
    <row r="1183" spans="1:11" x14ac:dyDescent="0.25">
      <c r="A1183">
        <v>35371</v>
      </c>
      <c r="B1183" t="s">
        <v>991</v>
      </c>
      <c r="C1183" t="s">
        <v>991</v>
      </c>
      <c r="D1183" t="s">
        <v>2366</v>
      </c>
      <c r="E1183">
        <v>11</v>
      </c>
      <c r="F1183">
        <v>0</v>
      </c>
      <c r="G1183">
        <v>0</v>
      </c>
      <c r="H1183">
        <v>242</v>
      </c>
      <c r="I1183">
        <v>3</v>
      </c>
      <c r="J1183">
        <v>256</v>
      </c>
      <c r="K1183">
        <f>COUNTIF(DF_Calculation!E:E,Table1[[#This Row],[ACS_CODE]])</f>
        <v>1</v>
      </c>
    </row>
    <row r="1184" spans="1:11" x14ac:dyDescent="0.25">
      <c r="A1184">
        <v>21461</v>
      </c>
      <c r="B1184" t="s">
        <v>916</v>
      </c>
      <c r="C1184" t="s">
        <v>1275</v>
      </c>
      <c r="D1184" t="s">
        <v>2367</v>
      </c>
      <c r="E1184">
        <v>11</v>
      </c>
      <c r="F1184">
        <v>0</v>
      </c>
      <c r="G1184">
        <v>0</v>
      </c>
      <c r="H1184">
        <v>161</v>
      </c>
      <c r="I1184">
        <v>14</v>
      </c>
      <c r="J1184">
        <v>186</v>
      </c>
      <c r="K1184">
        <f>COUNTIF(DF_Calculation!E:E,Table1[[#This Row],[ACS_CODE]])</f>
        <v>1</v>
      </c>
    </row>
    <row r="1185" spans="1:11" x14ac:dyDescent="0.25">
      <c r="A1185">
        <v>53421</v>
      </c>
      <c r="B1185" t="s">
        <v>1201</v>
      </c>
      <c r="C1185" t="s">
        <v>1266</v>
      </c>
      <c r="D1185" t="s">
        <v>1433</v>
      </c>
      <c r="E1185">
        <v>11</v>
      </c>
      <c r="F1185">
        <v>0</v>
      </c>
      <c r="G1185">
        <v>0</v>
      </c>
      <c r="H1185">
        <v>228</v>
      </c>
      <c r="J1185">
        <v>239</v>
      </c>
      <c r="K1185">
        <f>COUNTIF(DF_Calculation!E:E,Table1[[#This Row],[ACS_CODE]])</f>
        <v>1</v>
      </c>
    </row>
    <row r="1186" spans="1:11" x14ac:dyDescent="0.25">
      <c r="A1186">
        <v>22367</v>
      </c>
      <c r="B1186" t="s">
        <v>916</v>
      </c>
      <c r="C1186" t="s">
        <v>915</v>
      </c>
      <c r="D1186" t="s">
        <v>1434</v>
      </c>
      <c r="E1186">
        <v>11</v>
      </c>
      <c r="F1186">
        <v>0</v>
      </c>
      <c r="G1186">
        <v>0</v>
      </c>
      <c r="H1186">
        <v>2015</v>
      </c>
      <c r="I1186">
        <v>198</v>
      </c>
      <c r="J1186">
        <v>2224</v>
      </c>
      <c r="K1186">
        <f>COUNTIF(DF_Calculation!E:E,Table1[[#This Row],[ACS_CODE]])</f>
        <v>1</v>
      </c>
    </row>
    <row r="1187" spans="1:11" x14ac:dyDescent="0.25">
      <c r="A1187">
        <v>37375</v>
      </c>
      <c r="B1187" t="s">
        <v>919</v>
      </c>
      <c r="C1187" t="s">
        <v>918</v>
      </c>
      <c r="D1187" t="s">
        <v>1435</v>
      </c>
      <c r="E1187">
        <v>11</v>
      </c>
      <c r="F1187">
        <v>0</v>
      </c>
      <c r="G1187">
        <v>0</v>
      </c>
      <c r="H1187">
        <v>57</v>
      </c>
      <c r="I1187">
        <v>1</v>
      </c>
      <c r="J1187">
        <v>69</v>
      </c>
      <c r="K1187">
        <f>COUNTIF(DF_Calculation!E:E,Table1[[#This Row],[ACS_CODE]])</f>
        <v>1</v>
      </c>
    </row>
    <row r="1188" spans="1:11" x14ac:dyDescent="0.25">
      <c r="A1188">
        <v>74179</v>
      </c>
      <c r="B1188" t="s">
        <v>937</v>
      </c>
      <c r="C1188" t="s">
        <v>1280</v>
      </c>
      <c r="D1188" t="s">
        <v>2368</v>
      </c>
      <c r="E1188">
        <v>11</v>
      </c>
      <c r="F1188">
        <v>0</v>
      </c>
      <c r="G1188">
        <v>0</v>
      </c>
      <c r="H1188">
        <v>0</v>
      </c>
      <c r="J1188">
        <v>11</v>
      </c>
      <c r="K1188">
        <f>COUNTIF(DF_Calculation!E:E,Table1[[#This Row],[ACS_CODE]])</f>
        <v>1</v>
      </c>
    </row>
    <row r="1189" spans="1:11" x14ac:dyDescent="0.25">
      <c r="A1189">
        <v>74181</v>
      </c>
      <c r="B1189" t="s">
        <v>937</v>
      </c>
      <c r="C1189" t="s">
        <v>1280</v>
      </c>
      <c r="D1189" t="s">
        <v>1436</v>
      </c>
      <c r="E1189">
        <v>11</v>
      </c>
      <c r="F1189">
        <v>0</v>
      </c>
      <c r="G1189">
        <v>0</v>
      </c>
      <c r="H1189">
        <v>4</v>
      </c>
      <c r="J1189">
        <v>15</v>
      </c>
      <c r="K1189">
        <f>COUNTIF(DF_Calculation!E:E,Table1[[#This Row],[ACS_CODE]])</f>
        <v>1</v>
      </c>
    </row>
    <row r="1190" spans="1:11" x14ac:dyDescent="0.25">
      <c r="A1190">
        <v>63234</v>
      </c>
      <c r="B1190" t="s">
        <v>1270</v>
      </c>
      <c r="C1190" t="s">
        <v>1332</v>
      </c>
      <c r="D1190" t="s">
        <v>1437</v>
      </c>
      <c r="E1190">
        <v>11</v>
      </c>
      <c r="F1190">
        <v>0</v>
      </c>
      <c r="G1190">
        <v>0</v>
      </c>
      <c r="H1190">
        <v>206</v>
      </c>
      <c r="I1190">
        <v>6</v>
      </c>
      <c r="J1190">
        <v>223</v>
      </c>
      <c r="K1190">
        <f>COUNTIF(DF_Calculation!E:E,Table1[[#This Row],[ACS_CODE]])</f>
        <v>1</v>
      </c>
    </row>
    <row r="1191" spans="1:11" x14ac:dyDescent="0.25">
      <c r="A1191">
        <v>63114</v>
      </c>
      <c r="B1191" t="s">
        <v>1270</v>
      </c>
      <c r="C1191" t="s">
        <v>1332</v>
      </c>
      <c r="D1191" t="s">
        <v>2369</v>
      </c>
      <c r="E1191">
        <v>11</v>
      </c>
      <c r="F1191">
        <v>0</v>
      </c>
      <c r="G1191">
        <v>0</v>
      </c>
      <c r="H1191">
        <v>541</v>
      </c>
      <c r="I1191">
        <v>5</v>
      </c>
      <c r="J1191">
        <v>557</v>
      </c>
      <c r="K1191">
        <f>COUNTIF(DF_Calculation!E:E,Table1[[#This Row],[ACS_CODE]])</f>
        <v>1</v>
      </c>
    </row>
    <row r="1192" spans="1:11" x14ac:dyDescent="0.25">
      <c r="A1192">
        <v>63177</v>
      </c>
      <c r="B1192" t="s">
        <v>1270</v>
      </c>
      <c r="C1192" t="s">
        <v>1332</v>
      </c>
      <c r="D1192" t="s">
        <v>2370</v>
      </c>
      <c r="E1192">
        <v>11</v>
      </c>
      <c r="F1192">
        <v>0</v>
      </c>
      <c r="G1192">
        <v>0</v>
      </c>
      <c r="H1192">
        <v>69</v>
      </c>
      <c r="J1192">
        <v>80</v>
      </c>
      <c r="K1192">
        <f>COUNTIF(DF_Calculation!E:E,Table1[[#This Row],[ACS_CODE]])</f>
        <v>1</v>
      </c>
    </row>
    <row r="1193" spans="1:11" x14ac:dyDescent="0.25">
      <c r="A1193">
        <v>62318</v>
      </c>
      <c r="B1193" t="s">
        <v>1270</v>
      </c>
      <c r="C1193" t="s">
        <v>1269</v>
      </c>
      <c r="D1193" t="s">
        <v>1438</v>
      </c>
      <c r="E1193">
        <v>11</v>
      </c>
      <c r="F1193">
        <v>0</v>
      </c>
      <c r="G1193">
        <v>0</v>
      </c>
      <c r="H1193">
        <v>0</v>
      </c>
      <c r="J1193">
        <v>11</v>
      </c>
      <c r="K1193">
        <f>COUNTIF(DF_Calculation!E:E,Table1[[#This Row],[ACS_CODE]])</f>
        <v>1</v>
      </c>
    </row>
    <row r="1194" spans="1:11" x14ac:dyDescent="0.25">
      <c r="A1194">
        <v>35153</v>
      </c>
      <c r="B1194" t="s">
        <v>991</v>
      </c>
      <c r="C1194" t="s">
        <v>991</v>
      </c>
      <c r="D1194" t="s">
        <v>2371</v>
      </c>
      <c r="E1194">
        <v>10</v>
      </c>
      <c r="F1194">
        <v>0</v>
      </c>
      <c r="G1194">
        <v>0</v>
      </c>
      <c r="H1194">
        <v>621</v>
      </c>
      <c r="I1194">
        <v>5</v>
      </c>
      <c r="J1194">
        <v>636</v>
      </c>
      <c r="K1194">
        <f>COUNTIF(DF_Calculation!E:E,Table1[[#This Row],[ACS_CODE]])</f>
        <v>1</v>
      </c>
    </row>
    <row r="1195" spans="1:11" x14ac:dyDescent="0.25">
      <c r="A1195">
        <v>36144</v>
      </c>
      <c r="B1195" t="s">
        <v>919</v>
      </c>
      <c r="C1195" t="s">
        <v>982</v>
      </c>
      <c r="D1195" t="s">
        <v>1204</v>
      </c>
      <c r="E1195">
        <v>10</v>
      </c>
      <c r="F1195">
        <v>0</v>
      </c>
      <c r="G1195">
        <v>0</v>
      </c>
      <c r="H1195">
        <v>99</v>
      </c>
      <c r="J1195">
        <v>109</v>
      </c>
      <c r="K1195">
        <f>COUNTIF(DF_Calculation!E:E,Table1[[#This Row],[ACS_CODE]])</f>
        <v>1</v>
      </c>
    </row>
    <row r="1196" spans="1:11" x14ac:dyDescent="0.25">
      <c r="A1196">
        <v>34257</v>
      </c>
      <c r="B1196" t="s">
        <v>919</v>
      </c>
      <c r="C1196" t="s">
        <v>931</v>
      </c>
      <c r="D1196" t="s">
        <v>1205</v>
      </c>
      <c r="E1196">
        <v>10</v>
      </c>
      <c r="F1196">
        <v>0</v>
      </c>
      <c r="G1196">
        <v>0</v>
      </c>
      <c r="H1196">
        <v>86</v>
      </c>
      <c r="J1196">
        <v>96</v>
      </c>
      <c r="K1196">
        <f>COUNTIF(DF_Calculation!E:E,Table1[[#This Row],[ACS_CODE]])</f>
        <v>1</v>
      </c>
    </row>
    <row r="1197" spans="1:11" x14ac:dyDescent="0.25">
      <c r="A1197">
        <v>34261</v>
      </c>
      <c r="B1197" t="s">
        <v>919</v>
      </c>
      <c r="C1197" t="s">
        <v>931</v>
      </c>
      <c r="D1197" t="s">
        <v>1206</v>
      </c>
      <c r="E1197">
        <v>10</v>
      </c>
      <c r="F1197">
        <v>0</v>
      </c>
      <c r="G1197">
        <v>0</v>
      </c>
      <c r="H1197">
        <v>403</v>
      </c>
      <c r="I1197">
        <v>8</v>
      </c>
      <c r="J1197">
        <v>421</v>
      </c>
      <c r="K1197">
        <f>COUNTIF(DF_Calculation!E:E,Table1[[#This Row],[ACS_CODE]])</f>
        <v>1</v>
      </c>
    </row>
    <row r="1198" spans="1:11" x14ac:dyDescent="0.25">
      <c r="A1198">
        <v>22527</v>
      </c>
      <c r="B1198" t="s">
        <v>916</v>
      </c>
      <c r="C1198" t="s">
        <v>915</v>
      </c>
      <c r="D1198" t="s">
        <v>1207</v>
      </c>
      <c r="E1198">
        <v>10</v>
      </c>
      <c r="F1198">
        <v>0</v>
      </c>
      <c r="G1198">
        <v>0</v>
      </c>
      <c r="H1198">
        <v>595</v>
      </c>
      <c r="I1198">
        <v>30</v>
      </c>
      <c r="J1198">
        <v>635</v>
      </c>
      <c r="K1198">
        <f>COUNTIF(DF_Calculation!E:E,Table1[[#This Row],[ACS_CODE]])</f>
        <v>1</v>
      </c>
    </row>
    <row r="1199" spans="1:11" x14ac:dyDescent="0.25">
      <c r="A1199">
        <v>22794</v>
      </c>
      <c r="B1199" t="s">
        <v>916</v>
      </c>
      <c r="C1199" t="s">
        <v>915</v>
      </c>
      <c r="D1199" t="s">
        <v>1208</v>
      </c>
      <c r="E1199">
        <v>10</v>
      </c>
      <c r="F1199">
        <v>0</v>
      </c>
      <c r="G1199">
        <v>0</v>
      </c>
      <c r="H1199">
        <v>273</v>
      </c>
      <c r="I1199">
        <v>19</v>
      </c>
      <c r="J1199">
        <v>302</v>
      </c>
      <c r="K1199">
        <f>COUNTIF(DF_Calculation!E:E,Table1[[#This Row],[ACS_CODE]])</f>
        <v>1</v>
      </c>
    </row>
    <row r="1200" spans="1:11" x14ac:dyDescent="0.25">
      <c r="A1200">
        <v>74175</v>
      </c>
      <c r="B1200" t="s">
        <v>937</v>
      </c>
      <c r="C1200" t="s">
        <v>1280</v>
      </c>
      <c r="D1200" t="s">
        <v>2372</v>
      </c>
      <c r="E1200">
        <v>10</v>
      </c>
      <c r="F1200">
        <v>0</v>
      </c>
      <c r="G1200">
        <v>0</v>
      </c>
      <c r="H1200">
        <v>1266</v>
      </c>
      <c r="I1200">
        <v>25</v>
      </c>
      <c r="J1200">
        <v>1301</v>
      </c>
      <c r="K1200">
        <f>COUNTIF(DF_Calculation!E:E,Table1[[#This Row],[ACS_CODE]])</f>
        <v>1</v>
      </c>
    </row>
    <row r="1201" spans="1:11" x14ac:dyDescent="0.25">
      <c r="A1201">
        <v>26221</v>
      </c>
      <c r="B1201" t="s">
        <v>916</v>
      </c>
      <c r="C1201" t="s">
        <v>1295</v>
      </c>
      <c r="D1201" t="s">
        <v>2373</v>
      </c>
      <c r="E1201">
        <v>10</v>
      </c>
      <c r="F1201">
        <v>0</v>
      </c>
      <c r="G1201">
        <v>0</v>
      </c>
      <c r="H1201">
        <v>316</v>
      </c>
      <c r="I1201">
        <v>2</v>
      </c>
      <c r="J1201">
        <v>328</v>
      </c>
      <c r="K1201">
        <f>COUNTIF(DF_Calculation!E:E,Table1[[#This Row],[ACS_CODE]])</f>
        <v>1</v>
      </c>
    </row>
    <row r="1202" spans="1:11" x14ac:dyDescent="0.25">
      <c r="A1202">
        <v>25463</v>
      </c>
      <c r="B1202" t="s">
        <v>916</v>
      </c>
      <c r="C1202" t="s">
        <v>1307</v>
      </c>
      <c r="D1202" t="s">
        <v>2374</v>
      </c>
      <c r="E1202">
        <v>10</v>
      </c>
      <c r="F1202">
        <v>0</v>
      </c>
      <c r="G1202">
        <v>0</v>
      </c>
      <c r="H1202">
        <v>530</v>
      </c>
      <c r="I1202">
        <v>2</v>
      </c>
      <c r="J1202">
        <v>542</v>
      </c>
      <c r="K1202">
        <f>COUNTIF(DF_Calculation!E:E,Table1[[#This Row],[ACS_CODE]])</f>
        <v>1</v>
      </c>
    </row>
    <row r="1203" spans="1:11" x14ac:dyDescent="0.25">
      <c r="A1203">
        <v>25443</v>
      </c>
      <c r="B1203" t="s">
        <v>916</v>
      </c>
      <c r="C1203" t="s">
        <v>1307</v>
      </c>
      <c r="D1203" t="s">
        <v>2375</v>
      </c>
      <c r="E1203">
        <v>10</v>
      </c>
      <c r="F1203">
        <v>0</v>
      </c>
      <c r="G1203">
        <v>0</v>
      </c>
      <c r="H1203">
        <v>554</v>
      </c>
      <c r="I1203">
        <v>3</v>
      </c>
      <c r="J1203">
        <v>567</v>
      </c>
      <c r="K1203">
        <f>COUNTIF(DF_Calculation!E:E,Table1[[#This Row],[ACS_CODE]])</f>
        <v>1</v>
      </c>
    </row>
    <row r="1204" spans="1:11" x14ac:dyDescent="0.25">
      <c r="A1204">
        <v>25176</v>
      </c>
      <c r="B1204" t="s">
        <v>916</v>
      </c>
      <c r="C1204" t="s">
        <v>1307</v>
      </c>
      <c r="D1204" t="s">
        <v>1439</v>
      </c>
      <c r="E1204">
        <v>10</v>
      </c>
      <c r="F1204">
        <v>0</v>
      </c>
      <c r="G1204">
        <v>0</v>
      </c>
      <c r="H1204">
        <v>3349</v>
      </c>
      <c r="I1204">
        <v>340</v>
      </c>
      <c r="J1204">
        <v>3699</v>
      </c>
      <c r="K1204">
        <f>COUNTIF(DF_Calculation!E:E,Table1[[#This Row],[ACS_CODE]])</f>
        <v>1</v>
      </c>
    </row>
    <row r="1205" spans="1:11" x14ac:dyDescent="0.25">
      <c r="A1205">
        <v>25181</v>
      </c>
      <c r="B1205" t="s">
        <v>916</v>
      </c>
      <c r="C1205" t="s">
        <v>1307</v>
      </c>
      <c r="D1205" t="s">
        <v>1440</v>
      </c>
      <c r="E1205">
        <v>10</v>
      </c>
      <c r="F1205">
        <v>0</v>
      </c>
      <c r="G1205">
        <v>0</v>
      </c>
      <c r="H1205">
        <v>219</v>
      </c>
      <c r="I1205">
        <v>70</v>
      </c>
      <c r="J1205">
        <v>299</v>
      </c>
      <c r="K1205">
        <f>COUNTIF(DF_Calculation!E:E,Table1[[#This Row],[ACS_CODE]])</f>
        <v>1</v>
      </c>
    </row>
    <row r="1206" spans="1:11" x14ac:dyDescent="0.25">
      <c r="A1206">
        <v>25321</v>
      </c>
      <c r="B1206" t="s">
        <v>916</v>
      </c>
      <c r="C1206" t="s">
        <v>1307</v>
      </c>
      <c r="D1206" t="s">
        <v>2376</v>
      </c>
      <c r="E1206">
        <v>10</v>
      </c>
      <c r="F1206">
        <v>0</v>
      </c>
      <c r="G1206">
        <v>0</v>
      </c>
      <c r="H1206">
        <v>219</v>
      </c>
      <c r="I1206">
        <v>12</v>
      </c>
      <c r="J1206">
        <v>241</v>
      </c>
      <c r="K1206">
        <f>COUNTIF(DF_Calculation!E:E,Table1[[#This Row],[ACS_CODE]])</f>
        <v>1</v>
      </c>
    </row>
    <row r="1207" spans="1:11" x14ac:dyDescent="0.25">
      <c r="A1207">
        <v>25367</v>
      </c>
      <c r="B1207" t="s">
        <v>916</v>
      </c>
      <c r="C1207" t="s">
        <v>1307</v>
      </c>
      <c r="D1207" t="s">
        <v>2377</v>
      </c>
      <c r="E1207">
        <v>10</v>
      </c>
      <c r="F1207">
        <v>0</v>
      </c>
      <c r="G1207">
        <v>0</v>
      </c>
      <c r="H1207">
        <v>295</v>
      </c>
      <c r="I1207">
        <v>4</v>
      </c>
      <c r="J1207">
        <v>309</v>
      </c>
      <c r="K1207">
        <f>COUNTIF(DF_Calculation!E:E,Table1[[#This Row],[ACS_CODE]])</f>
        <v>1</v>
      </c>
    </row>
    <row r="1208" spans="1:11" x14ac:dyDescent="0.25">
      <c r="A1208">
        <v>55147</v>
      </c>
      <c r="B1208" t="s">
        <v>1260</v>
      </c>
      <c r="C1208" t="s">
        <v>1291</v>
      </c>
      <c r="D1208" t="s">
        <v>1441</v>
      </c>
      <c r="E1208">
        <v>10</v>
      </c>
      <c r="F1208">
        <v>0</v>
      </c>
      <c r="G1208">
        <v>0</v>
      </c>
      <c r="H1208">
        <v>602</v>
      </c>
      <c r="I1208">
        <v>3</v>
      </c>
      <c r="J1208">
        <v>615</v>
      </c>
      <c r="K1208">
        <f>COUNTIF(DF_Calculation!E:E,Table1[[#This Row],[ACS_CODE]])</f>
        <v>1</v>
      </c>
    </row>
    <row r="1209" spans="1:11" x14ac:dyDescent="0.25">
      <c r="A1209">
        <v>61421</v>
      </c>
      <c r="B1209" t="s">
        <v>1270</v>
      </c>
      <c r="C1209" t="s">
        <v>1288</v>
      </c>
      <c r="D1209" t="s">
        <v>1442</v>
      </c>
      <c r="E1209">
        <v>10</v>
      </c>
      <c r="F1209">
        <v>141</v>
      </c>
      <c r="G1209">
        <v>0</v>
      </c>
      <c r="H1209">
        <v>280</v>
      </c>
      <c r="J1209">
        <v>431</v>
      </c>
      <c r="K1209">
        <f>COUNTIF(DF_Calculation!E:E,Table1[[#This Row],[ACS_CODE]])</f>
        <v>1</v>
      </c>
    </row>
    <row r="1210" spans="1:11" x14ac:dyDescent="0.25">
      <c r="A1210">
        <v>62299</v>
      </c>
      <c r="B1210" t="s">
        <v>1270</v>
      </c>
      <c r="C1210" t="s">
        <v>1269</v>
      </c>
      <c r="D1210" t="s">
        <v>1443</v>
      </c>
      <c r="E1210">
        <v>10</v>
      </c>
      <c r="F1210">
        <v>0</v>
      </c>
      <c r="G1210">
        <v>0</v>
      </c>
      <c r="H1210">
        <v>11</v>
      </c>
      <c r="J1210">
        <v>21</v>
      </c>
      <c r="K1210">
        <f>COUNTIF(DF_Calculation!E:E,Table1[[#This Row],[ACS_CODE]])</f>
        <v>1</v>
      </c>
    </row>
    <row r="1211" spans="1:11" x14ac:dyDescent="0.25">
      <c r="A1211">
        <v>33263</v>
      </c>
      <c r="B1211" t="s">
        <v>919</v>
      </c>
      <c r="C1211" t="s">
        <v>1297</v>
      </c>
      <c r="D1211" t="s">
        <v>1444</v>
      </c>
      <c r="E1211">
        <v>10</v>
      </c>
      <c r="F1211">
        <v>0</v>
      </c>
      <c r="G1211">
        <v>0</v>
      </c>
      <c r="H1211">
        <v>0</v>
      </c>
      <c r="J1211">
        <v>10</v>
      </c>
      <c r="K1211">
        <f>COUNTIF(DF_Calculation!E:E,Table1[[#This Row],[ACS_CODE]])</f>
        <v>1</v>
      </c>
    </row>
    <row r="1212" spans="1:11" x14ac:dyDescent="0.25">
      <c r="A1212">
        <v>35326</v>
      </c>
      <c r="B1212" t="s">
        <v>991</v>
      </c>
      <c r="C1212" t="s">
        <v>991</v>
      </c>
      <c r="D1212" t="s">
        <v>2378</v>
      </c>
      <c r="E1212">
        <v>9</v>
      </c>
      <c r="F1212">
        <v>0</v>
      </c>
      <c r="G1212">
        <v>0</v>
      </c>
      <c r="H1212">
        <v>1462</v>
      </c>
      <c r="I1212">
        <v>4</v>
      </c>
      <c r="J1212">
        <v>1475</v>
      </c>
      <c r="K1212">
        <f>COUNTIF(DF_Calculation!E:E,Table1[[#This Row],[ACS_CODE]])</f>
        <v>1</v>
      </c>
    </row>
    <row r="1213" spans="1:11" x14ac:dyDescent="0.25">
      <c r="A1213">
        <v>35415</v>
      </c>
      <c r="B1213" t="s">
        <v>991</v>
      </c>
      <c r="C1213" t="s">
        <v>991</v>
      </c>
      <c r="D1213" t="s">
        <v>2379</v>
      </c>
      <c r="E1213">
        <v>9</v>
      </c>
      <c r="F1213">
        <v>0</v>
      </c>
      <c r="G1213">
        <v>0</v>
      </c>
      <c r="H1213">
        <v>114</v>
      </c>
      <c r="J1213">
        <v>123</v>
      </c>
      <c r="K1213">
        <f>COUNTIF(DF_Calculation!E:E,Table1[[#This Row],[ACS_CODE]])</f>
        <v>1</v>
      </c>
    </row>
    <row r="1214" spans="1:11" x14ac:dyDescent="0.25">
      <c r="A1214">
        <v>21314</v>
      </c>
      <c r="B1214" t="s">
        <v>916</v>
      </c>
      <c r="C1214" t="s">
        <v>1275</v>
      </c>
      <c r="D1214" t="s">
        <v>2380</v>
      </c>
      <c r="E1214">
        <v>9</v>
      </c>
      <c r="F1214">
        <v>0</v>
      </c>
      <c r="G1214">
        <v>0</v>
      </c>
      <c r="H1214">
        <v>4</v>
      </c>
      <c r="I1214">
        <v>2</v>
      </c>
      <c r="J1214">
        <v>15</v>
      </c>
      <c r="K1214">
        <f>COUNTIF(DF_Calculation!E:E,Table1[[#This Row],[ACS_CODE]])</f>
        <v>1</v>
      </c>
    </row>
    <row r="1215" spans="1:11" x14ac:dyDescent="0.25">
      <c r="A1215">
        <v>21421</v>
      </c>
      <c r="B1215" t="s">
        <v>916</v>
      </c>
      <c r="C1215" t="s">
        <v>1275</v>
      </c>
      <c r="D1215" t="s">
        <v>2381</v>
      </c>
      <c r="E1215">
        <v>9</v>
      </c>
      <c r="F1215">
        <v>0</v>
      </c>
      <c r="G1215">
        <v>0</v>
      </c>
      <c r="H1215">
        <v>357</v>
      </c>
      <c r="I1215">
        <v>30</v>
      </c>
      <c r="J1215">
        <v>396</v>
      </c>
      <c r="K1215">
        <f>COUNTIF(DF_Calculation!E:E,Table1[[#This Row],[ACS_CODE]])</f>
        <v>1</v>
      </c>
    </row>
    <row r="1216" spans="1:11" x14ac:dyDescent="0.25">
      <c r="A1216">
        <v>53254</v>
      </c>
      <c r="B1216" t="s">
        <v>1201</v>
      </c>
      <c r="C1216" t="s">
        <v>1266</v>
      </c>
      <c r="D1216" t="s">
        <v>1445</v>
      </c>
      <c r="E1216">
        <v>9</v>
      </c>
      <c r="F1216">
        <v>0</v>
      </c>
      <c r="G1216">
        <v>0</v>
      </c>
      <c r="H1216">
        <v>501</v>
      </c>
      <c r="I1216">
        <v>2</v>
      </c>
      <c r="J1216">
        <v>512</v>
      </c>
      <c r="K1216">
        <f>COUNTIF(DF_Calculation!E:E,Table1[[#This Row],[ACS_CODE]])</f>
        <v>1</v>
      </c>
    </row>
    <row r="1217" spans="1:11" x14ac:dyDescent="0.25">
      <c r="A1217">
        <v>72264</v>
      </c>
      <c r="B1217" t="s">
        <v>937</v>
      </c>
      <c r="C1217" t="s">
        <v>1514</v>
      </c>
      <c r="D1217" t="s">
        <v>2382</v>
      </c>
      <c r="E1217">
        <v>9</v>
      </c>
      <c r="F1217">
        <v>0</v>
      </c>
      <c r="G1217">
        <v>0</v>
      </c>
      <c r="H1217">
        <v>750</v>
      </c>
      <c r="I1217">
        <v>53</v>
      </c>
      <c r="J1217">
        <v>812</v>
      </c>
      <c r="K1217">
        <f>COUNTIF(DF_Calculation!E:E,Table1[[#This Row],[ACS_CODE]])</f>
        <v>1</v>
      </c>
    </row>
    <row r="1218" spans="1:11" x14ac:dyDescent="0.25">
      <c r="A1218">
        <v>72261</v>
      </c>
      <c r="B1218" t="s">
        <v>937</v>
      </c>
      <c r="C1218" t="s">
        <v>1514</v>
      </c>
      <c r="D1218" t="s">
        <v>2383</v>
      </c>
      <c r="E1218">
        <v>9</v>
      </c>
      <c r="F1218">
        <v>0</v>
      </c>
      <c r="G1218">
        <v>0</v>
      </c>
      <c r="H1218">
        <v>764</v>
      </c>
      <c r="I1218">
        <v>2</v>
      </c>
      <c r="J1218">
        <v>775</v>
      </c>
      <c r="K1218">
        <f>COUNTIF(DF_Calculation!E:E,Table1[[#This Row],[ACS_CODE]])</f>
        <v>1</v>
      </c>
    </row>
    <row r="1219" spans="1:11" x14ac:dyDescent="0.25">
      <c r="A1219">
        <v>23346</v>
      </c>
      <c r="B1219" t="s">
        <v>916</v>
      </c>
      <c r="C1219" t="s">
        <v>921</v>
      </c>
      <c r="D1219" t="s">
        <v>1209</v>
      </c>
      <c r="E1219">
        <v>9</v>
      </c>
      <c r="F1219">
        <v>0</v>
      </c>
      <c r="G1219">
        <v>0</v>
      </c>
      <c r="H1219">
        <v>91</v>
      </c>
      <c r="I1219">
        <v>7</v>
      </c>
      <c r="J1219">
        <v>107</v>
      </c>
      <c r="K1219">
        <f>COUNTIF(DF_Calculation!E:E,Table1[[#This Row],[ACS_CODE]])</f>
        <v>1</v>
      </c>
    </row>
    <row r="1220" spans="1:11" x14ac:dyDescent="0.25">
      <c r="A1220">
        <v>23361</v>
      </c>
      <c r="B1220" t="s">
        <v>916</v>
      </c>
      <c r="C1220" t="s">
        <v>921</v>
      </c>
      <c r="D1220" t="s">
        <v>1210</v>
      </c>
      <c r="E1220">
        <v>9</v>
      </c>
      <c r="F1220">
        <v>0</v>
      </c>
      <c r="G1220">
        <v>0</v>
      </c>
      <c r="H1220">
        <v>608</v>
      </c>
      <c r="I1220">
        <v>2</v>
      </c>
      <c r="J1220">
        <v>619</v>
      </c>
      <c r="K1220">
        <f>COUNTIF(DF_Calculation!E:E,Table1[[#This Row],[ACS_CODE]])</f>
        <v>1</v>
      </c>
    </row>
    <row r="1221" spans="1:11" x14ac:dyDescent="0.25">
      <c r="A1221">
        <v>22727</v>
      </c>
      <c r="B1221" t="s">
        <v>916</v>
      </c>
      <c r="C1221" t="s">
        <v>915</v>
      </c>
      <c r="D1221" t="s">
        <v>1211</v>
      </c>
      <c r="E1221">
        <v>9</v>
      </c>
      <c r="F1221">
        <v>0</v>
      </c>
      <c r="G1221">
        <v>0</v>
      </c>
      <c r="H1221">
        <v>511</v>
      </c>
      <c r="I1221">
        <v>10</v>
      </c>
      <c r="J1221">
        <v>530</v>
      </c>
      <c r="K1221">
        <f>COUNTIF(DF_Calculation!E:E,Table1[[#This Row],[ACS_CODE]])</f>
        <v>1</v>
      </c>
    </row>
    <row r="1222" spans="1:11" x14ac:dyDescent="0.25">
      <c r="A1222">
        <v>26219</v>
      </c>
      <c r="B1222" t="s">
        <v>916</v>
      </c>
      <c r="C1222" t="s">
        <v>1295</v>
      </c>
      <c r="D1222" t="s">
        <v>1446</v>
      </c>
      <c r="E1222">
        <v>9</v>
      </c>
      <c r="F1222">
        <v>0</v>
      </c>
      <c r="G1222">
        <v>0</v>
      </c>
      <c r="H1222">
        <v>13</v>
      </c>
      <c r="I1222">
        <v>13</v>
      </c>
      <c r="J1222">
        <v>35</v>
      </c>
      <c r="K1222">
        <f>COUNTIF(DF_Calculation!E:E,Table1[[#This Row],[ACS_CODE]])</f>
        <v>1</v>
      </c>
    </row>
    <row r="1223" spans="1:11" x14ac:dyDescent="0.25">
      <c r="A1223">
        <v>26189</v>
      </c>
      <c r="B1223" t="s">
        <v>916</v>
      </c>
      <c r="C1223" t="s">
        <v>1295</v>
      </c>
      <c r="D1223" t="s">
        <v>2384</v>
      </c>
      <c r="E1223">
        <v>9</v>
      </c>
      <c r="F1223">
        <v>0</v>
      </c>
      <c r="G1223">
        <v>0</v>
      </c>
      <c r="H1223">
        <v>168</v>
      </c>
      <c r="I1223">
        <v>4</v>
      </c>
      <c r="J1223">
        <v>181</v>
      </c>
      <c r="K1223">
        <f>COUNTIF(DF_Calculation!E:E,Table1[[#This Row],[ACS_CODE]])</f>
        <v>1</v>
      </c>
    </row>
    <row r="1224" spans="1:11" x14ac:dyDescent="0.25">
      <c r="A1224">
        <v>26321</v>
      </c>
      <c r="B1224" t="s">
        <v>916</v>
      </c>
      <c r="C1224" t="s">
        <v>1295</v>
      </c>
      <c r="D1224" t="s">
        <v>2385</v>
      </c>
      <c r="E1224">
        <v>9</v>
      </c>
      <c r="F1224">
        <v>0</v>
      </c>
      <c r="G1224">
        <v>0</v>
      </c>
      <c r="H1224">
        <v>1835</v>
      </c>
      <c r="I1224">
        <v>30</v>
      </c>
      <c r="J1224">
        <v>1874</v>
      </c>
      <c r="K1224">
        <f>COUNTIF(DF_Calculation!E:E,Table1[[#This Row],[ACS_CODE]])</f>
        <v>1</v>
      </c>
    </row>
    <row r="1225" spans="1:11" x14ac:dyDescent="0.25">
      <c r="A1225">
        <v>26215</v>
      </c>
      <c r="B1225" t="s">
        <v>916</v>
      </c>
      <c r="C1225" t="s">
        <v>1295</v>
      </c>
      <c r="D1225" t="s">
        <v>2386</v>
      </c>
      <c r="E1225">
        <v>9</v>
      </c>
      <c r="F1225">
        <v>0</v>
      </c>
      <c r="G1225">
        <v>0</v>
      </c>
      <c r="H1225">
        <v>959</v>
      </c>
      <c r="J1225">
        <v>968</v>
      </c>
      <c r="K1225">
        <f>COUNTIF(DF_Calculation!E:E,Table1[[#This Row],[ACS_CODE]])</f>
        <v>1</v>
      </c>
    </row>
    <row r="1226" spans="1:11" x14ac:dyDescent="0.25">
      <c r="A1226">
        <v>25371</v>
      </c>
      <c r="B1226" t="s">
        <v>916</v>
      </c>
      <c r="C1226" t="s">
        <v>1307</v>
      </c>
      <c r="D1226" t="s">
        <v>1447</v>
      </c>
      <c r="E1226">
        <v>9</v>
      </c>
      <c r="F1226">
        <v>0</v>
      </c>
      <c r="G1226">
        <v>0</v>
      </c>
      <c r="H1226">
        <v>443</v>
      </c>
      <c r="I1226">
        <v>5</v>
      </c>
      <c r="J1226">
        <v>457</v>
      </c>
      <c r="K1226">
        <f>COUNTIF(DF_Calculation!E:E,Table1[[#This Row],[ACS_CODE]])</f>
        <v>1</v>
      </c>
    </row>
    <row r="1227" spans="1:11" x14ac:dyDescent="0.25">
      <c r="A1227">
        <v>55194</v>
      </c>
      <c r="B1227" t="s">
        <v>1260</v>
      </c>
      <c r="C1227" t="s">
        <v>1291</v>
      </c>
      <c r="D1227" t="s">
        <v>2387</v>
      </c>
      <c r="E1227">
        <v>9</v>
      </c>
      <c r="F1227">
        <v>0</v>
      </c>
      <c r="G1227">
        <v>0</v>
      </c>
      <c r="H1227">
        <v>1420</v>
      </c>
      <c r="I1227">
        <v>5</v>
      </c>
      <c r="J1227">
        <v>1434</v>
      </c>
      <c r="K1227">
        <f>COUNTIF(DF_Calculation!E:E,Table1[[#This Row],[ACS_CODE]])</f>
        <v>1</v>
      </c>
    </row>
    <row r="1228" spans="1:11" x14ac:dyDescent="0.25">
      <c r="A1228">
        <v>24457</v>
      </c>
      <c r="B1228" t="s">
        <v>916</v>
      </c>
      <c r="C1228" t="s">
        <v>1282</v>
      </c>
      <c r="D1228" t="s">
        <v>2388</v>
      </c>
      <c r="E1228">
        <v>8</v>
      </c>
      <c r="F1228">
        <v>0</v>
      </c>
      <c r="G1228">
        <v>0</v>
      </c>
      <c r="H1228">
        <v>1498</v>
      </c>
      <c r="I1228">
        <v>10</v>
      </c>
      <c r="J1228">
        <v>1516</v>
      </c>
      <c r="K1228">
        <f>COUNTIF(DF_Calculation!E:E,Table1[[#This Row],[ACS_CODE]])</f>
        <v>1</v>
      </c>
    </row>
    <row r="1229" spans="1:11" x14ac:dyDescent="0.25">
      <c r="A1229">
        <v>23659</v>
      </c>
      <c r="B1229" t="s">
        <v>916</v>
      </c>
      <c r="C1229" t="s">
        <v>921</v>
      </c>
      <c r="D1229" t="s">
        <v>1212</v>
      </c>
      <c r="E1229">
        <v>8</v>
      </c>
      <c r="F1229">
        <v>0</v>
      </c>
      <c r="G1229">
        <v>0</v>
      </c>
      <c r="H1229">
        <v>1436</v>
      </c>
      <c r="I1229">
        <v>15</v>
      </c>
      <c r="J1229">
        <v>1459</v>
      </c>
      <c r="K1229">
        <f>COUNTIF(DF_Calculation!E:E,Table1[[#This Row],[ACS_CODE]])</f>
        <v>1</v>
      </c>
    </row>
    <row r="1230" spans="1:11" x14ac:dyDescent="0.25">
      <c r="A1230">
        <v>23555</v>
      </c>
      <c r="B1230" t="s">
        <v>916</v>
      </c>
      <c r="C1230" t="s">
        <v>921</v>
      </c>
      <c r="D1230" t="s">
        <v>1213</v>
      </c>
      <c r="E1230">
        <v>8</v>
      </c>
      <c r="F1230">
        <v>0</v>
      </c>
      <c r="G1230">
        <v>0</v>
      </c>
      <c r="H1230">
        <v>209</v>
      </c>
      <c r="I1230">
        <v>10</v>
      </c>
      <c r="J1230">
        <v>227</v>
      </c>
      <c r="K1230">
        <f>COUNTIF(DF_Calculation!E:E,Table1[[#This Row],[ACS_CODE]])</f>
        <v>1</v>
      </c>
    </row>
    <row r="1231" spans="1:11" x14ac:dyDescent="0.25">
      <c r="A1231">
        <v>34286</v>
      </c>
      <c r="B1231" t="s">
        <v>919</v>
      </c>
      <c r="C1231" t="s">
        <v>931</v>
      </c>
      <c r="D1231" t="s">
        <v>1214</v>
      </c>
      <c r="E1231">
        <v>8</v>
      </c>
      <c r="F1231">
        <v>0</v>
      </c>
      <c r="G1231">
        <v>0</v>
      </c>
      <c r="H1231">
        <v>448</v>
      </c>
      <c r="I1231">
        <v>2</v>
      </c>
      <c r="J1231">
        <v>458</v>
      </c>
      <c r="K1231">
        <f>COUNTIF(DF_Calculation!E:E,Table1[[#This Row],[ACS_CODE]])</f>
        <v>1</v>
      </c>
    </row>
    <row r="1232" spans="1:11" x14ac:dyDescent="0.25">
      <c r="A1232">
        <v>26247</v>
      </c>
      <c r="B1232" t="s">
        <v>916</v>
      </c>
      <c r="C1232" t="s">
        <v>1295</v>
      </c>
      <c r="D1232" t="s">
        <v>2389</v>
      </c>
      <c r="E1232">
        <v>8</v>
      </c>
      <c r="F1232">
        <v>0</v>
      </c>
      <c r="G1232">
        <v>0</v>
      </c>
      <c r="H1232">
        <v>351</v>
      </c>
      <c r="I1232">
        <v>3</v>
      </c>
      <c r="J1232">
        <v>362</v>
      </c>
      <c r="K1232">
        <f>COUNTIF(DF_Calculation!E:E,Table1[[#This Row],[ACS_CODE]])</f>
        <v>1</v>
      </c>
    </row>
    <row r="1233" spans="1:11" x14ac:dyDescent="0.25">
      <c r="A1233">
        <v>63315</v>
      </c>
      <c r="B1233" t="s">
        <v>1270</v>
      </c>
      <c r="C1233" t="s">
        <v>1332</v>
      </c>
      <c r="D1233" t="s">
        <v>2390</v>
      </c>
      <c r="E1233">
        <v>8</v>
      </c>
      <c r="F1233">
        <v>0</v>
      </c>
      <c r="G1233">
        <v>0</v>
      </c>
      <c r="H1233">
        <v>1</v>
      </c>
      <c r="I1233">
        <v>2</v>
      </c>
      <c r="J1233">
        <v>11</v>
      </c>
      <c r="K1233">
        <f>COUNTIF(DF_Calculation!E:E,Table1[[#This Row],[ACS_CODE]])</f>
        <v>1</v>
      </c>
    </row>
    <row r="1234" spans="1:11" x14ac:dyDescent="0.25">
      <c r="A1234">
        <v>25333</v>
      </c>
      <c r="B1234" t="s">
        <v>916</v>
      </c>
      <c r="C1234" t="s">
        <v>1307</v>
      </c>
      <c r="D1234" t="s">
        <v>2391</v>
      </c>
      <c r="E1234">
        <v>8</v>
      </c>
      <c r="F1234">
        <v>0</v>
      </c>
      <c r="G1234">
        <v>0</v>
      </c>
      <c r="H1234">
        <v>589</v>
      </c>
      <c r="I1234">
        <v>38</v>
      </c>
      <c r="J1234">
        <v>635</v>
      </c>
      <c r="K1234">
        <f>COUNTIF(DF_Calculation!E:E,Table1[[#This Row],[ACS_CODE]])</f>
        <v>1</v>
      </c>
    </row>
    <row r="1235" spans="1:11" x14ac:dyDescent="0.25">
      <c r="A1235">
        <v>51341</v>
      </c>
      <c r="B1235" t="s">
        <v>1260</v>
      </c>
      <c r="C1235" t="s">
        <v>1259</v>
      </c>
      <c r="D1235" t="s">
        <v>1448</v>
      </c>
      <c r="E1235">
        <v>8</v>
      </c>
      <c r="F1235">
        <v>0</v>
      </c>
      <c r="G1235">
        <v>0</v>
      </c>
      <c r="H1235">
        <v>27</v>
      </c>
      <c r="J1235">
        <v>35</v>
      </c>
      <c r="K1235">
        <f>COUNTIF(DF_Calculation!E:E,Table1[[#This Row],[ACS_CODE]])</f>
        <v>1</v>
      </c>
    </row>
    <row r="1236" spans="1:11" x14ac:dyDescent="0.25">
      <c r="A1236">
        <v>33159</v>
      </c>
      <c r="B1236" t="s">
        <v>919</v>
      </c>
      <c r="C1236" t="s">
        <v>1297</v>
      </c>
      <c r="D1236" t="s">
        <v>2392</v>
      </c>
      <c r="E1236">
        <v>8</v>
      </c>
      <c r="F1236">
        <v>0</v>
      </c>
      <c r="G1236">
        <v>0</v>
      </c>
      <c r="H1236">
        <v>260</v>
      </c>
      <c r="I1236">
        <v>50</v>
      </c>
      <c r="J1236">
        <v>318</v>
      </c>
      <c r="K1236">
        <f>COUNTIF(DF_Calculation!E:E,Table1[[#This Row],[ACS_CODE]])</f>
        <v>1</v>
      </c>
    </row>
    <row r="1237" spans="1:11" x14ac:dyDescent="0.25">
      <c r="A1237">
        <v>33291</v>
      </c>
      <c r="B1237" t="s">
        <v>919</v>
      </c>
      <c r="C1237" t="s">
        <v>1297</v>
      </c>
      <c r="D1237" t="s">
        <v>2393</v>
      </c>
      <c r="E1237">
        <v>8</v>
      </c>
      <c r="F1237">
        <v>0</v>
      </c>
      <c r="G1237">
        <v>0</v>
      </c>
      <c r="H1237">
        <v>131</v>
      </c>
      <c r="I1237">
        <v>65</v>
      </c>
      <c r="J1237">
        <v>204</v>
      </c>
      <c r="K1237">
        <f>COUNTIF(DF_Calculation!E:E,Table1[[#This Row],[ACS_CODE]])</f>
        <v>1</v>
      </c>
    </row>
    <row r="1238" spans="1:11" x14ac:dyDescent="0.25">
      <c r="A1238">
        <v>35451</v>
      </c>
      <c r="B1238" t="s">
        <v>991</v>
      </c>
      <c r="C1238" t="s">
        <v>991</v>
      </c>
      <c r="D1238" t="s">
        <v>1449</v>
      </c>
      <c r="E1238">
        <v>7</v>
      </c>
      <c r="F1238">
        <v>0</v>
      </c>
      <c r="G1238">
        <v>0</v>
      </c>
      <c r="H1238">
        <v>60</v>
      </c>
      <c r="J1238">
        <v>67</v>
      </c>
      <c r="K1238">
        <f>COUNTIF(DF_Calculation!E:E,Table1[[#This Row],[ACS_CODE]])</f>
        <v>1</v>
      </c>
    </row>
    <row r="1239" spans="1:11" x14ac:dyDescent="0.25">
      <c r="A1239">
        <v>24361</v>
      </c>
      <c r="B1239" t="s">
        <v>916</v>
      </c>
      <c r="C1239" t="s">
        <v>1282</v>
      </c>
      <c r="D1239" t="s">
        <v>2394</v>
      </c>
      <c r="E1239">
        <v>7</v>
      </c>
      <c r="F1239">
        <v>0</v>
      </c>
      <c r="G1239">
        <v>0</v>
      </c>
      <c r="H1239">
        <v>78</v>
      </c>
      <c r="I1239">
        <v>4</v>
      </c>
      <c r="J1239">
        <v>89</v>
      </c>
      <c r="K1239">
        <f>COUNTIF(DF_Calculation!E:E,Table1[[#This Row],[ACS_CODE]])</f>
        <v>1</v>
      </c>
    </row>
    <row r="1240" spans="1:11" x14ac:dyDescent="0.25">
      <c r="A1240">
        <v>24345</v>
      </c>
      <c r="B1240" t="s">
        <v>916</v>
      </c>
      <c r="C1240" t="s">
        <v>1282</v>
      </c>
      <c r="D1240" t="s">
        <v>2395</v>
      </c>
      <c r="E1240">
        <v>7</v>
      </c>
      <c r="F1240">
        <v>0</v>
      </c>
      <c r="G1240">
        <v>0</v>
      </c>
      <c r="H1240">
        <v>1</v>
      </c>
      <c r="I1240">
        <v>4</v>
      </c>
      <c r="J1240">
        <v>12</v>
      </c>
      <c r="K1240">
        <f>COUNTIF(DF_Calculation!E:E,Table1[[#This Row],[ACS_CODE]])</f>
        <v>1</v>
      </c>
    </row>
    <row r="1241" spans="1:11" x14ac:dyDescent="0.25">
      <c r="A1241">
        <v>21476</v>
      </c>
      <c r="B1241" t="s">
        <v>916</v>
      </c>
      <c r="C1241" t="s">
        <v>1275</v>
      </c>
      <c r="D1241" t="s">
        <v>2396</v>
      </c>
      <c r="E1241">
        <v>7</v>
      </c>
      <c r="F1241">
        <v>0</v>
      </c>
      <c r="G1241">
        <v>0</v>
      </c>
      <c r="H1241">
        <v>1435</v>
      </c>
      <c r="I1241">
        <v>25</v>
      </c>
      <c r="J1241">
        <v>1467</v>
      </c>
      <c r="K1241">
        <f>COUNTIF(DF_Calculation!E:E,Table1[[#This Row],[ACS_CODE]])</f>
        <v>1</v>
      </c>
    </row>
    <row r="1242" spans="1:11" x14ac:dyDescent="0.25">
      <c r="A1242">
        <v>34226</v>
      </c>
      <c r="B1242" t="s">
        <v>919</v>
      </c>
      <c r="C1242" t="s">
        <v>931</v>
      </c>
      <c r="D1242" t="s">
        <v>1215</v>
      </c>
      <c r="E1242">
        <v>7</v>
      </c>
      <c r="F1242">
        <v>0</v>
      </c>
      <c r="G1242">
        <v>0</v>
      </c>
      <c r="H1242">
        <v>115</v>
      </c>
      <c r="I1242">
        <v>10</v>
      </c>
      <c r="J1242">
        <v>132</v>
      </c>
      <c r="K1242">
        <f>COUNTIF(DF_Calculation!E:E,Table1[[#This Row],[ACS_CODE]])</f>
        <v>1</v>
      </c>
    </row>
    <row r="1243" spans="1:11" x14ac:dyDescent="0.25">
      <c r="A1243">
        <v>37357</v>
      </c>
      <c r="B1243" t="s">
        <v>919</v>
      </c>
      <c r="C1243" t="s">
        <v>918</v>
      </c>
      <c r="D1243" t="s">
        <v>1216</v>
      </c>
      <c r="E1243">
        <v>7</v>
      </c>
      <c r="F1243">
        <v>0</v>
      </c>
      <c r="G1243">
        <v>0</v>
      </c>
      <c r="H1243">
        <v>457</v>
      </c>
      <c r="J1243">
        <v>464</v>
      </c>
      <c r="K1243">
        <f>COUNTIF(DF_Calculation!E:E,Table1[[#This Row],[ACS_CODE]])</f>
        <v>1</v>
      </c>
    </row>
    <row r="1244" spans="1:11" x14ac:dyDescent="0.25">
      <c r="A1244">
        <v>26264</v>
      </c>
      <c r="B1244" t="s">
        <v>916</v>
      </c>
      <c r="C1244" t="s">
        <v>1295</v>
      </c>
      <c r="D1244" t="s">
        <v>1450</v>
      </c>
      <c r="E1244">
        <v>7</v>
      </c>
      <c r="F1244">
        <v>0</v>
      </c>
      <c r="G1244">
        <v>0</v>
      </c>
      <c r="H1244">
        <v>21</v>
      </c>
      <c r="I1244">
        <v>30</v>
      </c>
      <c r="J1244">
        <v>58</v>
      </c>
      <c r="K1244">
        <f>COUNTIF(DF_Calculation!E:E,Table1[[#This Row],[ACS_CODE]])</f>
        <v>1</v>
      </c>
    </row>
    <row r="1245" spans="1:11" x14ac:dyDescent="0.25">
      <c r="A1245">
        <v>26357</v>
      </c>
      <c r="B1245" t="s">
        <v>916</v>
      </c>
      <c r="C1245" t="s">
        <v>1295</v>
      </c>
      <c r="D1245" t="s">
        <v>2397</v>
      </c>
      <c r="E1245">
        <v>7</v>
      </c>
      <c r="F1245">
        <v>0</v>
      </c>
      <c r="G1245">
        <v>0</v>
      </c>
      <c r="H1245">
        <v>554</v>
      </c>
      <c r="I1245">
        <v>5</v>
      </c>
      <c r="J1245">
        <v>566</v>
      </c>
      <c r="K1245">
        <f>COUNTIF(DF_Calculation!E:E,Table1[[#This Row],[ACS_CODE]])</f>
        <v>1</v>
      </c>
    </row>
    <row r="1246" spans="1:11" x14ac:dyDescent="0.25">
      <c r="A1246">
        <v>26257</v>
      </c>
      <c r="B1246" t="s">
        <v>916</v>
      </c>
      <c r="C1246" t="s">
        <v>1295</v>
      </c>
      <c r="D1246" t="s">
        <v>2398</v>
      </c>
      <c r="E1246">
        <v>7</v>
      </c>
      <c r="F1246">
        <v>0</v>
      </c>
      <c r="G1246">
        <v>0</v>
      </c>
      <c r="H1246">
        <v>581</v>
      </c>
      <c r="I1246">
        <v>6</v>
      </c>
      <c r="J1246">
        <v>594</v>
      </c>
      <c r="K1246">
        <f>COUNTIF(DF_Calculation!E:E,Table1[[#This Row],[ACS_CODE]])</f>
        <v>1</v>
      </c>
    </row>
    <row r="1247" spans="1:11" x14ac:dyDescent="0.25">
      <c r="A1247">
        <v>63224</v>
      </c>
      <c r="B1247" t="s">
        <v>1270</v>
      </c>
      <c r="C1247" t="s">
        <v>1332</v>
      </c>
      <c r="D1247" t="s">
        <v>2399</v>
      </c>
      <c r="E1247">
        <v>7</v>
      </c>
      <c r="F1247">
        <v>0</v>
      </c>
      <c r="G1247">
        <v>0</v>
      </c>
      <c r="H1247">
        <v>43</v>
      </c>
      <c r="I1247">
        <v>1</v>
      </c>
      <c r="J1247">
        <v>51</v>
      </c>
      <c r="K1247">
        <f>COUNTIF(DF_Calculation!E:E,Table1[[#This Row],[ACS_CODE]])</f>
        <v>1</v>
      </c>
    </row>
    <row r="1248" spans="1:11" x14ac:dyDescent="0.25">
      <c r="A1248">
        <v>63359</v>
      </c>
      <c r="B1248" t="s">
        <v>1270</v>
      </c>
      <c r="C1248" t="s">
        <v>1332</v>
      </c>
      <c r="D1248" t="s">
        <v>1451</v>
      </c>
      <c r="E1248">
        <v>7</v>
      </c>
      <c r="F1248">
        <v>0</v>
      </c>
      <c r="G1248">
        <v>0</v>
      </c>
      <c r="H1248">
        <v>1</v>
      </c>
      <c r="J1248">
        <v>8</v>
      </c>
      <c r="K1248">
        <f>COUNTIF(DF_Calculation!E:E,Table1[[#This Row],[ACS_CODE]])</f>
        <v>1</v>
      </c>
    </row>
    <row r="1249" spans="1:11" x14ac:dyDescent="0.25">
      <c r="A1249">
        <v>63335</v>
      </c>
      <c r="B1249" t="s">
        <v>1270</v>
      </c>
      <c r="C1249" t="s">
        <v>1332</v>
      </c>
      <c r="D1249" t="s">
        <v>1452</v>
      </c>
      <c r="E1249">
        <v>7</v>
      </c>
      <c r="F1249">
        <v>0</v>
      </c>
      <c r="G1249">
        <v>0</v>
      </c>
      <c r="H1249">
        <v>0</v>
      </c>
      <c r="J1249">
        <v>7</v>
      </c>
      <c r="K1249">
        <f>COUNTIF(DF_Calculation!E:E,Table1[[#This Row],[ACS_CODE]])</f>
        <v>1</v>
      </c>
    </row>
    <row r="1250" spans="1:11" x14ac:dyDescent="0.25">
      <c r="A1250">
        <v>61411</v>
      </c>
      <c r="B1250" t="s">
        <v>1270</v>
      </c>
      <c r="C1250" t="s">
        <v>1288</v>
      </c>
      <c r="D1250" t="s">
        <v>1453</v>
      </c>
      <c r="E1250">
        <v>7</v>
      </c>
      <c r="F1250">
        <v>0</v>
      </c>
      <c r="G1250">
        <v>0</v>
      </c>
      <c r="H1250">
        <v>69</v>
      </c>
      <c r="I1250">
        <v>5</v>
      </c>
      <c r="J1250">
        <v>81</v>
      </c>
      <c r="K1250">
        <f>COUNTIF(DF_Calculation!E:E,Table1[[#This Row],[ACS_CODE]])</f>
        <v>1</v>
      </c>
    </row>
    <row r="1251" spans="1:11" x14ac:dyDescent="0.25">
      <c r="A1251">
        <v>62292</v>
      </c>
      <c r="B1251" t="s">
        <v>1270</v>
      </c>
      <c r="C1251" t="s">
        <v>1269</v>
      </c>
      <c r="D1251" t="s">
        <v>2400</v>
      </c>
      <c r="E1251">
        <v>7</v>
      </c>
      <c r="F1251">
        <v>0</v>
      </c>
      <c r="G1251">
        <v>0</v>
      </c>
      <c r="H1251">
        <v>363</v>
      </c>
      <c r="J1251">
        <v>370</v>
      </c>
      <c r="K1251">
        <f>COUNTIF(DF_Calculation!E:E,Table1[[#This Row],[ACS_CODE]])</f>
        <v>1</v>
      </c>
    </row>
    <row r="1252" spans="1:11" x14ac:dyDescent="0.25">
      <c r="A1252">
        <v>52284</v>
      </c>
      <c r="B1252" t="s">
        <v>1260</v>
      </c>
      <c r="C1252" t="s">
        <v>1323</v>
      </c>
      <c r="D1252" t="s">
        <v>2401</v>
      </c>
      <c r="E1252">
        <v>7</v>
      </c>
      <c r="F1252">
        <v>0</v>
      </c>
      <c r="G1252">
        <v>0</v>
      </c>
      <c r="H1252">
        <v>185</v>
      </c>
      <c r="J1252">
        <v>192</v>
      </c>
      <c r="K1252">
        <f>COUNTIF(DF_Calculation!E:E,Table1[[#This Row],[ACS_CODE]])</f>
        <v>1</v>
      </c>
    </row>
    <row r="1253" spans="1:11" x14ac:dyDescent="0.25">
      <c r="A1253">
        <v>33267</v>
      </c>
      <c r="B1253" t="s">
        <v>919</v>
      </c>
      <c r="C1253" t="s">
        <v>1297</v>
      </c>
      <c r="D1253" t="s">
        <v>2402</v>
      </c>
      <c r="E1253">
        <v>7</v>
      </c>
      <c r="F1253">
        <v>0</v>
      </c>
      <c r="G1253">
        <v>0</v>
      </c>
      <c r="H1253">
        <v>1214</v>
      </c>
      <c r="J1253">
        <v>1221</v>
      </c>
      <c r="K1253">
        <f>COUNTIF(DF_Calculation!E:E,Table1[[#This Row],[ACS_CODE]])</f>
        <v>1</v>
      </c>
    </row>
    <row r="1254" spans="1:11" x14ac:dyDescent="0.25">
      <c r="A1254">
        <v>33219</v>
      </c>
      <c r="B1254" t="s">
        <v>919</v>
      </c>
      <c r="C1254" t="s">
        <v>1297</v>
      </c>
      <c r="D1254" t="s">
        <v>2403</v>
      </c>
      <c r="E1254">
        <v>7</v>
      </c>
      <c r="F1254">
        <v>0</v>
      </c>
      <c r="G1254">
        <v>0</v>
      </c>
      <c r="H1254">
        <v>78</v>
      </c>
      <c r="J1254">
        <v>85</v>
      </c>
      <c r="K1254">
        <f>COUNTIF(DF_Calculation!E:E,Table1[[#This Row],[ACS_CODE]])</f>
        <v>1</v>
      </c>
    </row>
    <row r="1255" spans="1:11" x14ac:dyDescent="0.25">
      <c r="A1255">
        <v>33131</v>
      </c>
      <c r="B1255" t="s">
        <v>919</v>
      </c>
      <c r="C1255" t="s">
        <v>1297</v>
      </c>
      <c r="D1255" t="s">
        <v>1454</v>
      </c>
      <c r="E1255">
        <v>7</v>
      </c>
      <c r="F1255">
        <v>0</v>
      </c>
      <c r="G1255">
        <v>0</v>
      </c>
      <c r="H1255">
        <v>46</v>
      </c>
      <c r="J1255">
        <v>53</v>
      </c>
      <c r="K1255">
        <f>COUNTIF(DF_Calculation!E:E,Table1[[#This Row],[ACS_CODE]])</f>
        <v>1</v>
      </c>
    </row>
    <row r="1256" spans="1:11" x14ac:dyDescent="0.25">
      <c r="A1256">
        <v>23263</v>
      </c>
      <c r="B1256" t="s">
        <v>916</v>
      </c>
      <c r="C1256" t="s">
        <v>921</v>
      </c>
      <c r="D1256" t="s">
        <v>2404</v>
      </c>
      <c r="E1256">
        <v>6</v>
      </c>
      <c r="F1256">
        <v>0</v>
      </c>
      <c r="G1256">
        <v>0</v>
      </c>
      <c r="H1256">
        <v>118</v>
      </c>
      <c r="I1256">
        <v>2</v>
      </c>
      <c r="J1256">
        <v>126</v>
      </c>
      <c r="K1256">
        <f>COUNTIF(DF_Calculation!E:E,Table1[[#This Row],[ACS_CODE]])</f>
        <v>1</v>
      </c>
    </row>
    <row r="1257" spans="1:11" x14ac:dyDescent="0.25">
      <c r="A1257">
        <v>32193</v>
      </c>
      <c r="B1257" t="s">
        <v>919</v>
      </c>
      <c r="C1257" t="s">
        <v>934</v>
      </c>
      <c r="D1257" t="s">
        <v>2405</v>
      </c>
      <c r="E1257">
        <v>6</v>
      </c>
      <c r="F1257">
        <v>0</v>
      </c>
      <c r="G1257">
        <v>0</v>
      </c>
      <c r="H1257">
        <v>6</v>
      </c>
      <c r="J1257">
        <v>12</v>
      </c>
      <c r="K1257">
        <f>COUNTIF(DF_Calculation!E:E,Table1[[#This Row],[ACS_CODE]])</f>
        <v>1</v>
      </c>
    </row>
    <row r="1258" spans="1:11" x14ac:dyDescent="0.25">
      <c r="A1258">
        <v>22683</v>
      </c>
      <c r="B1258" t="s">
        <v>916</v>
      </c>
      <c r="C1258" t="s">
        <v>915</v>
      </c>
      <c r="D1258" t="s">
        <v>1217</v>
      </c>
      <c r="E1258">
        <v>6</v>
      </c>
      <c r="F1258">
        <v>0</v>
      </c>
      <c r="G1258">
        <v>0</v>
      </c>
      <c r="H1258">
        <v>153</v>
      </c>
      <c r="I1258">
        <v>10</v>
      </c>
      <c r="J1258">
        <v>169</v>
      </c>
      <c r="K1258">
        <f>COUNTIF(DF_Calculation!E:E,Table1[[#This Row],[ACS_CODE]])</f>
        <v>1</v>
      </c>
    </row>
    <row r="1259" spans="1:11" x14ac:dyDescent="0.25">
      <c r="A1259">
        <v>26227</v>
      </c>
      <c r="B1259" t="s">
        <v>916</v>
      </c>
      <c r="C1259" t="s">
        <v>1295</v>
      </c>
      <c r="D1259" t="s">
        <v>2406</v>
      </c>
      <c r="E1259">
        <v>6</v>
      </c>
      <c r="F1259">
        <v>0</v>
      </c>
      <c r="G1259">
        <v>0</v>
      </c>
      <c r="H1259">
        <v>231</v>
      </c>
      <c r="J1259">
        <v>237</v>
      </c>
      <c r="K1259">
        <f>COUNTIF(DF_Calculation!E:E,Table1[[#This Row],[ACS_CODE]])</f>
        <v>1</v>
      </c>
    </row>
    <row r="1260" spans="1:11" x14ac:dyDescent="0.25">
      <c r="A1260">
        <v>26159</v>
      </c>
      <c r="B1260" t="s">
        <v>916</v>
      </c>
      <c r="C1260" t="s">
        <v>1295</v>
      </c>
      <c r="D1260" t="s">
        <v>2407</v>
      </c>
      <c r="E1260">
        <v>6</v>
      </c>
      <c r="F1260">
        <v>0</v>
      </c>
      <c r="G1260">
        <v>0</v>
      </c>
      <c r="H1260">
        <v>294</v>
      </c>
      <c r="I1260">
        <v>4</v>
      </c>
      <c r="J1260">
        <v>304</v>
      </c>
      <c r="K1260">
        <f>COUNTIF(DF_Calculation!E:E,Table1[[#This Row],[ACS_CODE]])</f>
        <v>1</v>
      </c>
    </row>
    <row r="1261" spans="1:11" x14ac:dyDescent="0.25">
      <c r="A1261">
        <v>25325</v>
      </c>
      <c r="B1261" t="s">
        <v>916</v>
      </c>
      <c r="C1261" t="s">
        <v>1307</v>
      </c>
      <c r="D1261" t="s">
        <v>2408</v>
      </c>
      <c r="E1261">
        <v>6</v>
      </c>
      <c r="F1261">
        <v>0</v>
      </c>
      <c r="G1261">
        <v>0</v>
      </c>
      <c r="H1261">
        <v>961</v>
      </c>
      <c r="J1261">
        <v>967</v>
      </c>
      <c r="K1261">
        <f>COUNTIF(DF_Calculation!E:E,Table1[[#This Row],[ACS_CODE]])</f>
        <v>1</v>
      </c>
    </row>
    <row r="1262" spans="1:11" x14ac:dyDescent="0.25">
      <c r="A1262">
        <v>55121</v>
      </c>
      <c r="B1262" t="s">
        <v>1260</v>
      </c>
      <c r="C1262" t="s">
        <v>1291</v>
      </c>
      <c r="D1262" t="s">
        <v>1455</v>
      </c>
      <c r="E1262">
        <v>6</v>
      </c>
      <c r="F1262">
        <v>0</v>
      </c>
      <c r="G1262">
        <v>0</v>
      </c>
      <c r="H1262">
        <v>930</v>
      </c>
      <c r="I1262">
        <v>27</v>
      </c>
      <c r="J1262">
        <v>963</v>
      </c>
      <c r="K1262">
        <f>COUNTIF(DF_Calculation!E:E,Table1[[#This Row],[ACS_CODE]])</f>
        <v>1</v>
      </c>
    </row>
    <row r="1263" spans="1:11" x14ac:dyDescent="0.25">
      <c r="A1263">
        <v>61494</v>
      </c>
      <c r="B1263" t="s">
        <v>1270</v>
      </c>
      <c r="C1263" t="s">
        <v>1288</v>
      </c>
      <c r="D1263" t="s">
        <v>2409</v>
      </c>
      <c r="E1263">
        <v>6</v>
      </c>
      <c r="F1263">
        <v>0</v>
      </c>
      <c r="G1263">
        <v>0</v>
      </c>
      <c r="H1263">
        <v>127</v>
      </c>
      <c r="I1263">
        <v>5</v>
      </c>
      <c r="J1263">
        <v>138</v>
      </c>
      <c r="K1263">
        <f>COUNTIF(DF_Calculation!E:E,Table1[[#This Row],[ACS_CODE]])</f>
        <v>1</v>
      </c>
    </row>
    <row r="1264" spans="1:11" x14ac:dyDescent="0.25">
      <c r="A1264">
        <v>61456</v>
      </c>
      <c r="B1264" t="s">
        <v>1270</v>
      </c>
      <c r="C1264" t="s">
        <v>1288</v>
      </c>
      <c r="D1264" t="s">
        <v>1456</v>
      </c>
      <c r="E1264">
        <v>6</v>
      </c>
      <c r="F1264">
        <v>0</v>
      </c>
      <c r="G1264">
        <v>0</v>
      </c>
      <c r="H1264">
        <v>0</v>
      </c>
      <c r="J1264">
        <v>6</v>
      </c>
      <c r="K1264">
        <f>COUNTIF(DF_Calculation!E:E,Table1[[#This Row],[ACS_CODE]])</f>
        <v>1</v>
      </c>
    </row>
    <row r="1265" spans="1:11" x14ac:dyDescent="0.25">
      <c r="A1265">
        <v>62294</v>
      </c>
      <c r="B1265" t="s">
        <v>1270</v>
      </c>
      <c r="C1265" t="s">
        <v>1269</v>
      </c>
      <c r="D1265" t="s">
        <v>1457</v>
      </c>
      <c r="E1265">
        <v>6</v>
      </c>
      <c r="F1265">
        <v>1832</v>
      </c>
      <c r="G1265">
        <v>0</v>
      </c>
      <c r="H1265">
        <v>26</v>
      </c>
      <c r="I1265">
        <v>400</v>
      </c>
      <c r="J1265">
        <v>2264</v>
      </c>
      <c r="K1265">
        <f>COUNTIF(DF_Calculation!E:E,Table1[[#This Row],[ACS_CODE]])</f>
        <v>1</v>
      </c>
    </row>
    <row r="1266" spans="1:11" x14ac:dyDescent="0.25">
      <c r="A1266">
        <v>52166</v>
      </c>
      <c r="B1266" t="s">
        <v>1260</v>
      </c>
      <c r="C1266" t="s">
        <v>1323</v>
      </c>
      <c r="D1266" t="s">
        <v>1458</v>
      </c>
      <c r="E1266">
        <v>6</v>
      </c>
      <c r="F1266">
        <v>0</v>
      </c>
      <c r="G1266">
        <v>0</v>
      </c>
      <c r="H1266">
        <v>79</v>
      </c>
      <c r="J1266">
        <v>85</v>
      </c>
      <c r="K1266">
        <f>COUNTIF(DF_Calculation!E:E,Table1[[#This Row],[ACS_CODE]])</f>
        <v>1</v>
      </c>
    </row>
    <row r="1267" spans="1:11" x14ac:dyDescent="0.25">
      <c r="A1267">
        <v>52271</v>
      </c>
      <c r="B1267" t="s">
        <v>1260</v>
      </c>
      <c r="C1267" t="s">
        <v>1323</v>
      </c>
      <c r="D1267" t="s">
        <v>1459</v>
      </c>
      <c r="E1267">
        <v>6</v>
      </c>
      <c r="F1267">
        <v>0</v>
      </c>
      <c r="G1267">
        <v>0</v>
      </c>
      <c r="H1267">
        <v>110</v>
      </c>
      <c r="J1267">
        <v>116</v>
      </c>
      <c r="K1267">
        <f>COUNTIF(DF_Calculation!E:E,Table1[[#This Row],[ACS_CODE]])</f>
        <v>1</v>
      </c>
    </row>
    <row r="1268" spans="1:11" x14ac:dyDescent="0.25">
      <c r="A1268">
        <v>51317</v>
      </c>
      <c r="B1268" t="s">
        <v>1260</v>
      </c>
      <c r="C1268" t="s">
        <v>1259</v>
      </c>
      <c r="D1268" t="s">
        <v>2410</v>
      </c>
      <c r="E1268">
        <v>6</v>
      </c>
      <c r="F1268">
        <v>0</v>
      </c>
      <c r="G1268">
        <v>0</v>
      </c>
      <c r="H1268">
        <v>4610</v>
      </c>
      <c r="I1268">
        <v>50</v>
      </c>
      <c r="J1268">
        <v>4666</v>
      </c>
      <c r="K1268">
        <f>COUNTIF(DF_Calculation!E:E,Table1[[#This Row],[ACS_CODE]])</f>
        <v>1</v>
      </c>
    </row>
    <row r="1269" spans="1:11" x14ac:dyDescent="0.25">
      <c r="A1269">
        <v>35131</v>
      </c>
      <c r="B1269" t="s">
        <v>991</v>
      </c>
      <c r="C1269" t="s">
        <v>991</v>
      </c>
      <c r="D1269" t="s">
        <v>2411</v>
      </c>
      <c r="E1269">
        <v>5</v>
      </c>
      <c r="F1269">
        <v>0</v>
      </c>
      <c r="G1269">
        <v>0</v>
      </c>
      <c r="H1269">
        <v>636</v>
      </c>
      <c r="J1269">
        <v>641</v>
      </c>
      <c r="K1269">
        <f>COUNTIF(DF_Calculation!E:E,Table1[[#This Row],[ACS_CODE]])</f>
        <v>1</v>
      </c>
    </row>
    <row r="1270" spans="1:11" x14ac:dyDescent="0.25">
      <c r="A1270">
        <v>35169</v>
      </c>
      <c r="B1270" t="s">
        <v>991</v>
      </c>
      <c r="C1270" t="s">
        <v>991</v>
      </c>
      <c r="D1270" t="s">
        <v>2412</v>
      </c>
      <c r="E1270">
        <v>5</v>
      </c>
      <c r="F1270">
        <v>0</v>
      </c>
      <c r="G1270">
        <v>0</v>
      </c>
      <c r="H1270">
        <v>219</v>
      </c>
      <c r="J1270">
        <v>224</v>
      </c>
      <c r="K1270">
        <f>COUNTIF(DF_Calculation!E:E,Table1[[#This Row],[ACS_CODE]])</f>
        <v>1</v>
      </c>
    </row>
    <row r="1271" spans="1:11" x14ac:dyDescent="0.25">
      <c r="A1271">
        <v>35317</v>
      </c>
      <c r="B1271" t="s">
        <v>991</v>
      </c>
      <c r="C1271" t="s">
        <v>991</v>
      </c>
      <c r="D1271" t="s">
        <v>2413</v>
      </c>
      <c r="E1271">
        <v>5</v>
      </c>
      <c r="F1271">
        <v>0</v>
      </c>
      <c r="G1271">
        <v>0</v>
      </c>
      <c r="H1271">
        <v>182</v>
      </c>
      <c r="J1271">
        <v>187</v>
      </c>
      <c r="K1271">
        <f>COUNTIF(DF_Calculation!E:E,Table1[[#This Row],[ACS_CODE]])</f>
        <v>1</v>
      </c>
    </row>
    <row r="1272" spans="1:11" x14ac:dyDescent="0.25">
      <c r="A1272">
        <v>21337</v>
      </c>
      <c r="B1272" t="s">
        <v>916</v>
      </c>
      <c r="C1272" t="s">
        <v>1275</v>
      </c>
      <c r="D1272" t="s">
        <v>2414</v>
      </c>
      <c r="E1272">
        <v>5</v>
      </c>
      <c r="F1272">
        <v>0</v>
      </c>
      <c r="G1272">
        <v>0</v>
      </c>
      <c r="H1272">
        <v>7</v>
      </c>
      <c r="I1272">
        <v>5</v>
      </c>
      <c r="J1272">
        <v>17</v>
      </c>
      <c r="K1272">
        <f>COUNTIF(DF_Calculation!E:E,Table1[[#This Row],[ACS_CODE]])</f>
        <v>1</v>
      </c>
    </row>
    <row r="1273" spans="1:11" x14ac:dyDescent="0.25">
      <c r="A1273">
        <v>53463</v>
      </c>
      <c r="B1273" t="s">
        <v>1201</v>
      </c>
      <c r="C1273" t="s">
        <v>1266</v>
      </c>
      <c r="D1273" t="s">
        <v>2415</v>
      </c>
      <c r="E1273">
        <v>5</v>
      </c>
      <c r="F1273">
        <v>0</v>
      </c>
      <c r="G1273">
        <v>0</v>
      </c>
      <c r="H1273">
        <v>338</v>
      </c>
      <c r="J1273">
        <v>343</v>
      </c>
      <c r="K1273">
        <f>COUNTIF(DF_Calculation!E:E,Table1[[#This Row],[ACS_CODE]])</f>
        <v>1</v>
      </c>
    </row>
    <row r="1274" spans="1:11" x14ac:dyDescent="0.25">
      <c r="A1274">
        <v>36117</v>
      </c>
      <c r="B1274" t="s">
        <v>919</v>
      </c>
      <c r="C1274" t="s">
        <v>982</v>
      </c>
      <c r="D1274" t="s">
        <v>1460</v>
      </c>
      <c r="E1274">
        <v>5</v>
      </c>
      <c r="F1274">
        <v>0</v>
      </c>
      <c r="G1274">
        <v>0</v>
      </c>
      <c r="H1274">
        <v>276</v>
      </c>
      <c r="I1274">
        <v>5</v>
      </c>
      <c r="J1274">
        <v>286</v>
      </c>
      <c r="K1274">
        <f>COUNTIF(DF_Calculation!E:E,Table1[[#This Row],[ACS_CODE]])</f>
        <v>1</v>
      </c>
    </row>
    <row r="1275" spans="1:11" x14ac:dyDescent="0.25">
      <c r="A1275">
        <v>72191</v>
      </c>
      <c r="B1275" t="s">
        <v>937</v>
      </c>
      <c r="C1275" t="s">
        <v>1514</v>
      </c>
      <c r="D1275" t="s">
        <v>2416</v>
      </c>
      <c r="E1275">
        <v>5</v>
      </c>
      <c r="F1275">
        <v>0</v>
      </c>
      <c r="G1275">
        <v>0</v>
      </c>
      <c r="H1275">
        <v>1064</v>
      </c>
      <c r="J1275">
        <v>1069</v>
      </c>
      <c r="K1275">
        <f>COUNTIF(DF_Calculation!E:E,Table1[[#This Row],[ACS_CODE]])</f>
        <v>1</v>
      </c>
    </row>
    <row r="1276" spans="1:11" x14ac:dyDescent="0.25">
      <c r="A1276">
        <v>34361</v>
      </c>
      <c r="B1276" t="s">
        <v>919</v>
      </c>
      <c r="C1276" t="s">
        <v>931</v>
      </c>
      <c r="D1276" t="s">
        <v>1218</v>
      </c>
      <c r="E1276">
        <v>5</v>
      </c>
      <c r="F1276">
        <v>0</v>
      </c>
      <c r="G1276">
        <v>0</v>
      </c>
      <c r="H1276">
        <v>115</v>
      </c>
      <c r="I1276">
        <v>2</v>
      </c>
      <c r="J1276">
        <v>122</v>
      </c>
      <c r="K1276">
        <f>COUNTIF(DF_Calculation!E:E,Table1[[#This Row],[ACS_CODE]])</f>
        <v>1</v>
      </c>
    </row>
    <row r="1277" spans="1:11" x14ac:dyDescent="0.25">
      <c r="A1277">
        <v>34346</v>
      </c>
      <c r="B1277" t="s">
        <v>919</v>
      </c>
      <c r="C1277" t="s">
        <v>931</v>
      </c>
      <c r="D1277" t="s">
        <v>1461</v>
      </c>
      <c r="E1277">
        <v>5</v>
      </c>
      <c r="F1277">
        <v>0</v>
      </c>
      <c r="G1277">
        <v>0</v>
      </c>
      <c r="H1277">
        <v>12</v>
      </c>
      <c r="I1277">
        <v>1</v>
      </c>
      <c r="J1277">
        <v>18</v>
      </c>
      <c r="K1277">
        <f>COUNTIF(DF_Calculation!E:E,Table1[[#This Row],[ACS_CODE]])</f>
        <v>1</v>
      </c>
    </row>
    <row r="1278" spans="1:11" x14ac:dyDescent="0.25">
      <c r="A1278">
        <v>22563</v>
      </c>
      <c r="B1278" t="s">
        <v>916</v>
      </c>
      <c r="C1278" t="s">
        <v>915</v>
      </c>
      <c r="D1278" t="s">
        <v>1219</v>
      </c>
      <c r="E1278">
        <v>5</v>
      </c>
      <c r="F1278">
        <v>0</v>
      </c>
      <c r="G1278">
        <v>0</v>
      </c>
      <c r="H1278">
        <v>362</v>
      </c>
      <c r="I1278">
        <v>5</v>
      </c>
      <c r="J1278">
        <v>372</v>
      </c>
      <c r="K1278">
        <f>COUNTIF(DF_Calculation!E:E,Table1[[#This Row],[ACS_CODE]])</f>
        <v>1</v>
      </c>
    </row>
    <row r="1279" spans="1:11" x14ac:dyDescent="0.25">
      <c r="A1279">
        <v>22583</v>
      </c>
      <c r="B1279" t="s">
        <v>916</v>
      </c>
      <c r="C1279" t="s">
        <v>915</v>
      </c>
      <c r="D1279" t="s">
        <v>1462</v>
      </c>
      <c r="E1279">
        <v>5</v>
      </c>
      <c r="F1279">
        <v>0</v>
      </c>
      <c r="G1279">
        <v>0</v>
      </c>
      <c r="H1279">
        <v>217</v>
      </c>
      <c r="I1279">
        <v>142</v>
      </c>
      <c r="J1279">
        <v>364</v>
      </c>
      <c r="K1279">
        <f>COUNTIF(DF_Calculation!E:E,Table1[[#This Row],[ACS_CODE]])</f>
        <v>1</v>
      </c>
    </row>
    <row r="1280" spans="1:11" x14ac:dyDescent="0.25">
      <c r="A1280">
        <v>22587</v>
      </c>
      <c r="B1280" t="s">
        <v>916</v>
      </c>
      <c r="C1280" t="s">
        <v>915</v>
      </c>
      <c r="D1280" t="s">
        <v>1220</v>
      </c>
      <c r="E1280">
        <v>5</v>
      </c>
      <c r="F1280">
        <v>0</v>
      </c>
      <c r="G1280">
        <v>0</v>
      </c>
      <c r="H1280">
        <v>490</v>
      </c>
      <c r="I1280">
        <v>13</v>
      </c>
      <c r="J1280">
        <v>508</v>
      </c>
      <c r="K1280">
        <f>COUNTIF(DF_Calculation!E:E,Table1[[#This Row],[ACS_CODE]])</f>
        <v>1</v>
      </c>
    </row>
    <row r="1281" spans="1:11" x14ac:dyDescent="0.25">
      <c r="A1281">
        <v>37379</v>
      </c>
      <c r="B1281" t="s">
        <v>919</v>
      </c>
      <c r="C1281" t="s">
        <v>918</v>
      </c>
      <c r="D1281" t="s">
        <v>1463</v>
      </c>
      <c r="E1281">
        <v>5</v>
      </c>
      <c r="F1281">
        <v>0</v>
      </c>
      <c r="G1281">
        <v>0</v>
      </c>
      <c r="H1281">
        <v>7</v>
      </c>
      <c r="J1281">
        <v>12</v>
      </c>
      <c r="K1281">
        <f>COUNTIF(DF_Calculation!E:E,Table1[[#This Row],[ACS_CODE]])</f>
        <v>1</v>
      </c>
    </row>
    <row r="1282" spans="1:11" x14ac:dyDescent="0.25">
      <c r="A1282">
        <v>37356</v>
      </c>
      <c r="B1282" t="s">
        <v>919</v>
      </c>
      <c r="C1282" t="s">
        <v>918</v>
      </c>
      <c r="D1282" t="s">
        <v>1464</v>
      </c>
      <c r="E1282">
        <v>5</v>
      </c>
      <c r="F1282">
        <v>0</v>
      </c>
      <c r="G1282">
        <v>0</v>
      </c>
      <c r="H1282">
        <v>551</v>
      </c>
      <c r="J1282">
        <v>556</v>
      </c>
      <c r="K1282">
        <f>COUNTIF(DF_Calculation!E:E,Table1[[#This Row],[ACS_CODE]])</f>
        <v>1</v>
      </c>
    </row>
    <row r="1283" spans="1:11" x14ac:dyDescent="0.25">
      <c r="A1283">
        <v>37358</v>
      </c>
      <c r="B1283" t="s">
        <v>919</v>
      </c>
      <c r="C1283" t="s">
        <v>918</v>
      </c>
      <c r="D1283" t="s">
        <v>1221</v>
      </c>
      <c r="E1283">
        <v>5</v>
      </c>
      <c r="F1283">
        <v>0</v>
      </c>
      <c r="G1283">
        <v>0</v>
      </c>
      <c r="H1283">
        <v>551</v>
      </c>
      <c r="J1283">
        <v>556</v>
      </c>
      <c r="K1283">
        <f>COUNTIF(DF_Calculation!E:E,Table1[[#This Row],[ACS_CODE]])</f>
        <v>1</v>
      </c>
    </row>
    <row r="1284" spans="1:11" x14ac:dyDescent="0.25">
      <c r="A1284">
        <v>74112</v>
      </c>
      <c r="B1284" t="s">
        <v>937</v>
      </c>
      <c r="C1284" t="s">
        <v>1280</v>
      </c>
      <c r="D1284" t="s">
        <v>2417</v>
      </c>
      <c r="E1284">
        <v>5</v>
      </c>
      <c r="F1284">
        <v>0</v>
      </c>
      <c r="G1284">
        <v>0</v>
      </c>
      <c r="H1284">
        <v>61</v>
      </c>
      <c r="J1284">
        <v>66</v>
      </c>
      <c r="K1284">
        <f>COUNTIF(DF_Calculation!E:E,Table1[[#This Row],[ACS_CODE]])</f>
        <v>1</v>
      </c>
    </row>
    <row r="1285" spans="1:11" x14ac:dyDescent="0.25">
      <c r="A1285">
        <v>74124</v>
      </c>
      <c r="B1285" t="s">
        <v>937</v>
      </c>
      <c r="C1285" t="s">
        <v>1280</v>
      </c>
      <c r="D1285" t="s">
        <v>1465</v>
      </c>
      <c r="E1285">
        <v>5</v>
      </c>
      <c r="F1285">
        <v>0</v>
      </c>
      <c r="G1285">
        <v>0</v>
      </c>
      <c r="H1285">
        <v>1778</v>
      </c>
      <c r="I1285">
        <v>10</v>
      </c>
      <c r="J1285">
        <v>1793</v>
      </c>
      <c r="K1285">
        <f>COUNTIF(DF_Calculation!E:E,Table1[[#This Row],[ACS_CODE]])</f>
        <v>1</v>
      </c>
    </row>
    <row r="1286" spans="1:11" x14ac:dyDescent="0.25">
      <c r="A1286">
        <v>26364</v>
      </c>
      <c r="B1286" t="s">
        <v>916</v>
      </c>
      <c r="C1286" t="s">
        <v>1295</v>
      </c>
      <c r="D1286" t="s">
        <v>2418</v>
      </c>
      <c r="E1286">
        <v>5</v>
      </c>
      <c r="F1286">
        <v>0</v>
      </c>
      <c r="G1286">
        <v>0</v>
      </c>
      <c r="H1286">
        <v>41</v>
      </c>
      <c r="I1286">
        <v>5</v>
      </c>
      <c r="J1286">
        <v>51</v>
      </c>
      <c r="K1286">
        <f>COUNTIF(DF_Calculation!E:E,Table1[[#This Row],[ACS_CODE]])</f>
        <v>1</v>
      </c>
    </row>
    <row r="1287" spans="1:11" x14ac:dyDescent="0.25">
      <c r="A1287">
        <v>26251</v>
      </c>
      <c r="B1287" t="s">
        <v>916</v>
      </c>
      <c r="C1287" t="s">
        <v>1295</v>
      </c>
      <c r="D1287" t="s">
        <v>2419</v>
      </c>
      <c r="E1287">
        <v>5</v>
      </c>
      <c r="F1287">
        <v>0</v>
      </c>
      <c r="G1287">
        <v>0</v>
      </c>
      <c r="H1287">
        <v>554</v>
      </c>
      <c r="I1287">
        <v>1</v>
      </c>
      <c r="J1287">
        <v>560</v>
      </c>
      <c r="K1287">
        <f>COUNTIF(DF_Calculation!E:E,Table1[[#This Row],[ACS_CODE]])</f>
        <v>1</v>
      </c>
    </row>
    <row r="1288" spans="1:11" x14ac:dyDescent="0.25">
      <c r="A1288">
        <v>63211</v>
      </c>
      <c r="B1288" t="s">
        <v>1270</v>
      </c>
      <c r="C1288" t="s">
        <v>1332</v>
      </c>
      <c r="D1288" t="s">
        <v>2420</v>
      </c>
      <c r="E1288">
        <v>5</v>
      </c>
      <c r="F1288">
        <v>0</v>
      </c>
      <c r="G1288">
        <v>0</v>
      </c>
      <c r="H1288">
        <v>200</v>
      </c>
      <c r="I1288">
        <v>2</v>
      </c>
      <c r="J1288">
        <v>207</v>
      </c>
      <c r="K1288">
        <f>COUNTIF(DF_Calculation!E:E,Table1[[#This Row],[ACS_CODE]])</f>
        <v>1</v>
      </c>
    </row>
    <row r="1289" spans="1:11" x14ac:dyDescent="0.25">
      <c r="A1289">
        <v>63378</v>
      </c>
      <c r="B1289" t="s">
        <v>1270</v>
      </c>
      <c r="C1289" t="s">
        <v>1332</v>
      </c>
      <c r="D1289" t="s">
        <v>1466</v>
      </c>
      <c r="E1289">
        <v>5</v>
      </c>
      <c r="F1289">
        <v>0</v>
      </c>
      <c r="G1289">
        <v>0</v>
      </c>
      <c r="H1289">
        <v>16</v>
      </c>
      <c r="J1289">
        <v>21</v>
      </c>
      <c r="K1289">
        <f>COUNTIF(DF_Calculation!E:E,Table1[[#This Row],[ACS_CODE]])</f>
        <v>1</v>
      </c>
    </row>
    <row r="1290" spans="1:11" x14ac:dyDescent="0.25">
      <c r="A1290">
        <v>25365</v>
      </c>
      <c r="B1290" t="s">
        <v>916</v>
      </c>
      <c r="C1290" t="s">
        <v>1307</v>
      </c>
      <c r="D1290" t="s">
        <v>2421</v>
      </c>
      <c r="E1290">
        <v>5</v>
      </c>
      <c r="F1290">
        <v>0</v>
      </c>
      <c r="G1290">
        <v>0</v>
      </c>
      <c r="H1290">
        <v>884</v>
      </c>
      <c r="I1290">
        <v>3</v>
      </c>
      <c r="J1290">
        <v>892</v>
      </c>
      <c r="K1290">
        <f>COUNTIF(DF_Calculation!E:E,Table1[[#This Row],[ACS_CODE]])</f>
        <v>1</v>
      </c>
    </row>
    <row r="1291" spans="1:11" x14ac:dyDescent="0.25">
      <c r="A1291">
        <v>25329</v>
      </c>
      <c r="B1291" t="s">
        <v>916</v>
      </c>
      <c r="C1291" t="s">
        <v>1307</v>
      </c>
      <c r="D1291" t="s">
        <v>2422</v>
      </c>
      <c r="E1291">
        <v>5</v>
      </c>
      <c r="F1291">
        <v>0</v>
      </c>
      <c r="G1291">
        <v>0</v>
      </c>
      <c r="H1291">
        <v>2193</v>
      </c>
      <c r="I1291">
        <v>43</v>
      </c>
      <c r="J1291">
        <v>2241</v>
      </c>
      <c r="K1291">
        <f>COUNTIF(DF_Calculation!E:E,Table1[[#This Row],[ACS_CODE]])</f>
        <v>1</v>
      </c>
    </row>
    <row r="1292" spans="1:11" x14ac:dyDescent="0.25">
      <c r="A1292">
        <v>73191</v>
      </c>
      <c r="B1292" t="s">
        <v>937</v>
      </c>
      <c r="C1292" t="s">
        <v>1278</v>
      </c>
      <c r="D1292" t="s">
        <v>1467</v>
      </c>
      <c r="E1292">
        <v>5</v>
      </c>
      <c r="F1292">
        <v>0</v>
      </c>
      <c r="G1292">
        <v>0</v>
      </c>
      <c r="H1292">
        <v>0</v>
      </c>
      <c r="J1292">
        <v>5</v>
      </c>
      <c r="K1292">
        <f>COUNTIF(DF_Calculation!E:E,Table1[[#This Row],[ACS_CODE]])</f>
        <v>1</v>
      </c>
    </row>
    <row r="1293" spans="1:11" x14ac:dyDescent="0.25">
      <c r="A1293">
        <v>51185</v>
      </c>
      <c r="B1293" t="s">
        <v>1260</v>
      </c>
      <c r="C1293" t="s">
        <v>1259</v>
      </c>
      <c r="D1293" t="s">
        <v>1468</v>
      </c>
      <c r="E1293">
        <v>5</v>
      </c>
      <c r="F1293">
        <v>0</v>
      </c>
      <c r="G1293">
        <v>0</v>
      </c>
      <c r="H1293">
        <v>5</v>
      </c>
      <c r="J1293">
        <v>10</v>
      </c>
      <c r="K1293">
        <f>COUNTIF(DF_Calculation!E:E,Table1[[#This Row],[ACS_CODE]])</f>
        <v>1</v>
      </c>
    </row>
    <row r="1294" spans="1:11" x14ac:dyDescent="0.25">
      <c r="A1294">
        <v>51277</v>
      </c>
      <c r="B1294" t="s">
        <v>1260</v>
      </c>
      <c r="C1294" t="s">
        <v>1259</v>
      </c>
      <c r="D1294" t="s">
        <v>2423</v>
      </c>
      <c r="E1294">
        <v>5</v>
      </c>
      <c r="F1294">
        <v>0</v>
      </c>
      <c r="G1294">
        <v>0</v>
      </c>
      <c r="H1294">
        <v>48</v>
      </c>
      <c r="J1294">
        <v>53</v>
      </c>
      <c r="K1294">
        <f>COUNTIF(DF_Calculation!E:E,Table1[[#This Row],[ACS_CODE]])</f>
        <v>1</v>
      </c>
    </row>
    <row r="1295" spans="1:11" x14ac:dyDescent="0.25">
      <c r="A1295">
        <v>35311</v>
      </c>
      <c r="B1295" t="s">
        <v>991</v>
      </c>
      <c r="C1295" t="s">
        <v>991</v>
      </c>
      <c r="D1295" t="s">
        <v>2424</v>
      </c>
      <c r="E1295">
        <v>4</v>
      </c>
      <c r="F1295">
        <v>0</v>
      </c>
      <c r="G1295">
        <v>0</v>
      </c>
      <c r="H1295">
        <v>167</v>
      </c>
      <c r="I1295">
        <v>5</v>
      </c>
      <c r="J1295">
        <v>176</v>
      </c>
      <c r="K1295">
        <f>COUNTIF(DF_Calculation!E:E,Table1[[#This Row],[ACS_CODE]])</f>
        <v>1</v>
      </c>
    </row>
    <row r="1296" spans="1:11" x14ac:dyDescent="0.25">
      <c r="A1296">
        <v>35161</v>
      </c>
      <c r="B1296" t="s">
        <v>991</v>
      </c>
      <c r="C1296" t="s">
        <v>991</v>
      </c>
      <c r="D1296" t="s">
        <v>2425</v>
      </c>
      <c r="E1296">
        <v>4</v>
      </c>
      <c r="F1296">
        <v>0</v>
      </c>
      <c r="G1296">
        <v>0</v>
      </c>
      <c r="H1296">
        <v>454</v>
      </c>
      <c r="I1296">
        <v>5</v>
      </c>
      <c r="J1296">
        <v>463</v>
      </c>
      <c r="K1296">
        <f>COUNTIF(DF_Calculation!E:E,Table1[[#This Row],[ACS_CODE]])</f>
        <v>1</v>
      </c>
    </row>
    <row r="1297" spans="1:11" x14ac:dyDescent="0.25">
      <c r="A1297">
        <v>24355</v>
      </c>
      <c r="B1297" t="s">
        <v>916</v>
      </c>
      <c r="C1297" t="s">
        <v>1282</v>
      </c>
      <c r="D1297" t="s">
        <v>2426</v>
      </c>
      <c r="E1297">
        <v>4</v>
      </c>
      <c r="F1297">
        <v>0</v>
      </c>
      <c r="G1297">
        <v>0</v>
      </c>
      <c r="H1297">
        <v>5</v>
      </c>
      <c r="I1297">
        <v>1</v>
      </c>
      <c r="J1297">
        <v>10</v>
      </c>
      <c r="K1297">
        <f>COUNTIF(DF_Calculation!E:E,Table1[[#This Row],[ACS_CODE]])</f>
        <v>1</v>
      </c>
    </row>
    <row r="1298" spans="1:11" x14ac:dyDescent="0.25">
      <c r="A1298">
        <v>21275</v>
      </c>
      <c r="B1298" t="s">
        <v>916</v>
      </c>
      <c r="C1298" t="s">
        <v>1275</v>
      </c>
      <c r="D1298" t="s">
        <v>2427</v>
      </c>
      <c r="E1298">
        <v>4</v>
      </c>
      <c r="F1298">
        <v>0</v>
      </c>
      <c r="G1298">
        <v>0</v>
      </c>
      <c r="H1298">
        <v>871</v>
      </c>
      <c r="I1298">
        <v>160</v>
      </c>
      <c r="J1298">
        <v>1035</v>
      </c>
      <c r="K1298">
        <f>COUNTIF(DF_Calculation!E:E,Table1[[#This Row],[ACS_CODE]])</f>
        <v>1</v>
      </c>
    </row>
    <row r="1299" spans="1:11" x14ac:dyDescent="0.25">
      <c r="A1299">
        <v>53457</v>
      </c>
      <c r="B1299" t="s">
        <v>1201</v>
      </c>
      <c r="C1299" t="s">
        <v>1266</v>
      </c>
      <c r="D1299" t="s">
        <v>2428</v>
      </c>
      <c r="E1299">
        <v>4</v>
      </c>
      <c r="F1299">
        <v>0</v>
      </c>
      <c r="G1299">
        <v>0</v>
      </c>
      <c r="H1299">
        <v>0</v>
      </c>
      <c r="I1299">
        <v>7</v>
      </c>
      <c r="J1299">
        <v>11</v>
      </c>
      <c r="K1299">
        <f>COUNTIF(DF_Calculation!E:E,Table1[[#This Row],[ACS_CODE]])</f>
        <v>1</v>
      </c>
    </row>
    <row r="1300" spans="1:11" x14ac:dyDescent="0.25">
      <c r="A1300">
        <v>36147</v>
      </c>
      <c r="B1300" t="s">
        <v>919</v>
      </c>
      <c r="C1300" t="s">
        <v>982</v>
      </c>
      <c r="D1300" t="s">
        <v>1222</v>
      </c>
      <c r="E1300">
        <v>4</v>
      </c>
      <c r="F1300">
        <v>0</v>
      </c>
      <c r="G1300">
        <v>0</v>
      </c>
      <c r="H1300">
        <v>629</v>
      </c>
      <c r="I1300">
        <v>3</v>
      </c>
      <c r="J1300">
        <v>636</v>
      </c>
      <c r="K1300">
        <f>COUNTIF(DF_Calculation!E:E,Table1[[#This Row],[ACS_CODE]])</f>
        <v>1</v>
      </c>
    </row>
    <row r="1301" spans="1:11" x14ac:dyDescent="0.25">
      <c r="A1301">
        <v>36157</v>
      </c>
      <c r="B1301" t="s">
        <v>919</v>
      </c>
      <c r="C1301" t="s">
        <v>982</v>
      </c>
      <c r="D1301" t="s">
        <v>1223</v>
      </c>
      <c r="E1301">
        <v>4</v>
      </c>
      <c r="F1301">
        <v>0</v>
      </c>
      <c r="G1301">
        <v>0</v>
      </c>
      <c r="H1301">
        <v>50</v>
      </c>
      <c r="J1301">
        <v>54</v>
      </c>
      <c r="K1301">
        <f>COUNTIF(DF_Calculation!E:E,Table1[[#This Row],[ACS_CODE]])</f>
        <v>1</v>
      </c>
    </row>
    <row r="1302" spans="1:11" x14ac:dyDescent="0.25">
      <c r="A1302">
        <v>23253</v>
      </c>
      <c r="B1302" t="s">
        <v>916</v>
      </c>
      <c r="C1302" t="s">
        <v>921</v>
      </c>
      <c r="D1302" t="s">
        <v>1469</v>
      </c>
      <c r="E1302">
        <v>4</v>
      </c>
      <c r="F1302">
        <v>0</v>
      </c>
      <c r="G1302">
        <v>0</v>
      </c>
      <c r="H1302">
        <v>0</v>
      </c>
      <c r="I1302">
        <v>7</v>
      </c>
      <c r="J1302">
        <v>11</v>
      </c>
      <c r="K1302">
        <f>COUNTIF(DF_Calculation!E:E,Table1[[#This Row],[ACS_CODE]])</f>
        <v>1</v>
      </c>
    </row>
    <row r="1303" spans="1:11" x14ac:dyDescent="0.25">
      <c r="A1303">
        <v>23667</v>
      </c>
      <c r="B1303" t="s">
        <v>916</v>
      </c>
      <c r="C1303" t="s">
        <v>921</v>
      </c>
      <c r="D1303" t="s">
        <v>1224</v>
      </c>
      <c r="E1303">
        <v>4</v>
      </c>
      <c r="F1303">
        <v>0</v>
      </c>
      <c r="G1303">
        <v>0</v>
      </c>
      <c r="H1303">
        <v>2664</v>
      </c>
      <c r="I1303">
        <v>10</v>
      </c>
      <c r="J1303">
        <v>2678</v>
      </c>
      <c r="K1303">
        <f>COUNTIF(DF_Calculation!E:E,Table1[[#This Row],[ACS_CODE]])</f>
        <v>1</v>
      </c>
    </row>
    <row r="1304" spans="1:11" x14ac:dyDescent="0.25">
      <c r="A1304">
        <v>34223</v>
      </c>
      <c r="B1304" t="s">
        <v>919</v>
      </c>
      <c r="C1304" t="s">
        <v>931</v>
      </c>
      <c r="D1304" t="s">
        <v>1470</v>
      </c>
      <c r="E1304">
        <v>4</v>
      </c>
      <c r="F1304">
        <v>0</v>
      </c>
      <c r="G1304">
        <v>0</v>
      </c>
      <c r="H1304">
        <v>12</v>
      </c>
      <c r="J1304">
        <v>16</v>
      </c>
      <c r="K1304">
        <f>COUNTIF(DF_Calculation!E:E,Table1[[#This Row],[ACS_CODE]])</f>
        <v>1</v>
      </c>
    </row>
    <row r="1305" spans="1:11" x14ac:dyDescent="0.25">
      <c r="A1305">
        <v>34256</v>
      </c>
      <c r="B1305" t="s">
        <v>919</v>
      </c>
      <c r="C1305" t="s">
        <v>931</v>
      </c>
      <c r="D1305" t="s">
        <v>1225</v>
      </c>
      <c r="E1305">
        <v>4</v>
      </c>
      <c r="F1305">
        <v>0</v>
      </c>
      <c r="G1305">
        <v>0</v>
      </c>
      <c r="H1305">
        <v>298</v>
      </c>
      <c r="I1305">
        <v>6</v>
      </c>
      <c r="J1305">
        <v>308</v>
      </c>
      <c r="K1305">
        <f>COUNTIF(DF_Calculation!E:E,Table1[[#This Row],[ACS_CODE]])</f>
        <v>1</v>
      </c>
    </row>
    <row r="1306" spans="1:11" x14ac:dyDescent="0.25">
      <c r="A1306">
        <v>22567</v>
      </c>
      <c r="B1306" t="s">
        <v>916</v>
      </c>
      <c r="C1306" t="s">
        <v>915</v>
      </c>
      <c r="D1306" t="s">
        <v>1226</v>
      </c>
      <c r="E1306">
        <v>4</v>
      </c>
      <c r="F1306">
        <v>0</v>
      </c>
      <c r="G1306">
        <v>0</v>
      </c>
      <c r="H1306">
        <v>487</v>
      </c>
      <c r="I1306">
        <v>5</v>
      </c>
      <c r="J1306">
        <v>496</v>
      </c>
      <c r="K1306">
        <f>COUNTIF(DF_Calculation!E:E,Table1[[#This Row],[ACS_CODE]])</f>
        <v>1</v>
      </c>
    </row>
    <row r="1307" spans="1:11" x14ac:dyDescent="0.25">
      <c r="A1307">
        <v>37325</v>
      </c>
      <c r="B1307" t="s">
        <v>919</v>
      </c>
      <c r="C1307" t="s">
        <v>918</v>
      </c>
      <c r="D1307" t="s">
        <v>1227</v>
      </c>
      <c r="E1307">
        <v>4</v>
      </c>
      <c r="F1307">
        <v>0</v>
      </c>
      <c r="G1307">
        <v>0</v>
      </c>
      <c r="H1307">
        <v>3220</v>
      </c>
      <c r="J1307">
        <v>3224</v>
      </c>
      <c r="K1307">
        <f>COUNTIF(DF_Calculation!E:E,Table1[[#This Row],[ACS_CODE]])</f>
        <v>1</v>
      </c>
    </row>
    <row r="1308" spans="1:11" x14ac:dyDescent="0.25">
      <c r="A1308">
        <v>26296</v>
      </c>
      <c r="B1308" t="s">
        <v>916</v>
      </c>
      <c r="C1308" t="s">
        <v>1295</v>
      </c>
      <c r="D1308" t="s">
        <v>2429</v>
      </c>
      <c r="E1308">
        <v>4</v>
      </c>
      <c r="F1308">
        <v>0</v>
      </c>
      <c r="G1308">
        <v>0</v>
      </c>
      <c r="H1308">
        <v>260</v>
      </c>
      <c r="I1308">
        <v>3</v>
      </c>
      <c r="J1308">
        <v>267</v>
      </c>
      <c r="K1308">
        <f>COUNTIF(DF_Calculation!E:E,Table1[[#This Row],[ACS_CODE]])</f>
        <v>1</v>
      </c>
    </row>
    <row r="1309" spans="1:11" x14ac:dyDescent="0.25">
      <c r="A1309">
        <v>63294</v>
      </c>
      <c r="B1309" t="s">
        <v>1270</v>
      </c>
      <c r="C1309" t="s">
        <v>1332</v>
      </c>
      <c r="D1309" t="s">
        <v>2430</v>
      </c>
      <c r="E1309">
        <v>4</v>
      </c>
      <c r="F1309">
        <v>0</v>
      </c>
      <c r="G1309">
        <v>0</v>
      </c>
      <c r="H1309">
        <v>346</v>
      </c>
      <c r="I1309">
        <v>3</v>
      </c>
      <c r="J1309">
        <v>353</v>
      </c>
      <c r="K1309">
        <f>COUNTIF(DF_Calculation!E:E,Table1[[#This Row],[ACS_CODE]])</f>
        <v>1</v>
      </c>
    </row>
    <row r="1310" spans="1:11" x14ac:dyDescent="0.25">
      <c r="A1310">
        <v>63147</v>
      </c>
      <c r="B1310" t="s">
        <v>1270</v>
      </c>
      <c r="C1310" t="s">
        <v>1332</v>
      </c>
      <c r="D1310" t="s">
        <v>2431</v>
      </c>
      <c r="E1310">
        <v>4</v>
      </c>
      <c r="F1310">
        <v>0</v>
      </c>
      <c r="G1310">
        <v>0</v>
      </c>
      <c r="H1310">
        <v>135</v>
      </c>
      <c r="I1310">
        <v>1</v>
      </c>
      <c r="J1310">
        <v>140</v>
      </c>
      <c r="K1310">
        <f>COUNTIF(DF_Calculation!E:E,Table1[[#This Row],[ACS_CODE]])</f>
        <v>1</v>
      </c>
    </row>
    <row r="1311" spans="1:11" x14ac:dyDescent="0.25">
      <c r="A1311">
        <v>55167</v>
      </c>
      <c r="B1311" t="s">
        <v>1260</v>
      </c>
      <c r="C1311" t="s">
        <v>1291</v>
      </c>
      <c r="D1311" t="s">
        <v>2432</v>
      </c>
      <c r="E1311">
        <v>4</v>
      </c>
      <c r="F1311">
        <v>0</v>
      </c>
      <c r="G1311">
        <v>0</v>
      </c>
      <c r="H1311">
        <v>255</v>
      </c>
      <c r="I1311">
        <v>5</v>
      </c>
      <c r="J1311">
        <v>264</v>
      </c>
      <c r="K1311">
        <f>COUNTIF(DF_Calculation!E:E,Table1[[#This Row],[ACS_CODE]])</f>
        <v>1</v>
      </c>
    </row>
    <row r="1312" spans="1:11" x14ac:dyDescent="0.25">
      <c r="A1312">
        <v>61486</v>
      </c>
      <c r="B1312" t="s">
        <v>1270</v>
      </c>
      <c r="C1312" t="s">
        <v>1288</v>
      </c>
      <c r="D1312" t="s">
        <v>1471</v>
      </c>
      <c r="E1312">
        <v>4</v>
      </c>
      <c r="F1312">
        <v>0</v>
      </c>
      <c r="G1312">
        <v>0</v>
      </c>
      <c r="H1312">
        <v>185</v>
      </c>
      <c r="J1312">
        <v>189</v>
      </c>
      <c r="K1312">
        <f>COUNTIF(DF_Calculation!E:E,Table1[[#This Row],[ACS_CODE]])</f>
        <v>1</v>
      </c>
    </row>
    <row r="1313" spans="1:11" x14ac:dyDescent="0.25">
      <c r="A1313">
        <v>52247</v>
      </c>
      <c r="B1313" t="s">
        <v>1260</v>
      </c>
      <c r="C1313" t="s">
        <v>1323</v>
      </c>
      <c r="D1313" t="s">
        <v>1472</v>
      </c>
      <c r="E1313">
        <v>4</v>
      </c>
      <c r="F1313">
        <v>0</v>
      </c>
      <c r="G1313">
        <v>0</v>
      </c>
      <c r="H1313">
        <v>1</v>
      </c>
      <c r="J1313">
        <v>5</v>
      </c>
      <c r="K1313">
        <f>COUNTIF(DF_Calculation!E:E,Table1[[#This Row],[ACS_CODE]])</f>
        <v>1</v>
      </c>
    </row>
    <row r="1314" spans="1:11" x14ac:dyDescent="0.25">
      <c r="A1314">
        <v>51251</v>
      </c>
      <c r="B1314" t="s">
        <v>1260</v>
      </c>
      <c r="C1314" t="s">
        <v>1259</v>
      </c>
      <c r="D1314" t="s">
        <v>1473</v>
      </c>
      <c r="E1314">
        <v>4</v>
      </c>
      <c r="F1314">
        <v>0</v>
      </c>
      <c r="G1314">
        <v>0</v>
      </c>
      <c r="H1314">
        <v>5</v>
      </c>
      <c r="J1314">
        <v>9</v>
      </c>
      <c r="K1314">
        <f>COUNTIF(DF_Calculation!E:E,Table1[[#This Row],[ACS_CODE]])</f>
        <v>1</v>
      </c>
    </row>
    <row r="1315" spans="1:11" x14ac:dyDescent="0.25">
      <c r="A1315">
        <v>51264</v>
      </c>
      <c r="B1315" t="s">
        <v>1260</v>
      </c>
      <c r="C1315" t="s">
        <v>1259</v>
      </c>
      <c r="D1315" t="s">
        <v>1474</v>
      </c>
      <c r="E1315">
        <v>4</v>
      </c>
      <c r="F1315">
        <v>0</v>
      </c>
      <c r="G1315">
        <v>0</v>
      </c>
      <c r="H1315">
        <v>9</v>
      </c>
      <c r="J1315">
        <v>13</v>
      </c>
      <c r="K1315">
        <f>COUNTIF(DF_Calculation!E:E,Table1[[#This Row],[ACS_CODE]])</f>
        <v>1</v>
      </c>
    </row>
    <row r="1316" spans="1:11" x14ac:dyDescent="0.25">
      <c r="A1316">
        <v>51145</v>
      </c>
      <c r="B1316" t="s">
        <v>1260</v>
      </c>
      <c r="C1316" t="s">
        <v>1259</v>
      </c>
      <c r="D1316" t="s">
        <v>2433</v>
      </c>
      <c r="E1316">
        <v>4</v>
      </c>
      <c r="F1316">
        <v>0</v>
      </c>
      <c r="G1316">
        <v>0</v>
      </c>
      <c r="H1316">
        <v>194</v>
      </c>
      <c r="J1316">
        <v>198</v>
      </c>
      <c r="K1316">
        <f>COUNTIF(DF_Calculation!E:E,Table1[[#This Row],[ACS_CODE]])</f>
        <v>1</v>
      </c>
    </row>
    <row r="1317" spans="1:11" x14ac:dyDescent="0.25">
      <c r="A1317">
        <v>35412</v>
      </c>
      <c r="B1317" t="s">
        <v>991</v>
      </c>
      <c r="C1317" t="s">
        <v>991</v>
      </c>
      <c r="D1317" t="s">
        <v>2434</v>
      </c>
      <c r="E1317">
        <v>3</v>
      </c>
      <c r="F1317">
        <v>0</v>
      </c>
      <c r="G1317">
        <v>0</v>
      </c>
      <c r="H1317">
        <v>303</v>
      </c>
      <c r="J1317">
        <v>306</v>
      </c>
      <c r="K1317">
        <f>COUNTIF(DF_Calculation!E:E,Table1[[#This Row],[ACS_CODE]])</f>
        <v>1</v>
      </c>
    </row>
    <row r="1318" spans="1:11" x14ac:dyDescent="0.25">
      <c r="A1318">
        <v>35331</v>
      </c>
      <c r="B1318" t="s">
        <v>991</v>
      </c>
      <c r="C1318" t="s">
        <v>991</v>
      </c>
      <c r="D1318" t="s">
        <v>2435</v>
      </c>
      <c r="E1318">
        <v>3</v>
      </c>
      <c r="F1318">
        <v>0</v>
      </c>
      <c r="G1318">
        <v>0</v>
      </c>
      <c r="H1318">
        <v>553</v>
      </c>
      <c r="I1318">
        <v>6</v>
      </c>
      <c r="J1318">
        <v>562</v>
      </c>
      <c r="K1318">
        <f>COUNTIF(DF_Calculation!E:E,Table1[[#This Row],[ACS_CODE]])</f>
        <v>1</v>
      </c>
    </row>
    <row r="1319" spans="1:11" x14ac:dyDescent="0.25">
      <c r="A1319">
        <v>35356</v>
      </c>
      <c r="B1319" t="s">
        <v>991</v>
      </c>
      <c r="C1319" t="s">
        <v>991</v>
      </c>
      <c r="D1319" t="s">
        <v>2436</v>
      </c>
      <c r="E1319">
        <v>3</v>
      </c>
      <c r="F1319">
        <v>0</v>
      </c>
      <c r="G1319">
        <v>0</v>
      </c>
      <c r="H1319">
        <v>265</v>
      </c>
      <c r="J1319">
        <v>268</v>
      </c>
      <c r="K1319">
        <f>COUNTIF(DF_Calculation!E:E,Table1[[#This Row],[ACS_CODE]])</f>
        <v>1</v>
      </c>
    </row>
    <row r="1320" spans="1:11" x14ac:dyDescent="0.25">
      <c r="A1320">
        <v>24357</v>
      </c>
      <c r="B1320" t="s">
        <v>916</v>
      </c>
      <c r="C1320" t="s">
        <v>1282</v>
      </c>
      <c r="D1320" t="s">
        <v>2437</v>
      </c>
      <c r="E1320">
        <v>3</v>
      </c>
      <c r="F1320">
        <v>0</v>
      </c>
      <c r="G1320">
        <v>0</v>
      </c>
      <c r="H1320">
        <v>177</v>
      </c>
      <c r="I1320">
        <v>4</v>
      </c>
      <c r="J1320">
        <v>184</v>
      </c>
      <c r="K1320">
        <f>COUNTIF(DF_Calculation!E:E,Table1[[#This Row],[ACS_CODE]])</f>
        <v>1</v>
      </c>
    </row>
    <row r="1321" spans="1:11" x14ac:dyDescent="0.25">
      <c r="A1321">
        <v>24363</v>
      </c>
      <c r="B1321" t="s">
        <v>916</v>
      </c>
      <c r="C1321" t="s">
        <v>1282</v>
      </c>
      <c r="D1321" t="s">
        <v>2438</v>
      </c>
      <c r="E1321">
        <v>3</v>
      </c>
      <c r="F1321">
        <v>0</v>
      </c>
      <c r="G1321">
        <v>0</v>
      </c>
      <c r="H1321">
        <v>18</v>
      </c>
      <c r="I1321">
        <v>10</v>
      </c>
      <c r="J1321">
        <v>31</v>
      </c>
      <c r="K1321">
        <f>COUNTIF(DF_Calculation!E:E,Table1[[#This Row],[ACS_CODE]])</f>
        <v>1</v>
      </c>
    </row>
    <row r="1322" spans="1:11" x14ac:dyDescent="0.25">
      <c r="A1322">
        <v>53163</v>
      </c>
      <c r="B1322" t="s">
        <v>1201</v>
      </c>
      <c r="C1322" t="s">
        <v>1266</v>
      </c>
      <c r="D1322" t="s">
        <v>1475</v>
      </c>
      <c r="E1322">
        <v>3</v>
      </c>
      <c r="F1322">
        <v>0</v>
      </c>
      <c r="G1322">
        <v>0</v>
      </c>
      <c r="H1322">
        <v>0</v>
      </c>
      <c r="J1322">
        <v>3</v>
      </c>
      <c r="K1322">
        <f>COUNTIF(DF_Calculation!E:E,Table1[[#This Row],[ACS_CODE]])</f>
        <v>1</v>
      </c>
    </row>
    <row r="1323" spans="1:11" x14ac:dyDescent="0.25">
      <c r="A1323">
        <v>36121</v>
      </c>
      <c r="B1323" t="s">
        <v>919</v>
      </c>
      <c r="C1323" t="s">
        <v>982</v>
      </c>
      <c r="D1323" t="s">
        <v>1228</v>
      </c>
      <c r="E1323">
        <v>3</v>
      </c>
      <c r="F1323">
        <v>0</v>
      </c>
      <c r="G1323">
        <v>0</v>
      </c>
      <c r="H1323">
        <v>782</v>
      </c>
      <c r="I1323">
        <v>16</v>
      </c>
      <c r="J1323">
        <v>801</v>
      </c>
      <c r="K1323">
        <f>COUNTIF(DF_Calculation!E:E,Table1[[#This Row],[ACS_CODE]])</f>
        <v>1</v>
      </c>
    </row>
    <row r="1324" spans="1:11" x14ac:dyDescent="0.25">
      <c r="A1324">
        <v>36191</v>
      </c>
      <c r="B1324" t="s">
        <v>919</v>
      </c>
      <c r="C1324" t="s">
        <v>982</v>
      </c>
      <c r="D1324" t="s">
        <v>1229</v>
      </c>
      <c r="E1324">
        <v>3</v>
      </c>
      <c r="F1324">
        <v>0</v>
      </c>
      <c r="G1324">
        <v>0</v>
      </c>
      <c r="H1324">
        <v>540</v>
      </c>
      <c r="J1324">
        <v>543</v>
      </c>
      <c r="K1324">
        <f>COUNTIF(DF_Calculation!E:E,Table1[[#This Row],[ACS_CODE]])</f>
        <v>1</v>
      </c>
    </row>
    <row r="1325" spans="1:11" x14ac:dyDescent="0.25">
      <c r="A1325">
        <v>22471</v>
      </c>
      <c r="B1325" t="s">
        <v>916</v>
      </c>
      <c r="C1325" t="s">
        <v>915</v>
      </c>
      <c r="D1325" t="s">
        <v>1230</v>
      </c>
      <c r="E1325">
        <v>3</v>
      </c>
      <c r="F1325">
        <v>0</v>
      </c>
      <c r="G1325">
        <v>0</v>
      </c>
      <c r="H1325">
        <v>1010</v>
      </c>
      <c r="I1325">
        <v>325</v>
      </c>
      <c r="J1325">
        <v>1338</v>
      </c>
      <c r="K1325">
        <f>COUNTIF(DF_Calculation!E:E,Table1[[#This Row],[ACS_CODE]])</f>
        <v>1</v>
      </c>
    </row>
    <row r="1326" spans="1:11" x14ac:dyDescent="0.25">
      <c r="A1326">
        <v>22487</v>
      </c>
      <c r="B1326" t="s">
        <v>916</v>
      </c>
      <c r="C1326" t="s">
        <v>915</v>
      </c>
      <c r="D1326" t="s">
        <v>1476</v>
      </c>
      <c r="E1326">
        <v>3</v>
      </c>
      <c r="F1326">
        <v>0</v>
      </c>
      <c r="G1326">
        <v>0</v>
      </c>
      <c r="H1326">
        <v>0</v>
      </c>
      <c r="J1326">
        <v>3</v>
      </c>
      <c r="K1326">
        <f>COUNTIF(DF_Calculation!E:E,Table1[[#This Row],[ACS_CODE]])</f>
        <v>1</v>
      </c>
    </row>
    <row r="1327" spans="1:11" x14ac:dyDescent="0.25">
      <c r="A1327">
        <v>71371</v>
      </c>
      <c r="B1327" t="s">
        <v>937</v>
      </c>
      <c r="C1327" t="s">
        <v>937</v>
      </c>
      <c r="D1327" t="s">
        <v>1477</v>
      </c>
      <c r="E1327">
        <v>3</v>
      </c>
      <c r="F1327">
        <v>0</v>
      </c>
      <c r="G1327">
        <v>0</v>
      </c>
      <c r="H1327">
        <v>0</v>
      </c>
      <c r="J1327">
        <v>3</v>
      </c>
      <c r="K1327">
        <f>COUNTIF(DF_Calculation!E:E,Table1[[#This Row],[ACS_CODE]])</f>
        <v>1</v>
      </c>
    </row>
    <row r="1328" spans="1:11" x14ac:dyDescent="0.25">
      <c r="A1328">
        <v>26234</v>
      </c>
      <c r="B1328" t="s">
        <v>916</v>
      </c>
      <c r="C1328" t="s">
        <v>1295</v>
      </c>
      <c r="D1328" t="s">
        <v>2439</v>
      </c>
      <c r="E1328">
        <v>3</v>
      </c>
      <c r="F1328">
        <v>0</v>
      </c>
      <c r="G1328">
        <v>0</v>
      </c>
      <c r="H1328">
        <v>133</v>
      </c>
      <c r="I1328">
        <v>110</v>
      </c>
      <c r="J1328">
        <v>246</v>
      </c>
      <c r="K1328">
        <f>COUNTIF(DF_Calculation!E:E,Table1[[#This Row],[ACS_CODE]])</f>
        <v>1</v>
      </c>
    </row>
    <row r="1329" spans="1:11" x14ac:dyDescent="0.25">
      <c r="A1329">
        <v>26334</v>
      </c>
      <c r="B1329" t="s">
        <v>916</v>
      </c>
      <c r="C1329" t="s">
        <v>1295</v>
      </c>
      <c r="D1329" t="s">
        <v>2440</v>
      </c>
      <c r="E1329">
        <v>3</v>
      </c>
      <c r="F1329">
        <v>0</v>
      </c>
      <c r="G1329">
        <v>0</v>
      </c>
      <c r="H1329">
        <v>0</v>
      </c>
      <c r="J1329">
        <v>3</v>
      </c>
      <c r="K1329">
        <f>COUNTIF(DF_Calculation!E:E,Table1[[#This Row],[ACS_CODE]])</f>
        <v>1</v>
      </c>
    </row>
    <row r="1330" spans="1:11" x14ac:dyDescent="0.25">
      <c r="A1330">
        <v>63171</v>
      </c>
      <c r="B1330" t="s">
        <v>1270</v>
      </c>
      <c r="C1330" t="s">
        <v>1332</v>
      </c>
      <c r="D1330" t="s">
        <v>2441</v>
      </c>
      <c r="E1330">
        <v>3</v>
      </c>
      <c r="F1330">
        <v>0</v>
      </c>
      <c r="G1330">
        <v>0</v>
      </c>
      <c r="H1330">
        <v>188</v>
      </c>
      <c r="I1330">
        <v>3</v>
      </c>
      <c r="J1330">
        <v>194</v>
      </c>
      <c r="K1330">
        <f>COUNTIF(DF_Calculation!E:E,Table1[[#This Row],[ACS_CODE]])</f>
        <v>1</v>
      </c>
    </row>
    <row r="1331" spans="1:11" x14ac:dyDescent="0.25">
      <c r="A1331">
        <v>63264</v>
      </c>
      <c r="B1331" t="s">
        <v>1270</v>
      </c>
      <c r="C1331" t="s">
        <v>1332</v>
      </c>
      <c r="D1331" t="s">
        <v>2442</v>
      </c>
      <c r="E1331">
        <v>3</v>
      </c>
      <c r="F1331">
        <v>0</v>
      </c>
      <c r="G1331">
        <v>0</v>
      </c>
      <c r="H1331">
        <v>80</v>
      </c>
      <c r="I1331">
        <v>2</v>
      </c>
      <c r="J1331">
        <v>85</v>
      </c>
      <c r="K1331">
        <f>COUNTIF(DF_Calculation!E:E,Table1[[#This Row],[ACS_CODE]])</f>
        <v>1</v>
      </c>
    </row>
    <row r="1332" spans="1:11" x14ac:dyDescent="0.25">
      <c r="A1332">
        <v>63134</v>
      </c>
      <c r="B1332" t="s">
        <v>1270</v>
      </c>
      <c r="C1332" t="s">
        <v>1332</v>
      </c>
      <c r="D1332" t="s">
        <v>2443</v>
      </c>
      <c r="E1332">
        <v>3</v>
      </c>
      <c r="F1332">
        <v>0</v>
      </c>
      <c r="G1332">
        <v>0</v>
      </c>
      <c r="H1332">
        <v>146</v>
      </c>
      <c r="J1332">
        <v>149</v>
      </c>
      <c r="K1332">
        <f>COUNTIF(DF_Calculation!E:E,Table1[[#This Row],[ACS_CODE]])</f>
        <v>1</v>
      </c>
    </row>
    <row r="1333" spans="1:11" x14ac:dyDescent="0.25">
      <c r="A1333">
        <v>51271</v>
      </c>
      <c r="B1333" t="s">
        <v>1260</v>
      </c>
      <c r="C1333" t="s">
        <v>1259</v>
      </c>
      <c r="D1333" t="s">
        <v>1478</v>
      </c>
      <c r="E1333">
        <v>3</v>
      </c>
      <c r="F1333">
        <v>0</v>
      </c>
      <c r="G1333">
        <v>0</v>
      </c>
      <c r="H1333">
        <v>343</v>
      </c>
      <c r="J1333">
        <v>346</v>
      </c>
      <c r="K1333">
        <f>COUNTIF(DF_Calculation!E:E,Table1[[#This Row],[ACS_CODE]])</f>
        <v>1</v>
      </c>
    </row>
    <row r="1334" spans="1:11" x14ac:dyDescent="0.25">
      <c r="A1334">
        <v>24347</v>
      </c>
      <c r="B1334" t="s">
        <v>916</v>
      </c>
      <c r="C1334" t="s">
        <v>1282</v>
      </c>
      <c r="D1334" t="s">
        <v>2444</v>
      </c>
      <c r="E1334">
        <v>2</v>
      </c>
      <c r="F1334">
        <v>0</v>
      </c>
      <c r="G1334">
        <v>0</v>
      </c>
      <c r="H1334">
        <v>130</v>
      </c>
      <c r="J1334">
        <v>132</v>
      </c>
      <c r="K1334">
        <f>COUNTIF(DF_Calculation!E:E,Table1[[#This Row],[ACS_CODE]])</f>
        <v>1</v>
      </c>
    </row>
    <row r="1335" spans="1:11" x14ac:dyDescent="0.25">
      <c r="A1335">
        <v>53469</v>
      </c>
      <c r="B1335" t="s">
        <v>1201</v>
      </c>
      <c r="C1335" t="s">
        <v>1266</v>
      </c>
      <c r="D1335" t="s">
        <v>1479</v>
      </c>
      <c r="E1335">
        <v>2</v>
      </c>
      <c r="F1335">
        <v>0</v>
      </c>
      <c r="G1335">
        <v>0</v>
      </c>
      <c r="H1335">
        <v>0</v>
      </c>
      <c r="J1335">
        <v>2</v>
      </c>
      <c r="K1335">
        <f>COUNTIF(DF_Calculation!E:E,Table1[[#This Row],[ACS_CODE]])</f>
        <v>1</v>
      </c>
    </row>
    <row r="1336" spans="1:11" x14ac:dyDescent="0.25">
      <c r="A1336">
        <v>36187</v>
      </c>
      <c r="B1336" t="s">
        <v>919</v>
      </c>
      <c r="C1336" t="s">
        <v>982</v>
      </c>
      <c r="D1336" t="s">
        <v>1231</v>
      </c>
      <c r="E1336">
        <v>2</v>
      </c>
      <c r="F1336">
        <v>0</v>
      </c>
      <c r="G1336">
        <v>0</v>
      </c>
      <c r="H1336">
        <v>6113</v>
      </c>
      <c r="I1336">
        <v>4</v>
      </c>
      <c r="J1336">
        <v>6119</v>
      </c>
      <c r="K1336">
        <f>COUNTIF(DF_Calculation!E:E,Table1[[#This Row],[ACS_CODE]])</f>
        <v>1</v>
      </c>
    </row>
    <row r="1337" spans="1:11" x14ac:dyDescent="0.25">
      <c r="A1337">
        <v>36124</v>
      </c>
      <c r="B1337" t="s">
        <v>919</v>
      </c>
      <c r="C1337" t="s">
        <v>982</v>
      </c>
      <c r="D1337" t="s">
        <v>1232</v>
      </c>
      <c r="E1337">
        <v>2</v>
      </c>
      <c r="F1337">
        <v>0</v>
      </c>
      <c r="G1337">
        <v>0</v>
      </c>
      <c r="H1337">
        <v>589</v>
      </c>
      <c r="I1337">
        <v>10</v>
      </c>
      <c r="J1337">
        <v>601</v>
      </c>
      <c r="K1337">
        <f>COUNTIF(DF_Calculation!E:E,Table1[[#This Row],[ACS_CODE]])</f>
        <v>1</v>
      </c>
    </row>
    <row r="1338" spans="1:11" x14ac:dyDescent="0.25">
      <c r="A1338">
        <v>34253</v>
      </c>
      <c r="B1338" t="s">
        <v>919</v>
      </c>
      <c r="C1338" t="s">
        <v>931</v>
      </c>
      <c r="D1338" t="s">
        <v>1480</v>
      </c>
      <c r="E1338">
        <v>2</v>
      </c>
      <c r="F1338">
        <v>0</v>
      </c>
      <c r="G1338">
        <v>0</v>
      </c>
      <c r="H1338">
        <v>29</v>
      </c>
      <c r="I1338">
        <v>2</v>
      </c>
      <c r="J1338">
        <v>33</v>
      </c>
      <c r="K1338">
        <f>COUNTIF(DF_Calculation!E:E,Table1[[#This Row],[ACS_CODE]])</f>
        <v>1</v>
      </c>
    </row>
    <row r="1339" spans="1:11" x14ac:dyDescent="0.25">
      <c r="A1339">
        <v>34247</v>
      </c>
      <c r="B1339" t="s">
        <v>919</v>
      </c>
      <c r="C1339" t="s">
        <v>931</v>
      </c>
      <c r="D1339" t="s">
        <v>2445</v>
      </c>
      <c r="E1339">
        <v>2</v>
      </c>
      <c r="F1339">
        <v>0</v>
      </c>
      <c r="G1339">
        <v>0</v>
      </c>
      <c r="H1339">
        <v>248</v>
      </c>
      <c r="J1339">
        <v>250</v>
      </c>
      <c r="K1339">
        <f>COUNTIF(DF_Calculation!E:E,Table1[[#This Row],[ACS_CODE]])</f>
        <v>1</v>
      </c>
    </row>
    <row r="1340" spans="1:11" x14ac:dyDescent="0.25">
      <c r="A1340">
        <v>54143</v>
      </c>
      <c r="B1340" t="s">
        <v>1201</v>
      </c>
      <c r="C1340" t="s">
        <v>1200</v>
      </c>
      <c r="D1340" t="s">
        <v>1481</v>
      </c>
      <c r="E1340">
        <v>2</v>
      </c>
      <c r="F1340">
        <v>0</v>
      </c>
      <c r="G1340">
        <v>0</v>
      </c>
      <c r="H1340">
        <v>19</v>
      </c>
      <c r="J1340">
        <v>21</v>
      </c>
      <c r="K1340">
        <f>COUNTIF(DF_Calculation!E:E,Table1[[#This Row],[ACS_CODE]])</f>
        <v>1</v>
      </c>
    </row>
    <row r="1341" spans="1:11" x14ac:dyDescent="0.25">
      <c r="A1341">
        <v>22591</v>
      </c>
      <c r="B1341" t="s">
        <v>916</v>
      </c>
      <c r="C1341" t="s">
        <v>915</v>
      </c>
      <c r="D1341" t="s">
        <v>1233</v>
      </c>
      <c r="E1341">
        <v>2</v>
      </c>
      <c r="F1341">
        <v>0</v>
      </c>
      <c r="G1341">
        <v>0</v>
      </c>
      <c r="H1341">
        <v>414</v>
      </c>
      <c r="I1341">
        <v>10</v>
      </c>
      <c r="J1341">
        <v>426</v>
      </c>
      <c r="K1341">
        <f>COUNTIF(DF_Calculation!E:E,Table1[[#This Row],[ACS_CODE]])</f>
        <v>1</v>
      </c>
    </row>
    <row r="1342" spans="1:11" x14ac:dyDescent="0.25">
      <c r="A1342">
        <v>22722</v>
      </c>
      <c r="B1342" t="s">
        <v>916</v>
      </c>
      <c r="C1342" t="s">
        <v>915</v>
      </c>
      <c r="D1342" t="s">
        <v>1234</v>
      </c>
      <c r="E1342">
        <v>2</v>
      </c>
      <c r="F1342">
        <v>0</v>
      </c>
      <c r="G1342">
        <v>0</v>
      </c>
      <c r="H1342">
        <v>44</v>
      </c>
      <c r="I1342">
        <v>1</v>
      </c>
      <c r="J1342">
        <v>47</v>
      </c>
      <c r="K1342">
        <f>COUNTIF(DF_Calculation!E:E,Table1[[#This Row],[ACS_CODE]])</f>
        <v>1</v>
      </c>
    </row>
    <row r="1343" spans="1:11" x14ac:dyDescent="0.25">
      <c r="A1343">
        <v>26367</v>
      </c>
      <c r="B1343" t="s">
        <v>916</v>
      </c>
      <c r="C1343" t="s">
        <v>1295</v>
      </c>
      <c r="D1343" t="s">
        <v>2446</v>
      </c>
      <c r="E1343">
        <v>2</v>
      </c>
      <c r="F1343">
        <v>0</v>
      </c>
      <c r="G1343">
        <v>0</v>
      </c>
      <c r="H1343">
        <v>1331</v>
      </c>
      <c r="I1343">
        <v>6</v>
      </c>
      <c r="J1343">
        <v>1339</v>
      </c>
      <c r="K1343">
        <f>COUNTIF(DF_Calculation!E:E,Table1[[#This Row],[ACS_CODE]])</f>
        <v>1</v>
      </c>
    </row>
    <row r="1344" spans="1:11" x14ac:dyDescent="0.25">
      <c r="A1344">
        <v>25485</v>
      </c>
      <c r="B1344" t="s">
        <v>916</v>
      </c>
      <c r="C1344" t="s">
        <v>1307</v>
      </c>
      <c r="D1344" t="s">
        <v>1482</v>
      </c>
      <c r="E1344">
        <v>2</v>
      </c>
      <c r="F1344">
        <v>0</v>
      </c>
      <c r="G1344">
        <v>0</v>
      </c>
      <c r="H1344">
        <v>0</v>
      </c>
      <c r="J1344">
        <v>2</v>
      </c>
      <c r="K1344">
        <f>COUNTIF(DF_Calculation!E:E,Table1[[#This Row],[ACS_CODE]])</f>
        <v>1</v>
      </c>
    </row>
    <row r="1345" spans="1:11" x14ac:dyDescent="0.25">
      <c r="A1345">
        <v>73230</v>
      </c>
      <c r="B1345" t="s">
        <v>937</v>
      </c>
      <c r="C1345" t="s">
        <v>1278</v>
      </c>
      <c r="D1345" t="s">
        <v>2447</v>
      </c>
      <c r="E1345">
        <v>2</v>
      </c>
      <c r="F1345">
        <v>0</v>
      </c>
      <c r="G1345">
        <v>0</v>
      </c>
      <c r="H1345">
        <v>337</v>
      </c>
      <c r="J1345">
        <v>339</v>
      </c>
      <c r="K1345">
        <f>COUNTIF(DF_Calculation!E:E,Table1[[#This Row],[ACS_CODE]])</f>
        <v>1</v>
      </c>
    </row>
    <row r="1346" spans="1:11" x14ac:dyDescent="0.25">
      <c r="A1346">
        <v>55187</v>
      </c>
      <c r="B1346" t="s">
        <v>1260</v>
      </c>
      <c r="C1346" t="s">
        <v>1291</v>
      </c>
      <c r="D1346" t="s">
        <v>2448</v>
      </c>
      <c r="E1346">
        <v>2</v>
      </c>
      <c r="F1346">
        <v>0</v>
      </c>
      <c r="G1346">
        <v>0</v>
      </c>
      <c r="H1346">
        <v>641</v>
      </c>
      <c r="I1346">
        <v>3</v>
      </c>
      <c r="J1346">
        <v>646</v>
      </c>
      <c r="K1346">
        <f>COUNTIF(DF_Calculation!E:E,Table1[[#This Row],[ACS_CODE]])</f>
        <v>1</v>
      </c>
    </row>
    <row r="1347" spans="1:11" x14ac:dyDescent="0.25">
      <c r="A1347">
        <v>62321</v>
      </c>
      <c r="B1347" t="s">
        <v>1270</v>
      </c>
      <c r="C1347" t="s">
        <v>1269</v>
      </c>
      <c r="D1347" t="s">
        <v>2449</v>
      </c>
      <c r="E1347">
        <v>2</v>
      </c>
      <c r="F1347">
        <v>0</v>
      </c>
      <c r="G1347">
        <v>0</v>
      </c>
      <c r="H1347">
        <v>231</v>
      </c>
      <c r="I1347">
        <v>1</v>
      </c>
      <c r="J1347">
        <v>234</v>
      </c>
      <c r="K1347">
        <f>COUNTIF(DF_Calculation!E:E,Table1[[#This Row],[ACS_CODE]])</f>
        <v>1</v>
      </c>
    </row>
    <row r="1348" spans="1:11" x14ac:dyDescent="0.25">
      <c r="A1348">
        <v>62351</v>
      </c>
      <c r="B1348" t="s">
        <v>1270</v>
      </c>
      <c r="C1348" t="s">
        <v>1269</v>
      </c>
      <c r="D1348" t="s">
        <v>2450</v>
      </c>
      <c r="E1348">
        <v>2</v>
      </c>
      <c r="F1348">
        <v>0</v>
      </c>
      <c r="G1348">
        <v>0</v>
      </c>
      <c r="H1348">
        <v>68</v>
      </c>
      <c r="J1348">
        <v>70</v>
      </c>
      <c r="K1348">
        <f>COUNTIF(DF_Calculation!E:E,Table1[[#This Row],[ACS_CODE]])</f>
        <v>1</v>
      </c>
    </row>
    <row r="1349" spans="1:11" x14ac:dyDescent="0.25">
      <c r="A1349">
        <v>24327</v>
      </c>
      <c r="B1349" t="s">
        <v>916</v>
      </c>
      <c r="C1349" t="s">
        <v>1282</v>
      </c>
      <c r="D1349" t="s">
        <v>2451</v>
      </c>
      <c r="E1349">
        <v>1</v>
      </c>
      <c r="F1349">
        <v>0</v>
      </c>
      <c r="G1349">
        <v>0</v>
      </c>
      <c r="H1349">
        <v>5</v>
      </c>
      <c r="I1349">
        <v>12</v>
      </c>
      <c r="J1349">
        <v>18</v>
      </c>
      <c r="K1349">
        <f>COUNTIF(DF_Calculation!E:E,Table1[[#This Row],[ACS_CODE]])</f>
        <v>1</v>
      </c>
    </row>
    <row r="1350" spans="1:11" x14ac:dyDescent="0.25">
      <c r="A1350">
        <v>72281</v>
      </c>
      <c r="B1350" t="s">
        <v>937</v>
      </c>
      <c r="C1350" t="s">
        <v>1514</v>
      </c>
      <c r="D1350" t="s">
        <v>2452</v>
      </c>
      <c r="E1350">
        <v>1</v>
      </c>
      <c r="F1350">
        <v>0</v>
      </c>
      <c r="G1350">
        <v>0</v>
      </c>
      <c r="H1350">
        <v>1448</v>
      </c>
      <c r="I1350">
        <v>5</v>
      </c>
      <c r="J1350">
        <v>1454</v>
      </c>
      <c r="K1350">
        <f>COUNTIF(DF_Calculation!E:E,Table1[[#This Row],[ACS_CODE]])</f>
        <v>1</v>
      </c>
    </row>
    <row r="1351" spans="1:11" x14ac:dyDescent="0.25">
      <c r="A1351">
        <v>23619</v>
      </c>
      <c r="B1351" t="s">
        <v>916</v>
      </c>
      <c r="C1351" t="s">
        <v>921</v>
      </c>
      <c r="D1351" t="s">
        <v>1235</v>
      </c>
      <c r="E1351">
        <v>1</v>
      </c>
      <c r="F1351">
        <v>0</v>
      </c>
      <c r="G1351">
        <v>0</v>
      </c>
      <c r="H1351">
        <v>1391</v>
      </c>
      <c r="I1351">
        <v>22</v>
      </c>
      <c r="J1351">
        <v>1414</v>
      </c>
      <c r="K1351">
        <f>COUNTIF(DF_Calculation!E:E,Table1[[#This Row],[ACS_CODE]])</f>
        <v>1</v>
      </c>
    </row>
    <row r="1352" spans="1:11" x14ac:dyDescent="0.25">
      <c r="A1352">
        <v>34279</v>
      </c>
      <c r="B1352" t="s">
        <v>919</v>
      </c>
      <c r="C1352" t="s">
        <v>931</v>
      </c>
      <c r="D1352" t="s">
        <v>1236</v>
      </c>
      <c r="E1352">
        <v>1</v>
      </c>
      <c r="F1352">
        <v>0</v>
      </c>
      <c r="G1352">
        <v>0</v>
      </c>
      <c r="H1352">
        <v>69</v>
      </c>
      <c r="I1352">
        <v>15</v>
      </c>
      <c r="J1352">
        <v>85</v>
      </c>
      <c r="K1352">
        <f>COUNTIF(DF_Calculation!E:E,Table1[[#This Row],[ACS_CODE]])</f>
        <v>1</v>
      </c>
    </row>
    <row r="1353" spans="1:11" x14ac:dyDescent="0.25">
      <c r="A1353">
        <v>22543</v>
      </c>
      <c r="B1353" t="s">
        <v>916</v>
      </c>
      <c r="C1353" t="s">
        <v>915</v>
      </c>
      <c r="D1353" t="s">
        <v>1237</v>
      </c>
      <c r="E1353">
        <v>1</v>
      </c>
      <c r="F1353">
        <v>0</v>
      </c>
      <c r="G1353">
        <v>0</v>
      </c>
      <c r="H1353">
        <v>917</v>
      </c>
      <c r="I1353">
        <v>91</v>
      </c>
      <c r="J1353">
        <v>1009</v>
      </c>
      <c r="K1353">
        <f>COUNTIF(DF_Calculation!E:E,Table1[[#This Row],[ACS_CODE]])</f>
        <v>1</v>
      </c>
    </row>
    <row r="1354" spans="1:11" x14ac:dyDescent="0.25">
      <c r="A1354">
        <v>37321</v>
      </c>
      <c r="B1354" t="s">
        <v>919</v>
      </c>
      <c r="C1354" t="s">
        <v>918</v>
      </c>
      <c r="D1354" t="s">
        <v>2453</v>
      </c>
      <c r="E1354">
        <v>1</v>
      </c>
      <c r="F1354">
        <v>0</v>
      </c>
      <c r="G1354">
        <v>0</v>
      </c>
      <c r="H1354">
        <v>253</v>
      </c>
      <c r="J1354">
        <v>254</v>
      </c>
      <c r="K1354">
        <f>COUNTIF(DF_Calculation!E:E,Table1[[#This Row],[ACS_CODE]])</f>
        <v>1</v>
      </c>
    </row>
    <row r="1355" spans="1:11" x14ac:dyDescent="0.25">
      <c r="A1355">
        <v>37344</v>
      </c>
      <c r="B1355" t="s">
        <v>919</v>
      </c>
      <c r="C1355" t="s">
        <v>918</v>
      </c>
      <c r="D1355" t="s">
        <v>1238</v>
      </c>
      <c r="E1355">
        <v>1</v>
      </c>
      <c r="F1355">
        <v>0</v>
      </c>
      <c r="G1355">
        <v>0</v>
      </c>
      <c r="H1355">
        <v>457</v>
      </c>
      <c r="J1355">
        <v>458</v>
      </c>
      <c r="K1355">
        <f>COUNTIF(DF_Calculation!E:E,Table1[[#This Row],[ACS_CODE]])</f>
        <v>1</v>
      </c>
    </row>
    <row r="1356" spans="1:11" x14ac:dyDescent="0.25">
      <c r="A1356">
        <v>74120</v>
      </c>
      <c r="B1356" t="s">
        <v>937</v>
      </c>
      <c r="C1356" t="s">
        <v>1280</v>
      </c>
      <c r="D1356" t="s">
        <v>1483</v>
      </c>
      <c r="E1356">
        <v>1</v>
      </c>
      <c r="F1356">
        <v>0</v>
      </c>
      <c r="G1356">
        <v>0</v>
      </c>
      <c r="H1356">
        <v>565</v>
      </c>
      <c r="I1356">
        <v>18</v>
      </c>
      <c r="J1356">
        <v>584</v>
      </c>
      <c r="K1356">
        <f>COUNTIF(DF_Calculation!E:E,Table1[[#This Row],[ACS_CODE]])</f>
        <v>1</v>
      </c>
    </row>
    <row r="1357" spans="1:11" x14ac:dyDescent="0.25">
      <c r="A1357">
        <v>26294</v>
      </c>
      <c r="B1357" t="s">
        <v>916</v>
      </c>
      <c r="C1357" t="s">
        <v>1295</v>
      </c>
      <c r="D1357" t="s">
        <v>2454</v>
      </c>
      <c r="E1357">
        <v>1</v>
      </c>
      <c r="F1357">
        <v>0</v>
      </c>
      <c r="G1357">
        <v>0</v>
      </c>
      <c r="H1357">
        <v>441</v>
      </c>
      <c r="I1357">
        <v>6</v>
      </c>
      <c r="J1357">
        <v>448</v>
      </c>
      <c r="K1357">
        <f>COUNTIF(DF_Calculation!E:E,Table1[[#This Row],[ACS_CODE]])</f>
        <v>1</v>
      </c>
    </row>
    <row r="1358" spans="1:11" x14ac:dyDescent="0.25">
      <c r="A1358">
        <v>25281</v>
      </c>
      <c r="B1358" t="s">
        <v>916</v>
      </c>
      <c r="C1358" t="s">
        <v>1307</v>
      </c>
      <c r="D1358" t="s">
        <v>1484</v>
      </c>
      <c r="E1358">
        <v>1</v>
      </c>
      <c r="F1358">
        <v>0</v>
      </c>
      <c r="G1358">
        <v>0</v>
      </c>
      <c r="H1358">
        <v>773</v>
      </c>
      <c r="I1358">
        <v>31</v>
      </c>
      <c r="J1358">
        <v>805</v>
      </c>
      <c r="K1358">
        <f>COUNTIF(DF_Calculation!E:E,Table1[[#This Row],[ACS_CODE]])</f>
        <v>1</v>
      </c>
    </row>
    <row r="1359" spans="1:11" x14ac:dyDescent="0.25">
      <c r="A1359">
        <v>73116</v>
      </c>
      <c r="B1359" t="s">
        <v>937</v>
      </c>
      <c r="C1359" t="s">
        <v>1278</v>
      </c>
      <c r="D1359" t="s">
        <v>2455</v>
      </c>
      <c r="E1359">
        <v>1</v>
      </c>
      <c r="F1359">
        <v>0</v>
      </c>
      <c r="G1359">
        <v>0</v>
      </c>
      <c r="H1359">
        <v>66</v>
      </c>
      <c r="J1359">
        <v>67</v>
      </c>
      <c r="K1359">
        <f>COUNTIF(DF_Calculation!E:E,Table1[[#This Row],[ACS_CODE]])</f>
        <v>1</v>
      </c>
    </row>
    <row r="1360" spans="1:11" x14ac:dyDescent="0.25">
      <c r="A1360">
        <v>55131</v>
      </c>
      <c r="B1360" t="s">
        <v>1260</v>
      </c>
      <c r="C1360" t="s">
        <v>1291</v>
      </c>
      <c r="D1360" t="s">
        <v>2456</v>
      </c>
      <c r="E1360">
        <v>1</v>
      </c>
      <c r="F1360">
        <v>0</v>
      </c>
      <c r="G1360">
        <v>0</v>
      </c>
      <c r="H1360">
        <v>664</v>
      </c>
      <c r="J1360">
        <v>665</v>
      </c>
      <c r="K1360">
        <f>COUNTIF(DF_Calculation!E:E,Table1[[#This Row],[ACS_CODE]])</f>
        <v>1</v>
      </c>
    </row>
    <row r="1361" spans="1:11" x14ac:dyDescent="0.25">
      <c r="A1361">
        <v>31136</v>
      </c>
      <c r="B1361" t="s">
        <v>919</v>
      </c>
      <c r="C1361" t="s">
        <v>1255</v>
      </c>
      <c r="D1361" t="s">
        <v>2457</v>
      </c>
      <c r="E1361">
        <v>1</v>
      </c>
      <c r="F1361">
        <v>207</v>
      </c>
      <c r="G1361">
        <v>0</v>
      </c>
      <c r="H1361">
        <v>1325</v>
      </c>
      <c r="J1361">
        <v>1533</v>
      </c>
      <c r="K1361">
        <f>COUNTIF(DF_Calculation!E:E,Table1[[#This Row],[ACS_CODE]])</f>
        <v>1</v>
      </c>
    </row>
    <row r="1362" spans="1:11" x14ac:dyDescent="0.25">
      <c r="A1362">
        <v>33113</v>
      </c>
      <c r="B1362" t="s">
        <v>919</v>
      </c>
      <c r="C1362" t="s">
        <v>1297</v>
      </c>
      <c r="D1362" t="s">
        <v>1485</v>
      </c>
      <c r="E1362">
        <v>1</v>
      </c>
      <c r="F1362">
        <v>0</v>
      </c>
      <c r="G1362">
        <v>0</v>
      </c>
      <c r="H1362">
        <v>3971</v>
      </c>
      <c r="I1362">
        <v>70</v>
      </c>
      <c r="J1362">
        <v>4042</v>
      </c>
      <c r="K1362">
        <f>COUNTIF(DF_Calculation!E:E,Table1[[#This Row],[ACS_CODE]])</f>
        <v>1</v>
      </c>
    </row>
    <row r="1363" spans="1:11" x14ac:dyDescent="0.25">
      <c r="A1363">
        <v>33215</v>
      </c>
      <c r="B1363" t="s">
        <v>919</v>
      </c>
      <c r="C1363" t="s">
        <v>1297</v>
      </c>
      <c r="D1363" t="s">
        <v>1486</v>
      </c>
      <c r="E1363">
        <v>1</v>
      </c>
      <c r="F1363">
        <v>0</v>
      </c>
      <c r="G1363">
        <v>0</v>
      </c>
      <c r="H1363">
        <v>0</v>
      </c>
      <c r="J1363">
        <v>1</v>
      </c>
      <c r="K1363">
        <f>COUNTIF(DF_Calculation!E:E,Table1[[#This Row],[ACS_CODE]])</f>
        <v>1</v>
      </c>
    </row>
    <row r="1364" spans="1:11" x14ac:dyDescent="0.25">
      <c r="A1364">
        <v>35484</v>
      </c>
      <c r="B1364" t="s">
        <v>991</v>
      </c>
      <c r="C1364" t="s">
        <v>991</v>
      </c>
      <c r="D1364" t="s">
        <v>1487</v>
      </c>
      <c r="E1364">
        <v>0</v>
      </c>
      <c r="F1364">
        <v>0</v>
      </c>
      <c r="G1364">
        <v>0</v>
      </c>
      <c r="H1364">
        <v>31</v>
      </c>
      <c r="J1364">
        <v>31</v>
      </c>
      <c r="K1364">
        <f>COUNTIF(DF_Calculation!E:E,Table1[[#This Row],[ACS_CODE]])</f>
        <v>1</v>
      </c>
    </row>
    <row r="1365" spans="1:11" x14ac:dyDescent="0.25">
      <c r="A1365">
        <v>35241</v>
      </c>
      <c r="B1365" t="s">
        <v>991</v>
      </c>
      <c r="C1365" t="s">
        <v>991</v>
      </c>
      <c r="D1365" t="s">
        <v>1488</v>
      </c>
      <c r="E1365">
        <v>0</v>
      </c>
      <c r="F1365">
        <v>0</v>
      </c>
      <c r="G1365">
        <v>0</v>
      </c>
      <c r="H1365">
        <v>242</v>
      </c>
      <c r="J1365">
        <v>242</v>
      </c>
      <c r="K1365">
        <f>COUNTIF(DF_Calculation!E:E,Table1[[#This Row],[ACS_CODE]])</f>
        <v>1</v>
      </c>
    </row>
    <row r="1366" spans="1:11" x14ac:dyDescent="0.25">
      <c r="A1366">
        <v>35425</v>
      </c>
      <c r="B1366" t="s">
        <v>991</v>
      </c>
      <c r="C1366" t="s">
        <v>991</v>
      </c>
      <c r="D1366" t="s">
        <v>1489</v>
      </c>
      <c r="E1366">
        <v>0</v>
      </c>
      <c r="F1366">
        <v>0</v>
      </c>
      <c r="G1366">
        <v>0</v>
      </c>
      <c r="H1366">
        <v>99</v>
      </c>
      <c r="J1366">
        <v>99</v>
      </c>
      <c r="K1366">
        <f>COUNTIF(DF_Calculation!E:E,Table1[[#This Row],[ACS_CODE]])</f>
        <v>1</v>
      </c>
    </row>
    <row r="1367" spans="1:11" x14ac:dyDescent="0.25">
      <c r="A1367">
        <v>35001</v>
      </c>
      <c r="B1367" t="s">
        <v>991</v>
      </c>
      <c r="C1367" t="s">
        <v>991</v>
      </c>
      <c r="D1367" t="s">
        <v>1490</v>
      </c>
      <c r="E1367">
        <v>0</v>
      </c>
      <c r="F1367">
        <v>0</v>
      </c>
      <c r="G1367">
        <v>0</v>
      </c>
      <c r="H1367">
        <v>0</v>
      </c>
      <c r="J1367">
        <v>0</v>
      </c>
      <c r="K1367">
        <f>COUNTIF(DF_Calculation!E:E,Table1[[#This Row],[ACS_CODE]])</f>
        <v>1</v>
      </c>
    </row>
    <row r="1368" spans="1:11" x14ac:dyDescent="0.25">
      <c r="A1368">
        <v>35002</v>
      </c>
      <c r="B1368" t="s">
        <v>991</v>
      </c>
      <c r="C1368" t="s">
        <v>991</v>
      </c>
      <c r="D1368" t="s">
        <v>1490</v>
      </c>
      <c r="E1368">
        <v>0</v>
      </c>
      <c r="F1368">
        <v>0</v>
      </c>
      <c r="G1368">
        <v>0</v>
      </c>
      <c r="H1368">
        <v>0</v>
      </c>
      <c r="J1368">
        <v>0</v>
      </c>
      <c r="K1368">
        <f>COUNTIF(DF_Calculation!E:E,Table1[[#This Row],[ACS_CODE]])</f>
        <v>1</v>
      </c>
    </row>
    <row r="1369" spans="1:11" x14ac:dyDescent="0.25">
      <c r="A1369">
        <v>35003</v>
      </c>
      <c r="B1369" t="s">
        <v>991</v>
      </c>
      <c r="C1369" t="s">
        <v>991</v>
      </c>
      <c r="D1369" t="s">
        <v>1490</v>
      </c>
      <c r="E1369">
        <v>0</v>
      </c>
      <c r="F1369">
        <v>0</v>
      </c>
      <c r="G1369">
        <v>0</v>
      </c>
      <c r="H1369">
        <v>0</v>
      </c>
      <c r="J1369">
        <v>0</v>
      </c>
      <c r="K1369">
        <f>COUNTIF(DF_Calculation!E:E,Table1[[#This Row],[ACS_CODE]])</f>
        <v>1</v>
      </c>
    </row>
    <row r="1370" spans="1:11" x14ac:dyDescent="0.25">
      <c r="A1370">
        <v>35470</v>
      </c>
      <c r="B1370" t="s">
        <v>991</v>
      </c>
      <c r="C1370" t="s">
        <v>991</v>
      </c>
      <c r="D1370" t="s">
        <v>2458</v>
      </c>
      <c r="E1370">
        <v>0</v>
      </c>
      <c r="F1370">
        <v>0</v>
      </c>
      <c r="G1370">
        <v>0</v>
      </c>
      <c r="H1370">
        <v>15</v>
      </c>
      <c r="J1370">
        <v>15</v>
      </c>
      <c r="K1370">
        <f>COUNTIF(DF_Calculation!E:E,Table1[[#This Row],[ACS_CODE]])</f>
        <v>1</v>
      </c>
    </row>
    <row r="1371" spans="1:11" x14ac:dyDescent="0.25">
      <c r="A1371">
        <v>35239</v>
      </c>
      <c r="B1371" t="s">
        <v>991</v>
      </c>
      <c r="C1371" t="s">
        <v>991</v>
      </c>
      <c r="D1371" t="s">
        <v>2459</v>
      </c>
      <c r="E1371">
        <v>0</v>
      </c>
      <c r="F1371">
        <v>0</v>
      </c>
      <c r="G1371">
        <v>0</v>
      </c>
      <c r="H1371">
        <v>711</v>
      </c>
      <c r="I1371">
        <v>3</v>
      </c>
      <c r="J1371">
        <v>714</v>
      </c>
      <c r="K1371">
        <f>COUNTIF(DF_Calculation!E:E,Table1[[#This Row],[ACS_CODE]])</f>
        <v>1</v>
      </c>
    </row>
    <row r="1372" spans="1:11" x14ac:dyDescent="0.25">
      <c r="A1372">
        <v>35257</v>
      </c>
      <c r="B1372" t="s">
        <v>991</v>
      </c>
      <c r="C1372" t="s">
        <v>991</v>
      </c>
      <c r="D1372" t="s">
        <v>1491</v>
      </c>
      <c r="E1372">
        <v>0</v>
      </c>
      <c r="F1372">
        <v>0</v>
      </c>
      <c r="G1372">
        <v>0</v>
      </c>
      <c r="H1372">
        <v>939</v>
      </c>
      <c r="J1372">
        <v>939</v>
      </c>
      <c r="K1372">
        <f>COUNTIF(DF_Calculation!E:E,Table1[[#This Row],[ACS_CODE]])</f>
        <v>1</v>
      </c>
    </row>
    <row r="1373" spans="1:11" x14ac:dyDescent="0.25">
      <c r="A1373">
        <v>35410</v>
      </c>
      <c r="B1373" t="s">
        <v>991</v>
      </c>
      <c r="C1373" t="s">
        <v>991</v>
      </c>
      <c r="D1373" t="s">
        <v>1492</v>
      </c>
      <c r="E1373">
        <v>0</v>
      </c>
      <c r="F1373">
        <v>0</v>
      </c>
      <c r="G1373">
        <v>0</v>
      </c>
      <c r="H1373">
        <v>0</v>
      </c>
      <c r="J1373">
        <v>0</v>
      </c>
      <c r="K1373">
        <f>COUNTIF(DF_Calculation!E:E,Table1[[#This Row],[ACS_CODE]])</f>
        <v>1</v>
      </c>
    </row>
    <row r="1374" spans="1:11" x14ac:dyDescent="0.25">
      <c r="A1374">
        <v>35330</v>
      </c>
      <c r="B1374" t="s">
        <v>991</v>
      </c>
      <c r="C1374" t="s">
        <v>991</v>
      </c>
      <c r="D1374" t="s">
        <v>1493</v>
      </c>
      <c r="E1374">
        <v>0</v>
      </c>
      <c r="F1374">
        <v>0</v>
      </c>
      <c r="G1374">
        <v>0</v>
      </c>
      <c r="H1374">
        <v>371</v>
      </c>
      <c r="J1374">
        <v>371</v>
      </c>
      <c r="K1374">
        <f>COUNTIF(DF_Calculation!E:E,Table1[[#This Row],[ACS_CODE]])</f>
        <v>1</v>
      </c>
    </row>
    <row r="1375" spans="1:11" x14ac:dyDescent="0.25">
      <c r="A1375">
        <v>35134</v>
      </c>
      <c r="B1375" t="s">
        <v>991</v>
      </c>
      <c r="C1375" t="s">
        <v>991</v>
      </c>
      <c r="D1375" t="s">
        <v>2460</v>
      </c>
      <c r="E1375">
        <v>0</v>
      </c>
      <c r="F1375">
        <v>0</v>
      </c>
      <c r="G1375">
        <v>0</v>
      </c>
      <c r="H1375">
        <v>122</v>
      </c>
      <c r="J1375">
        <v>122</v>
      </c>
      <c r="K1375">
        <f>COUNTIF(DF_Calculation!E:E,Table1[[#This Row],[ACS_CODE]])</f>
        <v>1</v>
      </c>
    </row>
    <row r="1376" spans="1:11" x14ac:dyDescent="0.25">
      <c r="A1376">
        <v>35461</v>
      </c>
      <c r="B1376" t="s">
        <v>991</v>
      </c>
      <c r="C1376" t="s">
        <v>991</v>
      </c>
      <c r="D1376" t="s">
        <v>1494</v>
      </c>
      <c r="E1376">
        <v>0</v>
      </c>
      <c r="F1376">
        <v>0</v>
      </c>
      <c r="G1376">
        <v>0</v>
      </c>
      <c r="H1376">
        <v>8</v>
      </c>
      <c r="J1376">
        <v>8</v>
      </c>
      <c r="K1376">
        <f>COUNTIF(DF_Calculation!E:E,Table1[[#This Row],[ACS_CODE]])</f>
        <v>1</v>
      </c>
    </row>
    <row r="1377" spans="1:11" x14ac:dyDescent="0.25">
      <c r="A1377">
        <v>35115</v>
      </c>
      <c r="B1377" t="s">
        <v>991</v>
      </c>
      <c r="C1377" t="s">
        <v>991</v>
      </c>
      <c r="D1377" t="s">
        <v>2461</v>
      </c>
      <c r="E1377">
        <v>0</v>
      </c>
      <c r="F1377">
        <v>0</v>
      </c>
      <c r="G1377">
        <v>0</v>
      </c>
      <c r="H1377">
        <v>1014</v>
      </c>
      <c r="J1377">
        <v>1014</v>
      </c>
      <c r="K1377">
        <f>COUNTIF(DF_Calculation!E:E,Table1[[#This Row],[ACS_CODE]])</f>
        <v>1</v>
      </c>
    </row>
    <row r="1378" spans="1:11" x14ac:dyDescent="0.25">
      <c r="A1378">
        <v>35179</v>
      </c>
      <c r="B1378" t="s">
        <v>991</v>
      </c>
      <c r="C1378" t="s">
        <v>991</v>
      </c>
      <c r="D1378" t="s">
        <v>2462</v>
      </c>
      <c r="E1378">
        <v>0</v>
      </c>
      <c r="F1378">
        <v>0</v>
      </c>
      <c r="G1378">
        <v>0</v>
      </c>
      <c r="H1378">
        <v>719</v>
      </c>
      <c r="I1378">
        <v>15</v>
      </c>
      <c r="J1378">
        <v>734</v>
      </c>
      <c r="K1378">
        <f>COUNTIF(DF_Calculation!E:E,Table1[[#This Row],[ACS_CODE]])</f>
        <v>1</v>
      </c>
    </row>
    <row r="1379" spans="1:11" x14ac:dyDescent="0.25">
      <c r="A1379">
        <v>35352</v>
      </c>
      <c r="B1379" t="s">
        <v>991</v>
      </c>
      <c r="C1379" t="s">
        <v>991</v>
      </c>
      <c r="D1379" t="s">
        <v>2463</v>
      </c>
      <c r="E1379">
        <v>0</v>
      </c>
      <c r="F1379">
        <v>0</v>
      </c>
      <c r="G1379">
        <v>0</v>
      </c>
      <c r="H1379">
        <v>2929</v>
      </c>
      <c r="J1379">
        <v>2929</v>
      </c>
      <c r="K1379">
        <f>COUNTIF(DF_Calculation!E:E,Table1[[#This Row],[ACS_CODE]])</f>
        <v>1</v>
      </c>
    </row>
    <row r="1380" spans="1:11" x14ac:dyDescent="0.25">
      <c r="A1380">
        <v>35327</v>
      </c>
      <c r="B1380" t="s">
        <v>991</v>
      </c>
      <c r="C1380" t="s">
        <v>991</v>
      </c>
      <c r="D1380" t="s">
        <v>1495</v>
      </c>
      <c r="E1380">
        <v>0</v>
      </c>
      <c r="F1380">
        <v>0</v>
      </c>
      <c r="G1380">
        <v>0</v>
      </c>
      <c r="H1380">
        <v>46</v>
      </c>
      <c r="J1380">
        <v>46</v>
      </c>
      <c r="K1380">
        <f>COUNTIF(DF_Calculation!E:E,Table1[[#This Row],[ACS_CODE]])</f>
        <v>1</v>
      </c>
    </row>
    <row r="1381" spans="1:11" x14ac:dyDescent="0.25">
      <c r="A1381">
        <v>35173</v>
      </c>
      <c r="B1381" t="s">
        <v>991</v>
      </c>
      <c r="C1381" t="s">
        <v>991</v>
      </c>
      <c r="D1381" t="s">
        <v>1496</v>
      </c>
      <c r="E1381">
        <v>0</v>
      </c>
      <c r="F1381">
        <v>0</v>
      </c>
      <c r="G1381">
        <v>0</v>
      </c>
      <c r="H1381">
        <v>583</v>
      </c>
      <c r="I1381">
        <v>12</v>
      </c>
      <c r="J1381">
        <v>595</v>
      </c>
      <c r="K1381">
        <f>COUNTIF(DF_Calculation!E:E,Table1[[#This Row],[ACS_CODE]])</f>
        <v>1</v>
      </c>
    </row>
    <row r="1382" spans="1:11" x14ac:dyDescent="0.25">
      <c r="A1382">
        <v>24001</v>
      </c>
      <c r="B1382" t="s">
        <v>916</v>
      </c>
      <c r="C1382" t="s">
        <v>1282</v>
      </c>
      <c r="D1382" t="s">
        <v>1490</v>
      </c>
      <c r="E1382">
        <v>0</v>
      </c>
      <c r="F1382">
        <v>0</v>
      </c>
      <c r="G1382">
        <v>0</v>
      </c>
      <c r="H1382">
        <v>0</v>
      </c>
      <c r="J1382">
        <v>0</v>
      </c>
      <c r="K1382">
        <f>COUNTIF(DF_Calculation!E:E,Table1[[#This Row],[ACS_CODE]])</f>
        <v>1</v>
      </c>
    </row>
    <row r="1383" spans="1:11" x14ac:dyDescent="0.25">
      <c r="A1383">
        <v>24002</v>
      </c>
      <c r="B1383" t="s">
        <v>916</v>
      </c>
      <c r="C1383" t="s">
        <v>1282</v>
      </c>
      <c r="D1383" t="s">
        <v>1490</v>
      </c>
      <c r="E1383">
        <v>0</v>
      </c>
      <c r="F1383">
        <v>0</v>
      </c>
      <c r="G1383">
        <v>0</v>
      </c>
      <c r="H1383">
        <v>0</v>
      </c>
      <c r="J1383">
        <v>0</v>
      </c>
      <c r="K1383">
        <f>COUNTIF(DF_Calculation!E:E,Table1[[#This Row],[ACS_CODE]])</f>
        <v>1</v>
      </c>
    </row>
    <row r="1384" spans="1:11" x14ac:dyDescent="0.25">
      <c r="A1384">
        <v>24003</v>
      </c>
      <c r="B1384" t="s">
        <v>916</v>
      </c>
      <c r="C1384" t="s">
        <v>1282</v>
      </c>
      <c r="D1384" t="s">
        <v>1490</v>
      </c>
      <c r="E1384">
        <v>0</v>
      </c>
      <c r="F1384">
        <v>0</v>
      </c>
      <c r="G1384">
        <v>0</v>
      </c>
      <c r="H1384">
        <v>0</v>
      </c>
      <c r="J1384">
        <v>0</v>
      </c>
      <c r="K1384">
        <f>COUNTIF(DF_Calculation!E:E,Table1[[#This Row],[ACS_CODE]])</f>
        <v>1</v>
      </c>
    </row>
    <row r="1385" spans="1:11" x14ac:dyDescent="0.25">
      <c r="A1385">
        <v>24004</v>
      </c>
      <c r="B1385" t="s">
        <v>916</v>
      </c>
      <c r="C1385" t="s">
        <v>1282</v>
      </c>
      <c r="D1385" t="s">
        <v>1490</v>
      </c>
      <c r="E1385">
        <v>0</v>
      </c>
      <c r="F1385">
        <v>0</v>
      </c>
      <c r="G1385">
        <v>0</v>
      </c>
      <c r="H1385">
        <v>0</v>
      </c>
      <c r="J1385">
        <v>0</v>
      </c>
      <c r="K1385">
        <f>COUNTIF(DF_Calculation!E:E,Table1[[#This Row],[ACS_CODE]])</f>
        <v>1</v>
      </c>
    </row>
    <row r="1386" spans="1:11" x14ac:dyDescent="0.25">
      <c r="A1386">
        <v>24005</v>
      </c>
      <c r="B1386" t="s">
        <v>916</v>
      </c>
      <c r="C1386" t="s">
        <v>1282</v>
      </c>
      <c r="D1386" t="s">
        <v>1490</v>
      </c>
      <c r="E1386">
        <v>0</v>
      </c>
      <c r="F1386">
        <v>0</v>
      </c>
      <c r="G1386">
        <v>0</v>
      </c>
      <c r="H1386">
        <v>0</v>
      </c>
      <c r="J1386">
        <v>0</v>
      </c>
      <c r="K1386">
        <f>COUNTIF(DF_Calculation!E:E,Table1[[#This Row],[ACS_CODE]])</f>
        <v>1</v>
      </c>
    </row>
    <row r="1387" spans="1:11" x14ac:dyDescent="0.25">
      <c r="A1387">
        <v>24006</v>
      </c>
      <c r="B1387" t="s">
        <v>916</v>
      </c>
      <c r="C1387" t="s">
        <v>1282</v>
      </c>
      <c r="D1387" t="s">
        <v>1490</v>
      </c>
      <c r="E1387">
        <v>0</v>
      </c>
      <c r="F1387">
        <v>0</v>
      </c>
      <c r="G1387">
        <v>0</v>
      </c>
      <c r="H1387">
        <v>0</v>
      </c>
      <c r="J1387">
        <v>0</v>
      </c>
      <c r="K1387">
        <f>COUNTIF(DF_Calculation!E:E,Table1[[#This Row],[ACS_CODE]])</f>
        <v>1</v>
      </c>
    </row>
    <row r="1388" spans="1:11" x14ac:dyDescent="0.25">
      <c r="A1388">
        <v>24007</v>
      </c>
      <c r="B1388" t="s">
        <v>916</v>
      </c>
      <c r="C1388" t="s">
        <v>1282</v>
      </c>
      <c r="D1388" t="s">
        <v>1490</v>
      </c>
      <c r="E1388">
        <v>0</v>
      </c>
      <c r="F1388">
        <v>0</v>
      </c>
      <c r="G1388">
        <v>0</v>
      </c>
      <c r="H1388">
        <v>0</v>
      </c>
      <c r="J1388">
        <v>0</v>
      </c>
      <c r="K1388">
        <f>COUNTIF(DF_Calculation!E:E,Table1[[#This Row],[ACS_CODE]])</f>
        <v>1</v>
      </c>
    </row>
    <row r="1389" spans="1:11" x14ac:dyDescent="0.25">
      <c r="A1389">
        <v>24008</v>
      </c>
      <c r="B1389" t="s">
        <v>916</v>
      </c>
      <c r="C1389" t="s">
        <v>1282</v>
      </c>
      <c r="D1389" t="s">
        <v>1490</v>
      </c>
      <c r="E1389">
        <v>0</v>
      </c>
      <c r="F1389">
        <v>0</v>
      </c>
      <c r="G1389">
        <v>0</v>
      </c>
      <c r="H1389">
        <v>0</v>
      </c>
      <c r="J1389">
        <v>0</v>
      </c>
      <c r="K1389">
        <f>COUNTIF(DF_Calculation!E:E,Table1[[#This Row],[ACS_CODE]])</f>
        <v>1</v>
      </c>
    </row>
    <row r="1390" spans="1:11" x14ac:dyDescent="0.25">
      <c r="A1390">
        <v>24009</v>
      </c>
      <c r="B1390" t="s">
        <v>916</v>
      </c>
      <c r="C1390" t="s">
        <v>1282</v>
      </c>
      <c r="D1390" t="s">
        <v>1490</v>
      </c>
      <c r="E1390">
        <v>0</v>
      </c>
      <c r="F1390">
        <v>0</v>
      </c>
      <c r="G1390">
        <v>0</v>
      </c>
      <c r="H1390">
        <v>0</v>
      </c>
      <c r="J1390">
        <v>0</v>
      </c>
      <c r="K1390">
        <f>COUNTIF(DF_Calculation!E:E,Table1[[#This Row],[ACS_CODE]])</f>
        <v>1</v>
      </c>
    </row>
    <row r="1391" spans="1:11" x14ac:dyDescent="0.25">
      <c r="A1391">
        <v>24251</v>
      </c>
      <c r="B1391" t="s">
        <v>916</v>
      </c>
      <c r="C1391" t="s">
        <v>1282</v>
      </c>
      <c r="D1391" t="s">
        <v>2464</v>
      </c>
      <c r="E1391">
        <v>0</v>
      </c>
      <c r="F1391">
        <v>0</v>
      </c>
      <c r="G1391">
        <v>0</v>
      </c>
      <c r="H1391">
        <v>236</v>
      </c>
      <c r="I1391">
        <v>6</v>
      </c>
      <c r="J1391">
        <v>242</v>
      </c>
      <c r="K1391">
        <f>COUNTIF(DF_Calculation!E:E,Table1[[#This Row],[ACS_CODE]])</f>
        <v>1</v>
      </c>
    </row>
    <row r="1392" spans="1:11" x14ac:dyDescent="0.25">
      <c r="A1392">
        <v>24437</v>
      </c>
      <c r="B1392" t="s">
        <v>916</v>
      </c>
      <c r="C1392" t="s">
        <v>1282</v>
      </c>
      <c r="D1392" t="s">
        <v>1497</v>
      </c>
      <c r="E1392">
        <v>0</v>
      </c>
      <c r="F1392">
        <v>0</v>
      </c>
      <c r="G1392">
        <v>0</v>
      </c>
      <c r="H1392">
        <v>0</v>
      </c>
      <c r="J1392">
        <v>0</v>
      </c>
      <c r="K1392">
        <f>COUNTIF(DF_Calculation!E:E,Table1[[#This Row],[ACS_CODE]])</f>
        <v>1</v>
      </c>
    </row>
    <row r="1393" spans="1:11" x14ac:dyDescent="0.25">
      <c r="A1393">
        <v>21347</v>
      </c>
      <c r="B1393" t="s">
        <v>916</v>
      </c>
      <c r="C1393" t="s">
        <v>1275</v>
      </c>
      <c r="D1393" t="s">
        <v>1498</v>
      </c>
      <c r="E1393">
        <v>0</v>
      </c>
      <c r="F1393">
        <v>0</v>
      </c>
      <c r="G1393">
        <v>0</v>
      </c>
      <c r="H1393">
        <v>1</v>
      </c>
      <c r="J1393">
        <v>1</v>
      </c>
      <c r="K1393">
        <f>COUNTIF(DF_Calculation!E:E,Table1[[#This Row],[ACS_CODE]])</f>
        <v>1</v>
      </c>
    </row>
    <row r="1394" spans="1:11" x14ac:dyDescent="0.25">
      <c r="A1394">
        <v>21377</v>
      </c>
      <c r="B1394" t="s">
        <v>916</v>
      </c>
      <c r="C1394" t="s">
        <v>1275</v>
      </c>
      <c r="D1394" t="s">
        <v>2465</v>
      </c>
      <c r="E1394">
        <v>0</v>
      </c>
      <c r="F1394">
        <v>0</v>
      </c>
      <c r="G1394">
        <v>0</v>
      </c>
      <c r="H1394">
        <v>31</v>
      </c>
      <c r="I1394">
        <v>2</v>
      </c>
      <c r="J1394">
        <v>33</v>
      </c>
      <c r="K1394">
        <f>COUNTIF(DF_Calculation!E:E,Table1[[#This Row],[ACS_CODE]])</f>
        <v>1</v>
      </c>
    </row>
    <row r="1395" spans="1:11" x14ac:dyDescent="0.25">
      <c r="A1395">
        <v>21321</v>
      </c>
      <c r="B1395" t="s">
        <v>916</v>
      </c>
      <c r="C1395" t="s">
        <v>1275</v>
      </c>
      <c r="D1395" t="s">
        <v>1499</v>
      </c>
      <c r="E1395">
        <v>0</v>
      </c>
      <c r="F1395">
        <v>0</v>
      </c>
      <c r="G1395">
        <v>0</v>
      </c>
      <c r="H1395">
        <v>12</v>
      </c>
      <c r="J1395">
        <v>12</v>
      </c>
      <c r="K1395">
        <f>COUNTIF(DF_Calculation!E:E,Table1[[#This Row],[ACS_CODE]])</f>
        <v>1</v>
      </c>
    </row>
    <row r="1396" spans="1:11" x14ac:dyDescent="0.25">
      <c r="A1396">
        <v>21331</v>
      </c>
      <c r="B1396" t="s">
        <v>916</v>
      </c>
      <c r="C1396" t="s">
        <v>1275</v>
      </c>
      <c r="D1396" t="s">
        <v>2466</v>
      </c>
      <c r="E1396">
        <v>0</v>
      </c>
      <c r="F1396">
        <v>0</v>
      </c>
      <c r="G1396">
        <v>0</v>
      </c>
      <c r="H1396">
        <v>0</v>
      </c>
      <c r="J1396">
        <v>0</v>
      </c>
      <c r="K1396">
        <f>COUNTIF(DF_Calculation!E:E,Table1[[#This Row],[ACS_CODE]])</f>
        <v>1</v>
      </c>
    </row>
    <row r="1397" spans="1:11" x14ac:dyDescent="0.25">
      <c r="A1397">
        <v>53001</v>
      </c>
      <c r="B1397" t="s">
        <v>1201</v>
      </c>
      <c r="C1397" t="s">
        <v>1266</v>
      </c>
      <c r="D1397" t="s">
        <v>1490</v>
      </c>
      <c r="E1397">
        <v>0</v>
      </c>
      <c r="F1397">
        <v>0</v>
      </c>
      <c r="G1397">
        <v>0</v>
      </c>
      <c r="H1397">
        <v>0</v>
      </c>
      <c r="J1397">
        <v>0</v>
      </c>
      <c r="K1397">
        <f>COUNTIF(DF_Calculation!E:E,Table1[[#This Row],[ACS_CODE]])</f>
        <v>1</v>
      </c>
    </row>
    <row r="1398" spans="1:11" x14ac:dyDescent="0.25">
      <c r="A1398">
        <v>53002</v>
      </c>
      <c r="B1398" t="s">
        <v>1201</v>
      </c>
      <c r="C1398" t="s">
        <v>1266</v>
      </c>
      <c r="D1398" t="s">
        <v>1490</v>
      </c>
      <c r="E1398">
        <v>0</v>
      </c>
      <c r="F1398">
        <v>0</v>
      </c>
      <c r="G1398">
        <v>0</v>
      </c>
      <c r="H1398">
        <v>0</v>
      </c>
      <c r="J1398">
        <v>0</v>
      </c>
      <c r="K1398">
        <f>COUNTIF(DF_Calculation!E:E,Table1[[#This Row],[ACS_CODE]])</f>
        <v>1</v>
      </c>
    </row>
    <row r="1399" spans="1:11" x14ac:dyDescent="0.25">
      <c r="A1399">
        <v>53003</v>
      </c>
      <c r="B1399" t="s">
        <v>1201</v>
      </c>
      <c r="C1399" t="s">
        <v>1266</v>
      </c>
      <c r="D1399" t="s">
        <v>1490</v>
      </c>
      <c r="E1399">
        <v>0</v>
      </c>
      <c r="F1399">
        <v>0</v>
      </c>
      <c r="G1399">
        <v>0</v>
      </c>
      <c r="H1399">
        <v>0</v>
      </c>
      <c r="J1399">
        <v>0</v>
      </c>
      <c r="K1399">
        <f>COUNTIF(DF_Calculation!E:E,Table1[[#This Row],[ACS_CODE]])</f>
        <v>1</v>
      </c>
    </row>
    <row r="1400" spans="1:11" x14ac:dyDescent="0.25">
      <c r="A1400">
        <v>54003</v>
      </c>
      <c r="B1400" t="s">
        <v>1201</v>
      </c>
      <c r="C1400" t="s">
        <v>1266</v>
      </c>
      <c r="D1400" t="s">
        <v>1490</v>
      </c>
      <c r="E1400">
        <v>0</v>
      </c>
      <c r="F1400">
        <v>0</v>
      </c>
      <c r="G1400">
        <v>0</v>
      </c>
      <c r="H1400">
        <v>0</v>
      </c>
      <c r="J1400">
        <v>0</v>
      </c>
      <c r="K1400">
        <f>COUNTIF(DF_Calculation!E:E,Table1[[#This Row],[ACS_CODE]])</f>
        <v>1</v>
      </c>
    </row>
    <row r="1401" spans="1:11" x14ac:dyDescent="0.25">
      <c r="A1401" t="s">
        <v>1500</v>
      </c>
      <c r="B1401" t="s">
        <v>1201</v>
      </c>
      <c r="C1401" t="s">
        <v>1266</v>
      </c>
      <c r="D1401" t="s">
        <v>1490</v>
      </c>
      <c r="E1401">
        <v>0</v>
      </c>
      <c r="F1401">
        <v>0</v>
      </c>
      <c r="G1401">
        <v>0</v>
      </c>
      <c r="H1401">
        <v>0</v>
      </c>
      <c r="J1401">
        <v>0</v>
      </c>
      <c r="K1401">
        <f>COUNTIF(DF_Calculation!E:E,Table1[[#This Row],[ACS_CODE]])</f>
        <v>1</v>
      </c>
    </row>
    <row r="1402" spans="1:11" x14ac:dyDescent="0.25">
      <c r="A1402" t="s">
        <v>1501</v>
      </c>
      <c r="B1402" t="s">
        <v>1201</v>
      </c>
      <c r="C1402" t="s">
        <v>1266</v>
      </c>
      <c r="D1402" t="s">
        <v>1490</v>
      </c>
      <c r="E1402">
        <v>0</v>
      </c>
      <c r="F1402">
        <v>0</v>
      </c>
      <c r="G1402">
        <v>0</v>
      </c>
      <c r="H1402">
        <v>0</v>
      </c>
      <c r="J1402">
        <v>0</v>
      </c>
      <c r="K1402">
        <f>COUNTIF(DF_Calculation!E:E,Table1[[#This Row],[ACS_CODE]])</f>
        <v>1</v>
      </c>
    </row>
    <row r="1403" spans="1:11" x14ac:dyDescent="0.25">
      <c r="A1403" t="s">
        <v>1502</v>
      </c>
      <c r="B1403" t="s">
        <v>1201</v>
      </c>
      <c r="C1403" t="s">
        <v>1266</v>
      </c>
      <c r="D1403" t="s">
        <v>1490</v>
      </c>
      <c r="E1403">
        <v>0</v>
      </c>
      <c r="F1403">
        <v>0</v>
      </c>
      <c r="G1403">
        <v>0</v>
      </c>
      <c r="H1403">
        <v>0</v>
      </c>
      <c r="J1403">
        <v>0</v>
      </c>
      <c r="K1403">
        <f>COUNTIF(DF_Calculation!E:E,Table1[[#This Row],[ACS_CODE]])</f>
        <v>1</v>
      </c>
    </row>
    <row r="1404" spans="1:11" x14ac:dyDescent="0.25">
      <c r="A1404" t="s">
        <v>1503</v>
      </c>
      <c r="B1404" t="s">
        <v>1201</v>
      </c>
      <c r="C1404" t="s">
        <v>1266</v>
      </c>
      <c r="D1404" t="s">
        <v>1490</v>
      </c>
      <c r="E1404">
        <v>0</v>
      </c>
      <c r="F1404">
        <v>0</v>
      </c>
      <c r="G1404">
        <v>0</v>
      </c>
      <c r="H1404">
        <v>0</v>
      </c>
      <c r="J1404">
        <v>0</v>
      </c>
      <c r="K1404">
        <f>COUNTIF(DF_Calculation!E:E,Table1[[#This Row],[ACS_CODE]])</f>
        <v>1</v>
      </c>
    </row>
    <row r="1405" spans="1:11" x14ac:dyDescent="0.25">
      <c r="A1405" t="s">
        <v>1504</v>
      </c>
      <c r="B1405" t="s">
        <v>1201</v>
      </c>
      <c r="C1405" t="s">
        <v>1266</v>
      </c>
      <c r="D1405" t="s">
        <v>1490</v>
      </c>
      <c r="E1405">
        <v>0</v>
      </c>
      <c r="F1405">
        <v>0</v>
      </c>
      <c r="G1405">
        <v>0</v>
      </c>
      <c r="H1405">
        <v>0</v>
      </c>
      <c r="J1405">
        <v>0</v>
      </c>
      <c r="K1405">
        <f>COUNTIF(DF_Calculation!E:E,Table1[[#This Row],[ACS_CODE]])</f>
        <v>1</v>
      </c>
    </row>
    <row r="1406" spans="1:11" x14ac:dyDescent="0.25">
      <c r="A1406" t="s">
        <v>1505</v>
      </c>
      <c r="B1406" t="s">
        <v>1201</v>
      </c>
      <c r="C1406" t="s">
        <v>1266</v>
      </c>
      <c r="D1406" t="s">
        <v>1490</v>
      </c>
      <c r="E1406">
        <v>0</v>
      </c>
      <c r="F1406">
        <v>0</v>
      </c>
      <c r="G1406">
        <v>0</v>
      </c>
      <c r="H1406">
        <v>0</v>
      </c>
      <c r="J1406">
        <v>0</v>
      </c>
      <c r="K1406">
        <f>COUNTIF(DF_Calculation!E:E,Table1[[#This Row],[ACS_CODE]])</f>
        <v>1</v>
      </c>
    </row>
    <row r="1407" spans="1:11" x14ac:dyDescent="0.25">
      <c r="A1407" t="s">
        <v>1506</v>
      </c>
      <c r="B1407" t="s">
        <v>1201</v>
      </c>
      <c r="C1407" t="s">
        <v>1266</v>
      </c>
      <c r="D1407" t="s">
        <v>1490</v>
      </c>
      <c r="E1407">
        <v>0</v>
      </c>
      <c r="F1407">
        <v>0</v>
      </c>
      <c r="G1407">
        <v>0</v>
      </c>
      <c r="H1407">
        <v>0</v>
      </c>
      <c r="J1407">
        <v>0</v>
      </c>
      <c r="K1407">
        <f>COUNTIF(DF_Calculation!E:E,Table1[[#This Row],[ACS_CODE]])</f>
        <v>1</v>
      </c>
    </row>
    <row r="1408" spans="1:11" x14ac:dyDescent="0.25">
      <c r="A1408" t="s">
        <v>1507</v>
      </c>
      <c r="B1408" t="s">
        <v>1201</v>
      </c>
      <c r="C1408" t="s">
        <v>1266</v>
      </c>
      <c r="D1408" t="s">
        <v>1490</v>
      </c>
      <c r="E1408">
        <v>0</v>
      </c>
      <c r="F1408">
        <v>0</v>
      </c>
      <c r="G1408">
        <v>0</v>
      </c>
      <c r="H1408">
        <v>0</v>
      </c>
      <c r="J1408">
        <v>0</v>
      </c>
      <c r="K1408">
        <f>COUNTIF(DF_Calculation!E:E,Table1[[#This Row],[ACS_CODE]])</f>
        <v>1</v>
      </c>
    </row>
    <row r="1409" spans="1:11" x14ac:dyDescent="0.25">
      <c r="A1409" t="s">
        <v>1508</v>
      </c>
      <c r="B1409" t="s">
        <v>1201</v>
      </c>
      <c r="C1409" t="s">
        <v>1266</v>
      </c>
      <c r="D1409" t="s">
        <v>1490</v>
      </c>
      <c r="E1409">
        <v>0</v>
      </c>
      <c r="F1409">
        <v>0</v>
      </c>
      <c r="G1409">
        <v>0</v>
      </c>
      <c r="H1409">
        <v>0</v>
      </c>
      <c r="J1409">
        <v>0</v>
      </c>
      <c r="K1409">
        <f>COUNTIF(DF_Calculation!E:E,Table1[[#This Row],[ACS_CODE]])</f>
        <v>1</v>
      </c>
    </row>
    <row r="1410" spans="1:11" x14ac:dyDescent="0.25">
      <c r="A1410" t="s">
        <v>1509</v>
      </c>
      <c r="B1410" t="s">
        <v>1201</v>
      </c>
      <c r="C1410" t="s">
        <v>1266</v>
      </c>
      <c r="D1410" t="s">
        <v>1490</v>
      </c>
      <c r="E1410">
        <v>0</v>
      </c>
      <c r="F1410">
        <v>0</v>
      </c>
      <c r="G1410">
        <v>0</v>
      </c>
      <c r="H1410">
        <v>0</v>
      </c>
      <c r="J1410">
        <v>0</v>
      </c>
      <c r="K1410">
        <f>COUNTIF(DF_Calculation!E:E,Table1[[#This Row],[ACS_CODE]])</f>
        <v>1</v>
      </c>
    </row>
    <row r="1411" spans="1:11" x14ac:dyDescent="0.25">
      <c r="A1411">
        <v>53447</v>
      </c>
      <c r="B1411" t="s">
        <v>1201</v>
      </c>
      <c r="C1411" t="s">
        <v>1266</v>
      </c>
      <c r="D1411" t="s">
        <v>2467</v>
      </c>
      <c r="E1411">
        <v>0</v>
      </c>
      <c r="F1411">
        <v>0</v>
      </c>
      <c r="G1411">
        <v>0</v>
      </c>
      <c r="H1411">
        <v>383</v>
      </c>
      <c r="J1411">
        <v>383</v>
      </c>
      <c r="K1411">
        <f>COUNTIF(DF_Calculation!E:E,Table1[[#This Row],[ACS_CODE]])</f>
        <v>1</v>
      </c>
    </row>
    <row r="1412" spans="1:11" x14ac:dyDescent="0.25">
      <c r="A1412">
        <v>53251</v>
      </c>
      <c r="B1412" t="s">
        <v>1201</v>
      </c>
      <c r="C1412" t="s">
        <v>1266</v>
      </c>
      <c r="D1412" t="s">
        <v>2468</v>
      </c>
      <c r="E1412">
        <v>0</v>
      </c>
      <c r="F1412">
        <v>0</v>
      </c>
      <c r="G1412">
        <v>0</v>
      </c>
      <c r="H1412">
        <v>745</v>
      </c>
      <c r="I1412">
        <v>4</v>
      </c>
      <c r="J1412">
        <v>749</v>
      </c>
      <c r="K1412">
        <f>COUNTIF(DF_Calculation!E:E,Table1[[#This Row],[ACS_CODE]])</f>
        <v>1</v>
      </c>
    </row>
    <row r="1413" spans="1:11" x14ac:dyDescent="0.25">
      <c r="A1413">
        <v>53471</v>
      </c>
      <c r="B1413" t="s">
        <v>1201</v>
      </c>
      <c r="C1413" t="s">
        <v>1266</v>
      </c>
      <c r="D1413" t="s">
        <v>2469</v>
      </c>
      <c r="E1413">
        <v>0</v>
      </c>
      <c r="F1413">
        <v>0</v>
      </c>
      <c r="G1413">
        <v>0</v>
      </c>
      <c r="H1413">
        <v>5</v>
      </c>
      <c r="I1413">
        <v>20</v>
      </c>
      <c r="J1413">
        <v>25</v>
      </c>
      <c r="K1413">
        <f>COUNTIF(DF_Calculation!E:E,Table1[[#This Row],[ACS_CODE]])</f>
        <v>1</v>
      </c>
    </row>
    <row r="1414" spans="1:11" x14ac:dyDescent="0.25">
      <c r="A1414">
        <v>54183</v>
      </c>
      <c r="B1414" t="s">
        <v>1201</v>
      </c>
      <c r="C1414" t="s">
        <v>1266</v>
      </c>
      <c r="D1414" t="s">
        <v>1510</v>
      </c>
      <c r="E1414">
        <v>0</v>
      </c>
      <c r="F1414">
        <v>0</v>
      </c>
      <c r="G1414">
        <v>0</v>
      </c>
      <c r="H1414">
        <v>0</v>
      </c>
      <c r="J1414">
        <v>0</v>
      </c>
      <c r="K1414">
        <f>COUNTIF(DF_Calculation!E:E,Table1[[#This Row],[ACS_CODE]])</f>
        <v>1</v>
      </c>
    </row>
    <row r="1415" spans="1:11" x14ac:dyDescent="0.25">
      <c r="A1415">
        <v>53277</v>
      </c>
      <c r="B1415" t="s">
        <v>1201</v>
      </c>
      <c r="C1415" t="s">
        <v>1266</v>
      </c>
      <c r="D1415" t="s">
        <v>2470</v>
      </c>
      <c r="E1415">
        <v>0</v>
      </c>
      <c r="F1415">
        <v>0</v>
      </c>
      <c r="G1415">
        <v>0</v>
      </c>
      <c r="H1415">
        <v>461</v>
      </c>
      <c r="J1415">
        <v>461</v>
      </c>
      <c r="K1415">
        <f>COUNTIF(DF_Calculation!E:E,Table1[[#This Row],[ACS_CODE]])</f>
        <v>1</v>
      </c>
    </row>
    <row r="1416" spans="1:11" x14ac:dyDescent="0.25">
      <c r="A1416">
        <v>53355</v>
      </c>
      <c r="B1416" t="s">
        <v>1201</v>
      </c>
      <c r="C1416" t="s">
        <v>1266</v>
      </c>
      <c r="D1416" t="s">
        <v>2471</v>
      </c>
      <c r="E1416">
        <v>0</v>
      </c>
      <c r="F1416">
        <v>0</v>
      </c>
      <c r="G1416">
        <v>0</v>
      </c>
      <c r="H1416">
        <v>461</v>
      </c>
      <c r="J1416">
        <v>461</v>
      </c>
      <c r="K1416">
        <f>COUNTIF(DF_Calculation!E:E,Table1[[#This Row],[ACS_CODE]])</f>
        <v>1</v>
      </c>
    </row>
    <row r="1417" spans="1:11" x14ac:dyDescent="0.25">
      <c r="A1417">
        <v>53261</v>
      </c>
      <c r="B1417" t="s">
        <v>1201</v>
      </c>
      <c r="C1417" t="s">
        <v>1266</v>
      </c>
      <c r="D1417" t="s">
        <v>2472</v>
      </c>
      <c r="E1417">
        <v>0</v>
      </c>
      <c r="F1417">
        <v>0</v>
      </c>
      <c r="G1417">
        <v>0</v>
      </c>
      <c r="H1417">
        <v>234</v>
      </c>
      <c r="I1417">
        <v>1</v>
      </c>
      <c r="J1417">
        <v>235</v>
      </c>
      <c r="K1417">
        <f>COUNTIF(DF_Calculation!E:E,Table1[[#This Row],[ACS_CODE]])</f>
        <v>1</v>
      </c>
    </row>
    <row r="1418" spans="1:11" x14ac:dyDescent="0.25">
      <c r="A1418">
        <v>53423</v>
      </c>
      <c r="B1418" t="s">
        <v>1201</v>
      </c>
      <c r="C1418" t="s">
        <v>1266</v>
      </c>
      <c r="D1418" t="s">
        <v>1511</v>
      </c>
      <c r="E1418">
        <v>0</v>
      </c>
      <c r="F1418">
        <v>0</v>
      </c>
      <c r="G1418">
        <v>0</v>
      </c>
      <c r="H1418">
        <v>17</v>
      </c>
      <c r="J1418">
        <v>17</v>
      </c>
      <c r="K1418">
        <f>COUNTIF(DF_Calculation!E:E,Table1[[#This Row],[ACS_CODE]])</f>
        <v>1</v>
      </c>
    </row>
    <row r="1419" spans="1:11" x14ac:dyDescent="0.25">
      <c r="A1419">
        <v>36151</v>
      </c>
      <c r="B1419" t="s">
        <v>919</v>
      </c>
      <c r="C1419" t="s">
        <v>982</v>
      </c>
      <c r="D1419" t="s">
        <v>1239</v>
      </c>
      <c r="E1419">
        <v>0</v>
      </c>
      <c r="F1419">
        <v>0</v>
      </c>
      <c r="G1419">
        <v>0</v>
      </c>
      <c r="H1419">
        <v>534</v>
      </c>
      <c r="I1419">
        <v>4</v>
      </c>
      <c r="J1419">
        <v>538</v>
      </c>
      <c r="K1419">
        <f>COUNTIF(DF_Calculation!E:E,Table1[[#This Row],[ACS_CODE]])</f>
        <v>1</v>
      </c>
    </row>
    <row r="1420" spans="1:11" x14ac:dyDescent="0.25">
      <c r="A1420">
        <v>36110</v>
      </c>
      <c r="B1420" t="s">
        <v>919</v>
      </c>
      <c r="C1420" t="s">
        <v>982</v>
      </c>
      <c r="D1420" t="s">
        <v>1512</v>
      </c>
      <c r="E1420">
        <v>0</v>
      </c>
      <c r="F1420">
        <v>0</v>
      </c>
      <c r="G1420">
        <v>0</v>
      </c>
      <c r="H1420">
        <v>0</v>
      </c>
      <c r="J1420">
        <v>0</v>
      </c>
      <c r="K1420">
        <f>COUNTIF(DF_Calculation!E:E,Table1[[#This Row],[ACS_CODE]])</f>
        <v>1</v>
      </c>
    </row>
    <row r="1421" spans="1:11" x14ac:dyDescent="0.25">
      <c r="A1421">
        <v>36141</v>
      </c>
      <c r="B1421" t="s">
        <v>919</v>
      </c>
      <c r="C1421" t="s">
        <v>982</v>
      </c>
      <c r="D1421" t="s">
        <v>1240</v>
      </c>
      <c r="E1421">
        <v>0</v>
      </c>
      <c r="F1421">
        <v>0</v>
      </c>
      <c r="G1421">
        <v>0</v>
      </c>
      <c r="H1421">
        <v>105</v>
      </c>
      <c r="J1421">
        <v>105</v>
      </c>
      <c r="K1421">
        <f>COUNTIF(DF_Calculation!E:E,Table1[[#This Row],[ACS_CODE]])</f>
        <v>1</v>
      </c>
    </row>
    <row r="1422" spans="1:11" x14ac:dyDescent="0.25">
      <c r="A1422">
        <v>36114</v>
      </c>
      <c r="B1422" t="s">
        <v>919</v>
      </c>
      <c r="C1422" t="s">
        <v>982</v>
      </c>
      <c r="D1422" t="s">
        <v>1241</v>
      </c>
      <c r="E1422">
        <v>0</v>
      </c>
      <c r="F1422">
        <v>0</v>
      </c>
      <c r="G1422">
        <v>0</v>
      </c>
      <c r="H1422">
        <v>129</v>
      </c>
      <c r="I1422">
        <v>9</v>
      </c>
      <c r="J1422">
        <v>138</v>
      </c>
      <c r="K1422">
        <f>COUNTIF(DF_Calculation!E:E,Table1[[#This Row],[ACS_CODE]])</f>
        <v>1</v>
      </c>
    </row>
    <row r="1423" spans="1:11" x14ac:dyDescent="0.25">
      <c r="A1423">
        <v>72291</v>
      </c>
      <c r="B1423" t="s">
        <v>937</v>
      </c>
      <c r="C1423" t="s">
        <v>1514</v>
      </c>
      <c r="D1423" t="s">
        <v>2473</v>
      </c>
      <c r="E1423">
        <v>0</v>
      </c>
      <c r="F1423">
        <v>0</v>
      </c>
      <c r="G1423">
        <v>0</v>
      </c>
      <c r="H1423">
        <v>565</v>
      </c>
      <c r="J1423">
        <v>565</v>
      </c>
      <c r="K1423">
        <f>COUNTIF(DF_Calculation!E:E,Table1[[#This Row],[ACS_CODE]])</f>
        <v>1</v>
      </c>
    </row>
    <row r="1424" spans="1:11" x14ac:dyDescent="0.25">
      <c r="A1424">
        <v>72175</v>
      </c>
      <c r="B1424" t="s">
        <v>937</v>
      </c>
      <c r="C1424" t="s">
        <v>1514</v>
      </c>
      <c r="D1424" t="s">
        <v>1513</v>
      </c>
      <c r="E1424">
        <v>0</v>
      </c>
      <c r="F1424">
        <v>0</v>
      </c>
      <c r="G1424">
        <v>0</v>
      </c>
      <c r="H1424">
        <v>0</v>
      </c>
      <c r="J1424">
        <v>0</v>
      </c>
      <c r="K1424">
        <f>COUNTIF(DF_Calculation!E:E,Table1[[#This Row],[ACS_CODE]])</f>
        <v>1</v>
      </c>
    </row>
    <row r="1425" spans="1:11" x14ac:dyDescent="0.25">
      <c r="A1425">
        <v>72135</v>
      </c>
      <c r="B1425" t="s">
        <v>937</v>
      </c>
      <c r="C1425" t="s">
        <v>1514</v>
      </c>
      <c r="D1425" t="s">
        <v>1515</v>
      </c>
      <c r="E1425">
        <v>0</v>
      </c>
      <c r="F1425">
        <v>0</v>
      </c>
      <c r="G1425">
        <v>0</v>
      </c>
      <c r="H1425">
        <v>0</v>
      </c>
      <c r="J1425">
        <v>0</v>
      </c>
      <c r="K1425">
        <f>COUNTIF(DF_Calculation!E:E,Table1[[#This Row],[ACS_CODE]])</f>
        <v>1</v>
      </c>
    </row>
    <row r="1426" spans="1:11" x14ac:dyDescent="0.25">
      <c r="A1426">
        <v>23275</v>
      </c>
      <c r="B1426" t="s">
        <v>916</v>
      </c>
      <c r="C1426" t="s">
        <v>921</v>
      </c>
      <c r="D1426" t="s">
        <v>1516</v>
      </c>
      <c r="E1426">
        <v>0</v>
      </c>
      <c r="F1426">
        <v>0</v>
      </c>
      <c r="G1426">
        <v>0</v>
      </c>
      <c r="H1426">
        <v>0</v>
      </c>
      <c r="J1426">
        <v>0</v>
      </c>
      <c r="K1426">
        <f>COUNTIF(DF_Calculation!E:E,Table1[[#This Row],[ACS_CODE]])</f>
        <v>1</v>
      </c>
    </row>
    <row r="1427" spans="1:11" x14ac:dyDescent="0.25">
      <c r="A1427">
        <v>23001</v>
      </c>
      <c r="B1427" t="s">
        <v>916</v>
      </c>
      <c r="C1427" t="s">
        <v>921</v>
      </c>
      <c r="D1427" t="s">
        <v>1490</v>
      </c>
      <c r="E1427">
        <v>0</v>
      </c>
      <c r="F1427">
        <v>0</v>
      </c>
      <c r="G1427">
        <v>0</v>
      </c>
      <c r="H1427">
        <v>0</v>
      </c>
      <c r="J1427">
        <v>0</v>
      </c>
      <c r="K1427">
        <f>COUNTIF(DF_Calculation!E:E,Table1[[#This Row],[ACS_CODE]])</f>
        <v>1</v>
      </c>
    </row>
    <row r="1428" spans="1:11" x14ac:dyDescent="0.25">
      <c r="A1428">
        <v>23002</v>
      </c>
      <c r="B1428" t="s">
        <v>916</v>
      </c>
      <c r="C1428" t="s">
        <v>921</v>
      </c>
      <c r="D1428" t="s">
        <v>1490</v>
      </c>
      <c r="E1428">
        <v>0</v>
      </c>
      <c r="F1428">
        <v>0</v>
      </c>
      <c r="G1428">
        <v>0</v>
      </c>
      <c r="H1428">
        <v>0</v>
      </c>
      <c r="J1428">
        <v>0</v>
      </c>
      <c r="K1428">
        <f>COUNTIF(DF_Calculation!E:E,Table1[[#This Row],[ACS_CODE]])</f>
        <v>1</v>
      </c>
    </row>
    <row r="1429" spans="1:11" x14ac:dyDescent="0.25">
      <c r="A1429">
        <v>23003</v>
      </c>
      <c r="B1429" t="s">
        <v>916</v>
      </c>
      <c r="C1429" t="s">
        <v>921</v>
      </c>
      <c r="D1429" t="s">
        <v>1490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f>COUNTIF(DF_Calculation!E:E,Table1[[#This Row],[ACS_CODE]])</f>
        <v>1</v>
      </c>
    </row>
    <row r="1430" spans="1:11" x14ac:dyDescent="0.25">
      <c r="A1430">
        <v>23004</v>
      </c>
      <c r="B1430" t="s">
        <v>916</v>
      </c>
      <c r="C1430" t="s">
        <v>921</v>
      </c>
      <c r="D1430" t="s">
        <v>1490</v>
      </c>
      <c r="E1430">
        <v>0</v>
      </c>
      <c r="F1430">
        <v>0</v>
      </c>
      <c r="G1430">
        <v>0</v>
      </c>
      <c r="H1430">
        <v>0</v>
      </c>
      <c r="J1430">
        <v>0</v>
      </c>
      <c r="K1430">
        <f>COUNTIF(DF_Calculation!E:E,Table1[[#This Row],[ACS_CODE]])</f>
        <v>1</v>
      </c>
    </row>
    <row r="1431" spans="1:11" x14ac:dyDescent="0.25">
      <c r="A1431">
        <v>23005</v>
      </c>
      <c r="B1431" t="s">
        <v>916</v>
      </c>
      <c r="C1431" t="s">
        <v>921</v>
      </c>
      <c r="D1431" t="s">
        <v>1490</v>
      </c>
      <c r="E1431">
        <v>0</v>
      </c>
      <c r="F1431">
        <v>0</v>
      </c>
      <c r="G1431">
        <v>0</v>
      </c>
      <c r="H1431">
        <v>0</v>
      </c>
      <c r="J1431">
        <v>0</v>
      </c>
      <c r="K1431">
        <f>COUNTIF(DF_Calculation!E:E,Table1[[#This Row],[ACS_CODE]])</f>
        <v>1</v>
      </c>
    </row>
    <row r="1432" spans="1:11" x14ac:dyDescent="0.25">
      <c r="A1432">
        <v>23006</v>
      </c>
      <c r="B1432" t="s">
        <v>916</v>
      </c>
      <c r="C1432" t="s">
        <v>921</v>
      </c>
      <c r="D1432" t="s">
        <v>1490</v>
      </c>
      <c r="E1432">
        <v>0</v>
      </c>
      <c r="F1432">
        <v>0</v>
      </c>
      <c r="G1432">
        <v>0</v>
      </c>
      <c r="H1432">
        <v>0</v>
      </c>
      <c r="J1432">
        <v>0</v>
      </c>
      <c r="K1432">
        <f>COUNTIF(DF_Calculation!E:E,Table1[[#This Row],[ACS_CODE]])</f>
        <v>1</v>
      </c>
    </row>
    <row r="1433" spans="1:11" x14ac:dyDescent="0.25">
      <c r="A1433">
        <v>23007</v>
      </c>
      <c r="B1433" t="s">
        <v>916</v>
      </c>
      <c r="C1433" t="s">
        <v>921</v>
      </c>
      <c r="D1433" t="s">
        <v>1490</v>
      </c>
      <c r="E1433">
        <v>0</v>
      </c>
      <c r="F1433">
        <v>0</v>
      </c>
      <c r="G1433">
        <v>0</v>
      </c>
      <c r="H1433">
        <v>0</v>
      </c>
      <c r="J1433">
        <v>0</v>
      </c>
      <c r="K1433">
        <f>COUNTIF(DF_Calculation!E:E,Table1[[#This Row],[ACS_CODE]])</f>
        <v>1</v>
      </c>
    </row>
    <row r="1434" spans="1:11" x14ac:dyDescent="0.25">
      <c r="A1434">
        <v>23438</v>
      </c>
      <c r="B1434" t="s">
        <v>916</v>
      </c>
      <c r="C1434" t="s">
        <v>921</v>
      </c>
      <c r="D1434" t="s">
        <v>1517</v>
      </c>
      <c r="E1434">
        <v>0</v>
      </c>
      <c r="F1434">
        <v>0</v>
      </c>
      <c r="G1434">
        <v>0</v>
      </c>
      <c r="H1434">
        <v>79</v>
      </c>
      <c r="J1434">
        <v>79</v>
      </c>
      <c r="K1434">
        <f>COUNTIF(DF_Calculation!E:E,Table1[[#This Row],[ACS_CODE]])</f>
        <v>1</v>
      </c>
    </row>
    <row r="1435" spans="1:11" x14ac:dyDescent="0.25">
      <c r="A1435">
        <v>23415</v>
      </c>
      <c r="B1435" t="s">
        <v>916</v>
      </c>
      <c r="C1435" t="s">
        <v>921</v>
      </c>
      <c r="D1435" t="s">
        <v>1518</v>
      </c>
      <c r="E1435">
        <v>0</v>
      </c>
      <c r="F1435">
        <v>0</v>
      </c>
      <c r="G1435">
        <v>0</v>
      </c>
      <c r="H1435">
        <v>0</v>
      </c>
      <c r="J1435">
        <v>0</v>
      </c>
      <c r="K1435">
        <f>COUNTIF(DF_Calculation!E:E,Table1[[#This Row],[ACS_CODE]])</f>
        <v>1</v>
      </c>
    </row>
    <row r="1436" spans="1:11" x14ac:dyDescent="0.25">
      <c r="A1436">
        <v>23454</v>
      </c>
      <c r="B1436" t="s">
        <v>916</v>
      </c>
      <c r="C1436" t="s">
        <v>921</v>
      </c>
      <c r="D1436" t="s">
        <v>1519</v>
      </c>
      <c r="E1436">
        <v>0</v>
      </c>
      <c r="F1436">
        <v>0</v>
      </c>
      <c r="G1436">
        <v>0</v>
      </c>
      <c r="H1436">
        <v>215</v>
      </c>
      <c r="I1436">
        <v>2</v>
      </c>
      <c r="J1436">
        <v>217</v>
      </c>
      <c r="K1436">
        <f>COUNTIF(DF_Calculation!E:E,Table1[[#This Row],[ACS_CODE]])</f>
        <v>1</v>
      </c>
    </row>
    <row r="1437" spans="1:11" x14ac:dyDescent="0.25">
      <c r="A1437">
        <v>23431</v>
      </c>
      <c r="B1437" t="s">
        <v>916</v>
      </c>
      <c r="C1437" t="s">
        <v>921</v>
      </c>
      <c r="D1437" t="s">
        <v>1520</v>
      </c>
      <c r="E1437">
        <v>0</v>
      </c>
      <c r="F1437">
        <v>0</v>
      </c>
      <c r="G1437">
        <v>0</v>
      </c>
      <c r="H1437">
        <v>0</v>
      </c>
      <c r="J1437">
        <v>0</v>
      </c>
      <c r="K1437">
        <f>COUNTIF(DF_Calculation!E:E,Table1[[#This Row],[ACS_CODE]])</f>
        <v>1</v>
      </c>
    </row>
    <row r="1438" spans="1:11" x14ac:dyDescent="0.25">
      <c r="A1438">
        <v>23237</v>
      </c>
      <c r="B1438" t="s">
        <v>916</v>
      </c>
      <c r="C1438" t="s">
        <v>921</v>
      </c>
      <c r="D1438" t="s">
        <v>1521</v>
      </c>
      <c r="E1438">
        <v>0</v>
      </c>
      <c r="F1438">
        <v>0</v>
      </c>
      <c r="G1438">
        <v>0</v>
      </c>
      <c r="H1438">
        <v>1</v>
      </c>
      <c r="J1438">
        <v>1</v>
      </c>
      <c r="K1438">
        <f>COUNTIF(DF_Calculation!E:E,Table1[[#This Row],[ACS_CODE]])</f>
        <v>1</v>
      </c>
    </row>
    <row r="1439" spans="1:11" x14ac:dyDescent="0.25">
      <c r="A1439">
        <v>23441</v>
      </c>
      <c r="B1439" t="s">
        <v>916</v>
      </c>
      <c r="C1439" t="s">
        <v>921</v>
      </c>
      <c r="D1439" t="s">
        <v>1242</v>
      </c>
      <c r="E1439">
        <v>0</v>
      </c>
      <c r="F1439">
        <v>0</v>
      </c>
      <c r="G1439">
        <v>0</v>
      </c>
      <c r="H1439">
        <v>562</v>
      </c>
      <c r="I1439">
        <v>1</v>
      </c>
      <c r="J1439">
        <v>563</v>
      </c>
      <c r="K1439">
        <f>COUNTIF(DF_Calculation!E:E,Table1[[#This Row],[ACS_CODE]])</f>
        <v>1</v>
      </c>
    </row>
    <row r="1440" spans="1:11" x14ac:dyDescent="0.25">
      <c r="A1440">
        <v>34371</v>
      </c>
      <c r="B1440" t="s">
        <v>919</v>
      </c>
      <c r="C1440" t="s">
        <v>931</v>
      </c>
      <c r="D1440" t="s">
        <v>1522</v>
      </c>
      <c r="E1440">
        <v>0</v>
      </c>
      <c r="F1440">
        <v>0</v>
      </c>
      <c r="G1440">
        <v>0</v>
      </c>
      <c r="H1440">
        <v>52</v>
      </c>
      <c r="J1440">
        <v>52</v>
      </c>
      <c r="K1440">
        <f>COUNTIF(DF_Calculation!E:E,Table1[[#This Row],[ACS_CODE]])</f>
        <v>1</v>
      </c>
    </row>
    <row r="1441" spans="1:11" x14ac:dyDescent="0.25">
      <c r="A1441">
        <v>34001</v>
      </c>
      <c r="B1441" t="s">
        <v>919</v>
      </c>
      <c r="C1441" t="s">
        <v>931</v>
      </c>
      <c r="D1441" t="s">
        <v>1490</v>
      </c>
      <c r="E1441">
        <v>0</v>
      </c>
      <c r="F1441">
        <v>0</v>
      </c>
      <c r="G1441">
        <v>0</v>
      </c>
      <c r="H1441">
        <v>0</v>
      </c>
      <c r="J1441">
        <v>0</v>
      </c>
      <c r="K1441">
        <f>COUNTIF(DF_Calculation!E:E,Table1[[#This Row],[ACS_CODE]])</f>
        <v>1</v>
      </c>
    </row>
    <row r="1442" spans="1:11" x14ac:dyDescent="0.25">
      <c r="A1442">
        <v>34002</v>
      </c>
      <c r="B1442" t="s">
        <v>919</v>
      </c>
      <c r="C1442" t="s">
        <v>931</v>
      </c>
      <c r="D1442" t="s">
        <v>1490</v>
      </c>
      <c r="E1442">
        <v>0</v>
      </c>
      <c r="F1442">
        <v>0</v>
      </c>
      <c r="G1442">
        <v>0</v>
      </c>
      <c r="H1442">
        <v>0</v>
      </c>
      <c r="J1442">
        <v>0</v>
      </c>
      <c r="K1442">
        <f>COUNTIF(DF_Calculation!E:E,Table1[[#This Row],[ACS_CODE]])</f>
        <v>1</v>
      </c>
    </row>
    <row r="1443" spans="1:11" x14ac:dyDescent="0.25">
      <c r="A1443">
        <v>34326</v>
      </c>
      <c r="B1443" t="s">
        <v>919</v>
      </c>
      <c r="C1443" t="s">
        <v>931</v>
      </c>
      <c r="D1443" t="s">
        <v>1523</v>
      </c>
      <c r="E1443">
        <v>0</v>
      </c>
      <c r="F1443">
        <v>0</v>
      </c>
      <c r="G1443">
        <v>0</v>
      </c>
      <c r="H1443">
        <v>0</v>
      </c>
      <c r="J1443">
        <v>0</v>
      </c>
      <c r="K1443">
        <f>COUNTIF(DF_Calculation!E:E,Table1[[#This Row],[ACS_CODE]])</f>
        <v>1</v>
      </c>
    </row>
    <row r="1444" spans="1:11" x14ac:dyDescent="0.25">
      <c r="A1444">
        <v>34227</v>
      </c>
      <c r="B1444" t="s">
        <v>919</v>
      </c>
      <c r="C1444" t="s">
        <v>931</v>
      </c>
      <c r="D1444" t="s">
        <v>1524</v>
      </c>
      <c r="E1444">
        <v>0</v>
      </c>
      <c r="F1444">
        <v>0</v>
      </c>
      <c r="G1444">
        <v>0</v>
      </c>
      <c r="H1444">
        <v>0</v>
      </c>
      <c r="J1444">
        <v>0</v>
      </c>
      <c r="K1444">
        <f>COUNTIF(DF_Calculation!E:E,Table1[[#This Row],[ACS_CODE]])</f>
        <v>1</v>
      </c>
    </row>
    <row r="1445" spans="1:11" x14ac:dyDescent="0.25">
      <c r="A1445">
        <v>34244</v>
      </c>
      <c r="B1445" t="s">
        <v>919</v>
      </c>
      <c r="C1445" t="s">
        <v>931</v>
      </c>
      <c r="D1445" t="s">
        <v>1243</v>
      </c>
      <c r="E1445">
        <v>0</v>
      </c>
      <c r="F1445">
        <v>0</v>
      </c>
      <c r="G1445">
        <v>0</v>
      </c>
      <c r="H1445">
        <v>86</v>
      </c>
      <c r="I1445">
        <v>2</v>
      </c>
      <c r="J1445">
        <v>88</v>
      </c>
      <c r="K1445">
        <f>COUNTIF(DF_Calculation!E:E,Table1[[#This Row],[ACS_CODE]])</f>
        <v>1</v>
      </c>
    </row>
    <row r="1446" spans="1:11" x14ac:dyDescent="0.25">
      <c r="A1446">
        <v>34281</v>
      </c>
      <c r="B1446" t="s">
        <v>919</v>
      </c>
      <c r="C1446" t="s">
        <v>931</v>
      </c>
      <c r="D1446" t="s">
        <v>1525</v>
      </c>
      <c r="E1446">
        <v>0</v>
      </c>
      <c r="F1446">
        <v>0</v>
      </c>
      <c r="G1446">
        <v>0</v>
      </c>
      <c r="H1446">
        <v>52</v>
      </c>
      <c r="I1446">
        <v>15</v>
      </c>
      <c r="J1446">
        <v>67</v>
      </c>
      <c r="K1446">
        <f>COUNTIF(DF_Calculation!E:E,Table1[[#This Row],[ACS_CODE]])</f>
        <v>1</v>
      </c>
    </row>
    <row r="1447" spans="1:11" x14ac:dyDescent="0.25">
      <c r="A1447">
        <v>34381</v>
      </c>
      <c r="B1447" t="s">
        <v>919</v>
      </c>
      <c r="C1447" t="s">
        <v>931</v>
      </c>
      <c r="D1447" t="s">
        <v>1244</v>
      </c>
      <c r="E1447">
        <v>0</v>
      </c>
      <c r="F1447">
        <v>0</v>
      </c>
      <c r="G1447">
        <v>0</v>
      </c>
      <c r="H1447">
        <v>794</v>
      </c>
      <c r="J1447">
        <v>794</v>
      </c>
      <c r="K1447">
        <f>COUNTIF(DF_Calculation!E:E,Table1[[#This Row],[ACS_CODE]])</f>
        <v>1</v>
      </c>
    </row>
    <row r="1448" spans="1:11" x14ac:dyDescent="0.25">
      <c r="A1448">
        <v>54001</v>
      </c>
      <c r="B1448" t="s">
        <v>1201</v>
      </c>
      <c r="C1448" t="s">
        <v>1200</v>
      </c>
      <c r="D1448" t="s">
        <v>1490</v>
      </c>
      <c r="E1448">
        <v>0</v>
      </c>
      <c r="F1448">
        <v>0</v>
      </c>
      <c r="G1448">
        <v>0</v>
      </c>
      <c r="H1448">
        <v>0</v>
      </c>
      <c r="J1448">
        <v>0</v>
      </c>
      <c r="K1448">
        <f>COUNTIF(DF_Calculation!E:E,Table1[[#This Row],[ACS_CODE]])</f>
        <v>1</v>
      </c>
    </row>
    <row r="1449" spans="1:11" x14ac:dyDescent="0.25">
      <c r="A1449">
        <v>54002</v>
      </c>
      <c r="B1449" t="s">
        <v>1201</v>
      </c>
      <c r="C1449" t="s">
        <v>1200</v>
      </c>
      <c r="D1449" t="s">
        <v>1490</v>
      </c>
      <c r="E1449">
        <v>0</v>
      </c>
      <c r="F1449">
        <v>0</v>
      </c>
      <c r="G1449">
        <v>0</v>
      </c>
      <c r="H1449">
        <v>0</v>
      </c>
      <c r="J1449">
        <v>0</v>
      </c>
      <c r="K1449">
        <f>COUNTIF(DF_Calculation!E:E,Table1[[#This Row],[ACS_CODE]])</f>
        <v>1</v>
      </c>
    </row>
    <row r="1450" spans="1:11" x14ac:dyDescent="0.25">
      <c r="A1450" t="s">
        <v>1526</v>
      </c>
      <c r="B1450" t="s">
        <v>1201</v>
      </c>
      <c r="C1450" t="s">
        <v>1200</v>
      </c>
      <c r="D1450" t="s">
        <v>1490</v>
      </c>
      <c r="E1450">
        <v>0</v>
      </c>
      <c r="F1450">
        <v>0</v>
      </c>
      <c r="G1450">
        <v>0</v>
      </c>
      <c r="H1450">
        <v>0</v>
      </c>
      <c r="J1450">
        <v>0</v>
      </c>
      <c r="K1450">
        <f>COUNTIF(DF_Calculation!E:E,Table1[[#This Row],[ACS_CODE]])</f>
        <v>1</v>
      </c>
    </row>
    <row r="1451" spans="1:11" x14ac:dyDescent="0.25">
      <c r="A1451">
        <v>32195</v>
      </c>
      <c r="B1451" t="s">
        <v>919</v>
      </c>
      <c r="C1451" t="s">
        <v>934</v>
      </c>
      <c r="D1451" t="s">
        <v>1245</v>
      </c>
      <c r="E1451">
        <v>0</v>
      </c>
      <c r="F1451">
        <v>0</v>
      </c>
      <c r="G1451">
        <v>0</v>
      </c>
      <c r="H1451">
        <v>36</v>
      </c>
      <c r="J1451">
        <v>36</v>
      </c>
      <c r="K1451">
        <f>COUNTIF(DF_Calculation!E:E,Table1[[#This Row],[ACS_CODE]])</f>
        <v>1</v>
      </c>
    </row>
    <row r="1452" spans="1:11" x14ac:dyDescent="0.25">
      <c r="A1452">
        <v>22523</v>
      </c>
      <c r="B1452" t="s">
        <v>916</v>
      </c>
      <c r="C1452" t="s">
        <v>915</v>
      </c>
      <c r="D1452" t="s">
        <v>1527</v>
      </c>
      <c r="E1452">
        <v>0</v>
      </c>
      <c r="F1452">
        <v>0</v>
      </c>
      <c r="G1452">
        <v>0</v>
      </c>
      <c r="H1452">
        <v>81</v>
      </c>
      <c r="I1452">
        <v>28</v>
      </c>
      <c r="J1452">
        <v>109</v>
      </c>
      <c r="K1452">
        <f>COUNTIF(DF_Calculation!E:E,Table1[[#This Row],[ACS_CODE]])</f>
        <v>1</v>
      </c>
    </row>
    <row r="1453" spans="1:11" x14ac:dyDescent="0.25">
      <c r="A1453">
        <v>22714</v>
      </c>
      <c r="B1453" t="s">
        <v>916</v>
      </c>
      <c r="C1453" t="s">
        <v>915</v>
      </c>
      <c r="D1453" t="s">
        <v>1246</v>
      </c>
      <c r="E1453">
        <v>0</v>
      </c>
      <c r="F1453">
        <v>0</v>
      </c>
      <c r="G1453">
        <v>0</v>
      </c>
      <c r="H1453">
        <v>84</v>
      </c>
      <c r="I1453">
        <v>10</v>
      </c>
      <c r="J1453">
        <v>94</v>
      </c>
      <c r="K1453">
        <f>COUNTIF(DF_Calculation!E:E,Table1[[#This Row],[ACS_CODE]])</f>
        <v>1</v>
      </c>
    </row>
    <row r="1454" spans="1:11" x14ac:dyDescent="0.25">
      <c r="A1454">
        <v>22691</v>
      </c>
      <c r="B1454" t="s">
        <v>916</v>
      </c>
      <c r="C1454" t="s">
        <v>915</v>
      </c>
      <c r="D1454" t="s">
        <v>1528</v>
      </c>
      <c r="E1454">
        <v>0</v>
      </c>
      <c r="F1454">
        <v>0</v>
      </c>
      <c r="G1454">
        <v>0</v>
      </c>
      <c r="H1454">
        <v>172</v>
      </c>
      <c r="I1454">
        <v>5</v>
      </c>
      <c r="J1454">
        <v>177</v>
      </c>
      <c r="K1454">
        <f>COUNTIF(DF_Calculation!E:E,Table1[[#This Row],[ACS_CODE]])</f>
        <v>1</v>
      </c>
    </row>
    <row r="1455" spans="1:11" x14ac:dyDescent="0.25">
      <c r="A1455">
        <v>22001</v>
      </c>
      <c r="B1455" t="s">
        <v>916</v>
      </c>
      <c r="C1455" t="s">
        <v>915</v>
      </c>
      <c r="D1455" t="s">
        <v>1490</v>
      </c>
      <c r="E1455">
        <v>0</v>
      </c>
      <c r="F1455">
        <v>0</v>
      </c>
      <c r="G1455">
        <v>0</v>
      </c>
      <c r="H1455">
        <v>0</v>
      </c>
      <c r="J1455">
        <v>0</v>
      </c>
      <c r="K1455">
        <f>COUNTIF(DF_Calculation!E:E,Table1[[#This Row],[ACS_CODE]])</f>
        <v>1</v>
      </c>
    </row>
    <row r="1456" spans="1:11" x14ac:dyDescent="0.25">
      <c r="A1456">
        <v>22002</v>
      </c>
      <c r="B1456" t="s">
        <v>916</v>
      </c>
      <c r="C1456" t="s">
        <v>915</v>
      </c>
      <c r="D1456" t="s">
        <v>1490</v>
      </c>
      <c r="E1456">
        <v>0</v>
      </c>
      <c r="F1456">
        <v>0</v>
      </c>
      <c r="G1456">
        <v>0</v>
      </c>
      <c r="H1456">
        <v>0</v>
      </c>
      <c r="J1456">
        <v>0</v>
      </c>
      <c r="K1456">
        <f>COUNTIF(DF_Calculation!E:E,Table1[[#This Row],[ACS_CODE]])</f>
        <v>1</v>
      </c>
    </row>
    <row r="1457" spans="1:11" x14ac:dyDescent="0.25">
      <c r="A1457">
        <v>22787</v>
      </c>
      <c r="B1457" t="s">
        <v>916</v>
      </c>
      <c r="C1457" t="s">
        <v>915</v>
      </c>
      <c r="D1457" t="s">
        <v>1247</v>
      </c>
      <c r="E1457">
        <v>0</v>
      </c>
      <c r="F1457">
        <v>0</v>
      </c>
      <c r="G1457">
        <v>0</v>
      </c>
      <c r="H1457">
        <v>69</v>
      </c>
      <c r="I1457">
        <v>3</v>
      </c>
      <c r="J1457">
        <v>72</v>
      </c>
      <c r="K1457">
        <f>COUNTIF(DF_Calculation!E:E,Table1[[#This Row],[ACS_CODE]])</f>
        <v>1</v>
      </c>
    </row>
    <row r="1458" spans="1:11" x14ac:dyDescent="0.25">
      <c r="A1458">
        <v>22435</v>
      </c>
      <c r="B1458" t="s">
        <v>916</v>
      </c>
      <c r="C1458" t="s">
        <v>915</v>
      </c>
      <c r="D1458" t="s">
        <v>1529</v>
      </c>
      <c r="E1458">
        <v>0</v>
      </c>
      <c r="F1458">
        <v>0</v>
      </c>
      <c r="G1458">
        <v>0</v>
      </c>
      <c r="H1458">
        <v>1252</v>
      </c>
      <c r="I1458">
        <v>187</v>
      </c>
      <c r="J1458">
        <v>1439</v>
      </c>
      <c r="K1458">
        <f>COUNTIF(DF_Calculation!E:E,Table1[[#This Row],[ACS_CODE]])</f>
        <v>1</v>
      </c>
    </row>
    <row r="1459" spans="1:11" x14ac:dyDescent="0.25">
      <c r="A1459">
        <v>22651</v>
      </c>
      <c r="B1459" t="s">
        <v>916</v>
      </c>
      <c r="C1459" t="s">
        <v>915</v>
      </c>
      <c r="D1459" t="s">
        <v>1530</v>
      </c>
      <c r="E1459">
        <v>0</v>
      </c>
      <c r="F1459">
        <v>0</v>
      </c>
      <c r="G1459">
        <v>0</v>
      </c>
      <c r="H1459">
        <v>1468</v>
      </c>
      <c r="I1459">
        <v>100</v>
      </c>
      <c r="J1459">
        <v>1568</v>
      </c>
      <c r="K1459">
        <f>COUNTIF(DF_Calculation!E:E,Table1[[#This Row],[ACS_CODE]])</f>
        <v>1</v>
      </c>
    </row>
    <row r="1460" spans="1:11" x14ac:dyDescent="0.25">
      <c r="A1460">
        <v>22519</v>
      </c>
      <c r="B1460" t="s">
        <v>916</v>
      </c>
      <c r="C1460" t="s">
        <v>915</v>
      </c>
      <c r="D1460" t="s">
        <v>1248</v>
      </c>
      <c r="E1460">
        <v>0</v>
      </c>
      <c r="F1460">
        <v>0</v>
      </c>
      <c r="G1460">
        <v>0</v>
      </c>
      <c r="H1460">
        <v>69</v>
      </c>
      <c r="I1460">
        <v>4</v>
      </c>
      <c r="J1460">
        <v>73</v>
      </c>
      <c r="K1460">
        <f>COUNTIF(DF_Calculation!E:E,Table1[[#This Row],[ACS_CODE]])</f>
        <v>1</v>
      </c>
    </row>
    <row r="1461" spans="1:11" x14ac:dyDescent="0.25">
      <c r="A1461">
        <v>22791</v>
      </c>
      <c r="B1461" t="s">
        <v>916</v>
      </c>
      <c r="C1461" t="s">
        <v>915</v>
      </c>
      <c r="D1461" t="s">
        <v>1249</v>
      </c>
      <c r="E1461">
        <v>0</v>
      </c>
      <c r="F1461">
        <v>0</v>
      </c>
      <c r="G1461">
        <v>0</v>
      </c>
      <c r="H1461">
        <v>258</v>
      </c>
      <c r="I1461">
        <v>6</v>
      </c>
      <c r="J1461">
        <v>264</v>
      </c>
      <c r="K1461">
        <f>COUNTIF(DF_Calculation!E:E,Table1[[#This Row],[ACS_CODE]])</f>
        <v>1</v>
      </c>
    </row>
    <row r="1462" spans="1:11" x14ac:dyDescent="0.25">
      <c r="A1462">
        <v>37362</v>
      </c>
      <c r="B1462" t="s">
        <v>919</v>
      </c>
      <c r="C1462" t="s">
        <v>918</v>
      </c>
      <c r="D1462" t="s">
        <v>1531</v>
      </c>
      <c r="E1462">
        <v>0</v>
      </c>
      <c r="F1462">
        <v>0</v>
      </c>
      <c r="G1462">
        <v>0</v>
      </c>
      <c r="H1462">
        <v>32</v>
      </c>
      <c r="J1462">
        <v>32</v>
      </c>
      <c r="K1462">
        <f>COUNTIF(DF_Calculation!E:E,Table1[[#This Row],[ACS_CODE]])</f>
        <v>1</v>
      </c>
    </row>
    <row r="1463" spans="1:11" x14ac:dyDescent="0.25">
      <c r="A1463">
        <v>37367</v>
      </c>
      <c r="B1463" t="s">
        <v>919</v>
      </c>
      <c r="C1463" t="s">
        <v>918</v>
      </c>
      <c r="D1463" t="s">
        <v>1250</v>
      </c>
      <c r="E1463">
        <v>0</v>
      </c>
      <c r="F1463">
        <v>0</v>
      </c>
      <c r="G1463">
        <v>0</v>
      </c>
      <c r="H1463">
        <v>374</v>
      </c>
      <c r="I1463">
        <v>20</v>
      </c>
      <c r="J1463">
        <v>394</v>
      </c>
      <c r="K1463">
        <f>COUNTIF(DF_Calculation!E:E,Table1[[#This Row],[ACS_CODE]])</f>
        <v>1</v>
      </c>
    </row>
    <row r="1464" spans="1:11" x14ac:dyDescent="0.25">
      <c r="A1464">
        <v>37001</v>
      </c>
      <c r="B1464" t="s">
        <v>919</v>
      </c>
      <c r="C1464" t="s">
        <v>918</v>
      </c>
      <c r="D1464" t="s">
        <v>1490</v>
      </c>
      <c r="E1464">
        <v>0</v>
      </c>
      <c r="F1464">
        <v>0</v>
      </c>
      <c r="G1464">
        <v>0</v>
      </c>
      <c r="H1464">
        <v>0</v>
      </c>
      <c r="J1464">
        <v>0</v>
      </c>
      <c r="K1464">
        <f>COUNTIF(DF_Calculation!E:E,Table1[[#This Row],[ACS_CODE]])</f>
        <v>1</v>
      </c>
    </row>
    <row r="1465" spans="1:11" x14ac:dyDescent="0.25">
      <c r="A1465">
        <v>37002</v>
      </c>
      <c r="B1465" t="s">
        <v>919</v>
      </c>
      <c r="C1465" t="s">
        <v>918</v>
      </c>
      <c r="D1465" t="s">
        <v>1490</v>
      </c>
      <c r="E1465">
        <v>0</v>
      </c>
      <c r="F1465">
        <v>0</v>
      </c>
      <c r="G1465">
        <v>0</v>
      </c>
      <c r="H1465">
        <v>0</v>
      </c>
      <c r="J1465">
        <v>0</v>
      </c>
      <c r="K1465">
        <f>COUNTIF(DF_Calculation!E:E,Table1[[#This Row],[ACS_CODE]])</f>
        <v>1</v>
      </c>
    </row>
    <row r="1466" spans="1:11" x14ac:dyDescent="0.25">
      <c r="A1466">
        <v>37003</v>
      </c>
      <c r="B1466" t="s">
        <v>919</v>
      </c>
      <c r="C1466" t="s">
        <v>918</v>
      </c>
      <c r="D1466" t="s">
        <v>1490</v>
      </c>
      <c r="E1466">
        <v>0</v>
      </c>
      <c r="F1466">
        <v>0</v>
      </c>
      <c r="G1466">
        <v>0</v>
      </c>
      <c r="H1466">
        <v>0</v>
      </c>
      <c r="J1466">
        <v>0</v>
      </c>
      <c r="K1466">
        <f>COUNTIF(DF_Calculation!E:E,Table1[[#This Row],[ACS_CODE]])</f>
        <v>1</v>
      </c>
    </row>
    <row r="1467" spans="1:11" x14ac:dyDescent="0.25">
      <c r="A1467">
        <v>37004</v>
      </c>
      <c r="B1467" t="s">
        <v>919</v>
      </c>
      <c r="C1467" t="s">
        <v>918</v>
      </c>
      <c r="D1467" t="s">
        <v>1490</v>
      </c>
      <c r="E1467">
        <v>0</v>
      </c>
      <c r="F1467">
        <v>0</v>
      </c>
      <c r="G1467">
        <v>0</v>
      </c>
      <c r="H1467">
        <v>0</v>
      </c>
      <c r="J1467">
        <v>0</v>
      </c>
      <c r="K1467">
        <f>COUNTIF(DF_Calculation!E:E,Table1[[#This Row],[ACS_CODE]])</f>
        <v>1</v>
      </c>
    </row>
    <row r="1468" spans="1:11" x14ac:dyDescent="0.25">
      <c r="A1468">
        <v>37005</v>
      </c>
      <c r="B1468" t="s">
        <v>919</v>
      </c>
      <c r="C1468" t="s">
        <v>918</v>
      </c>
      <c r="D1468" t="s">
        <v>1490</v>
      </c>
      <c r="E1468">
        <v>0</v>
      </c>
      <c r="F1468">
        <v>0</v>
      </c>
      <c r="G1468">
        <v>0</v>
      </c>
      <c r="H1468">
        <v>0</v>
      </c>
      <c r="J1468">
        <v>0</v>
      </c>
      <c r="K1468">
        <f>COUNTIF(DF_Calculation!E:E,Table1[[#This Row],[ACS_CODE]])</f>
        <v>1</v>
      </c>
    </row>
    <row r="1469" spans="1:11" x14ac:dyDescent="0.25">
      <c r="A1469">
        <v>37006</v>
      </c>
      <c r="B1469" t="s">
        <v>919</v>
      </c>
      <c r="C1469" t="s">
        <v>918</v>
      </c>
      <c r="D1469" t="s">
        <v>1490</v>
      </c>
      <c r="E1469">
        <v>0</v>
      </c>
      <c r="F1469">
        <v>0</v>
      </c>
      <c r="G1469">
        <v>0</v>
      </c>
      <c r="H1469">
        <v>0</v>
      </c>
      <c r="J1469">
        <v>0</v>
      </c>
      <c r="K1469">
        <f>COUNTIF(DF_Calculation!E:E,Table1[[#This Row],[ACS_CODE]])</f>
        <v>1</v>
      </c>
    </row>
    <row r="1470" spans="1:11" x14ac:dyDescent="0.25">
      <c r="A1470">
        <v>37327</v>
      </c>
      <c r="B1470" t="s">
        <v>919</v>
      </c>
      <c r="C1470" t="s">
        <v>918</v>
      </c>
      <c r="D1470" t="s">
        <v>1251</v>
      </c>
      <c r="E1470">
        <v>0</v>
      </c>
      <c r="F1470">
        <v>0</v>
      </c>
      <c r="G1470">
        <v>0</v>
      </c>
      <c r="H1470">
        <v>1218</v>
      </c>
      <c r="I1470">
        <v>2</v>
      </c>
      <c r="J1470">
        <v>1220</v>
      </c>
      <c r="K1470">
        <f>COUNTIF(DF_Calculation!E:E,Table1[[#This Row],[ACS_CODE]])</f>
        <v>1</v>
      </c>
    </row>
    <row r="1471" spans="1:11" x14ac:dyDescent="0.25">
      <c r="A1471">
        <v>37345</v>
      </c>
      <c r="B1471" t="s">
        <v>919</v>
      </c>
      <c r="C1471" t="s">
        <v>918</v>
      </c>
      <c r="D1471" t="s">
        <v>1252</v>
      </c>
      <c r="E1471">
        <v>0</v>
      </c>
      <c r="F1471">
        <v>0</v>
      </c>
      <c r="G1471">
        <v>0</v>
      </c>
      <c r="H1471">
        <v>970</v>
      </c>
      <c r="J1471">
        <v>970</v>
      </c>
      <c r="K1471">
        <f>COUNTIF(DF_Calculation!E:E,Table1[[#This Row],[ACS_CODE]])</f>
        <v>1</v>
      </c>
    </row>
    <row r="1472" spans="1:11" x14ac:dyDescent="0.25">
      <c r="A1472">
        <v>37335</v>
      </c>
      <c r="B1472" t="s">
        <v>919</v>
      </c>
      <c r="C1472" t="s">
        <v>918</v>
      </c>
      <c r="D1472" t="s">
        <v>1253</v>
      </c>
      <c r="E1472">
        <v>0</v>
      </c>
      <c r="F1472">
        <v>0</v>
      </c>
      <c r="G1472">
        <v>0</v>
      </c>
      <c r="H1472">
        <v>419</v>
      </c>
      <c r="I1472">
        <v>2</v>
      </c>
      <c r="J1472">
        <v>421</v>
      </c>
      <c r="K1472">
        <f>COUNTIF(DF_Calculation!E:E,Table1[[#This Row],[ACS_CODE]])</f>
        <v>1</v>
      </c>
    </row>
    <row r="1473" spans="1:11" x14ac:dyDescent="0.25">
      <c r="A1473">
        <v>37389</v>
      </c>
      <c r="B1473" t="s">
        <v>919</v>
      </c>
      <c r="C1473" t="s">
        <v>918</v>
      </c>
      <c r="D1473" t="s">
        <v>1532</v>
      </c>
      <c r="E1473">
        <v>0</v>
      </c>
      <c r="F1473">
        <v>0</v>
      </c>
      <c r="G1473">
        <v>0</v>
      </c>
      <c r="H1473">
        <v>0</v>
      </c>
      <c r="J1473">
        <v>0</v>
      </c>
      <c r="K1473">
        <f>COUNTIF(DF_Calculation!E:E,Table1[[#This Row],[ACS_CODE]])</f>
        <v>1</v>
      </c>
    </row>
    <row r="1474" spans="1:11" x14ac:dyDescent="0.25">
      <c r="A1474">
        <v>37314</v>
      </c>
      <c r="B1474" t="s">
        <v>919</v>
      </c>
      <c r="C1474" t="s">
        <v>918</v>
      </c>
      <c r="D1474" t="s">
        <v>1533</v>
      </c>
      <c r="E1474">
        <v>0</v>
      </c>
      <c r="F1474">
        <v>0</v>
      </c>
      <c r="G1474">
        <v>0</v>
      </c>
      <c r="H1474">
        <v>127</v>
      </c>
      <c r="J1474">
        <v>127</v>
      </c>
      <c r="K1474">
        <f>COUNTIF(DF_Calculation!E:E,Table1[[#This Row],[ACS_CODE]])</f>
        <v>1</v>
      </c>
    </row>
    <row r="1475" spans="1:11" x14ac:dyDescent="0.25">
      <c r="A1475">
        <v>37385</v>
      </c>
      <c r="B1475" t="s">
        <v>919</v>
      </c>
      <c r="C1475" t="s">
        <v>918</v>
      </c>
      <c r="D1475" t="s">
        <v>1534</v>
      </c>
      <c r="E1475">
        <v>0</v>
      </c>
      <c r="F1475">
        <v>0</v>
      </c>
      <c r="G1475">
        <v>0</v>
      </c>
      <c r="H1475">
        <v>0</v>
      </c>
      <c r="J1475">
        <v>0</v>
      </c>
      <c r="K1475">
        <f>COUNTIF(DF_Calculation!E:E,Table1[[#This Row],[ACS_CODE]])</f>
        <v>1</v>
      </c>
    </row>
    <row r="1476" spans="1:11" x14ac:dyDescent="0.25">
      <c r="A1476">
        <v>37360</v>
      </c>
      <c r="B1476" t="s">
        <v>919</v>
      </c>
      <c r="C1476" t="s">
        <v>918</v>
      </c>
      <c r="D1476" t="s">
        <v>1535</v>
      </c>
      <c r="E1476">
        <v>0</v>
      </c>
      <c r="F1476">
        <v>0</v>
      </c>
      <c r="G1476">
        <v>0</v>
      </c>
      <c r="H1476">
        <v>495</v>
      </c>
      <c r="J1476">
        <v>495</v>
      </c>
      <c r="K1476">
        <f>COUNTIF(DF_Calculation!E:E,Table1[[#This Row],[ACS_CODE]])</f>
        <v>1</v>
      </c>
    </row>
    <row r="1477" spans="1:11" x14ac:dyDescent="0.25">
      <c r="A1477">
        <v>37383</v>
      </c>
      <c r="B1477" t="s">
        <v>919</v>
      </c>
      <c r="C1477" t="s">
        <v>918</v>
      </c>
      <c r="D1477" t="s">
        <v>1536</v>
      </c>
      <c r="E1477">
        <v>0</v>
      </c>
      <c r="F1477">
        <v>0</v>
      </c>
      <c r="G1477">
        <v>0</v>
      </c>
      <c r="H1477">
        <v>127</v>
      </c>
      <c r="J1477">
        <v>127</v>
      </c>
      <c r="K1477">
        <f>COUNTIF(DF_Calculation!E:E,Table1[[#This Row],[ACS_CODE]])</f>
        <v>1</v>
      </c>
    </row>
    <row r="1478" spans="1:11" x14ac:dyDescent="0.25">
      <c r="A1478">
        <v>37353</v>
      </c>
      <c r="B1478" t="s">
        <v>919</v>
      </c>
      <c r="C1478" t="s">
        <v>918</v>
      </c>
      <c r="D1478" t="s">
        <v>1537</v>
      </c>
      <c r="E1478">
        <v>0</v>
      </c>
      <c r="F1478">
        <v>0</v>
      </c>
      <c r="G1478">
        <v>0</v>
      </c>
      <c r="H1478">
        <v>95</v>
      </c>
      <c r="J1478">
        <v>95</v>
      </c>
      <c r="K1478">
        <f>COUNTIF(DF_Calculation!E:E,Table1[[#This Row],[ACS_CODE]])</f>
        <v>1</v>
      </c>
    </row>
    <row r="1479" spans="1:11" x14ac:dyDescent="0.25">
      <c r="A1479">
        <v>71115</v>
      </c>
      <c r="B1479" t="s">
        <v>937</v>
      </c>
      <c r="C1479" t="s">
        <v>937</v>
      </c>
      <c r="D1479" t="s">
        <v>1538</v>
      </c>
      <c r="E1479">
        <v>0</v>
      </c>
      <c r="F1479">
        <v>0</v>
      </c>
      <c r="G1479">
        <v>0</v>
      </c>
      <c r="H1479">
        <v>0</v>
      </c>
      <c r="J1479">
        <v>0</v>
      </c>
      <c r="K1479">
        <f>COUNTIF(DF_Calculation!E:E,Table1[[#This Row],[ACS_CODE]])</f>
        <v>1</v>
      </c>
    </row>
    <row r="1480" spans="1:11" x14ac:dyDescent="0.25">
      <c r="A1480">
        <v>71251</v>
      </c>
      <c r="B1480" t="s">
        <v>937</v>
      </c>
      <c r="C1480" t="s">
        <v>937</v>
      </c>
      <c r="D1480" t="s">
        <v>1539</v>
      </c>
      <c r="E1480">
        <v>0</v>
      </c>
      <c r="F1480">
        <v>0</v>
      </c>
      <c r="G1480">
        <v>0</v>
      </c>
      <c r="H1480">
        <v>18</v>
      </c>
      <c r="J1480">
        <v>18</v>
      </c>
      <c r="K1480">
        <f>COUNTIF(DF_Calculation!E:E,Table1[[#This Row],[ACS_CODE]])</f>
        <v>1</v>
      </c>
    </row>
    <row r="1481" spans="1:11" x14ac:dyDescent="0.25">
      <c r="A1481">
        <v>71354</v>
      </c>
      <c r="B1481" t="s">
        <v>937</v>
      </c>
      <c r="C1481" t="s">
        <v>937</v>
      </c>
      <c r="D1481" t="s">
        <v>1540</v>
      </c>
      <c r="E1481">
        <v>0</v>
      </c>
      <c r="F1481">
        <v>0</v>
      </c>
      <c r="G1481">
        <v>0</v>
      </c>
      <c r="H1481">
        <v>0</v>
      </c>
      <c r="I1481">
        <v>48</v>
      </c>
      <c r="J1481">
        <v>48</v>
      </c>
      <c r="K1481">
        <f>COUNTIF(DF_Calculation!E:E,Table1[[#This Row],[ACS_CODE]])</f>
        <v>1</v>
      </c>
    </row>
    <row r="1482" spans="1:11" x14ac:dyDescent="0.25">
      <c r="A1482">
        <v>71386</v>
      </c>
      <c r="B1482" t="s">
        <v>937</v>
      </c>
      <c r="C1482" t="s">
        <v>937</v>
      </c>
      <c r="D1482" t="s">
        <v>1541</v>
      </c>
      <c r="E1482">
        <v>0</v>
      </c>
      <c r="F1482">
        <v>0</v>
      </c>
      <c r="G1482">
        <v>0</v>
      </c>
      <c r="H1482">
        <v>26</v>
      </c>
      <c r="I1482">
        <v>1</v>
      </c>
      <c r="J1482">
        <v>27</v>
      </c>
      <c r="K1482">
        <f>COUNTIF(DF_Calculation!E:E,Table1[[#This Row],[ACS_CODE]])</f>
        <v>1</v>
      </c>
    </row>
    <row r="1483" spans="1:11" x14ac:dyDescent="0.25">
      <c r="A1483">
        <v>71341</v>
      </c>
      <c r="B1483" t="s">
        <v>937</v>
      </c>
      <c r="C1483" t="s">
        <v>937</v>
      </c>
      <c r="D1483" t="s">
        <v>1542</v>
      </c>
      <c r="E1483">
        <v>0</v>
      </c>
      <c r="F1483">
        <v>0</v>
      </c>
      <c r="G1483">
        <v>0</v>
      </c>
      <c r="H1483">
        <v>10</v>
      </c>
      <c r="I1483">
        <v>25</v>
      </c>
      <c r="J1483">
        <v>35</v>
      </c>
      <c r="K1483">
        <f>COUNTIF(DF_Calculation!E:E,Table1[[#This Row],[ACS_CODE]])</f>
        <v>1</v>
      </c>
    </row>
    <row r="1484" spans="1:11" x14ac:dyDescent="0.25">
      <c r="A1484">
        <v>71357</v>
      </c>
      <c r="B1484" t="s">
        <v>937</v>
      </c>
      <c r="C1484" t="s">
        <v>937</v>
      </c>
      <c r="D1484" t="s">
        <v>1543</v>
      </c>
      <c r="E1484">
        <v>0</v>
      </c>
      <c r="F1484">
        <v>0</v>
      </c>
      <c r="G1484">
        <v>0</v>
      </c>
      <c r="H1484">
        <v>26</v>
      </c>
      <c r="I1484">
        <v>20</v>
      </c>
      <c r="J1484">
        <v>46</v>
      </c>
      <c r="K1484">
        <f>COUNTIF(DF_Calculation!E:E,Table1[[#This Row],[ACS_CODE]])</f>
        <v>1</v>
      </c>
    </row>
    <row r="1485" spans="1:11" x14ac:dyDescent="0.25">
      <c r="A1485">
        <v>71314</v>
      </c>
      <c r="B1485" t="s">
        <v>937</v>
      </c>
      <c r="C1485" t="s">
        <v>937</v>
      </c>
      <c r="D1485" t="s">
        <v>1544</v>
      </c>
      <c r="E1485">
        <v>0</v>
      </c>
      <c r="F1485">
        <v>0</v>
      </c>
      <c r="G1485">
        <v>0</v>
      </c>
      <c r="H1485">
        <v>0</v>
      </c>
      <c r="I1485">
        <v>160</v>
      </c>
      <c r="J1485">
        <v>160</v>
      </c>
      <c r="K1485">
        <f>COUNTIF(DF_Calculation!E:E,Table1[[#This Row],[ACS_CODE]])</f>
        <v>1</v>
      </c>
    </row>
    <row r="1486" spans="1:11" x14ac:dyDescent="0.25">
      <c r="A1486">
        <v>71384</v>
      </c>
      <c r="B1486" t="s">
        <v>937</v>
      </c>
      <c r="C1486" t="s">
        <v>937</v>
      </c>
      <c r="D1486" t="s">
        <v>1545</v>
      </c>
      <c r="E1486">
        <v>0</v>
      </c>
      <c r="F1486">
        <v>0</v>
      </c>
      <c r="G1486">
        <v>0</v>
      </c>
      <c r="H1486">
        <v>0</v>
      </c>
      <c r="J1486">
        <v>0</v>
      </c>
      <c r="K1486">
        <f>COUNTIF(DF_Calculation!E:E,Table1[[#This Row],[ACS_CODE]])</f>
        <v>1</v>
      </c>
    </row>
    <row r="1487" spans="1:11" x14ac:dyDescent="0.25">
      <c r="A1487">
        <v>71241</v>
      </c>
      <c r="B1487" t="s">
        <v>937</v>
      </c>
      <c r="C1487" t="s">
        <v>937</v>
      </c>
      <c r="D1487" t="s">
        <v>1546</v>
      </c>
      <c r="E1487">
        <v>0</v>
      </c>
      <c r="F1487">
        <v>0</v>
      </c>
      <c r="G1487">
        <v>0</v>
      </c>
      <c r="H1487">
        <v>26</v>
      </c>
      <c r="J1487">
        <v>26</v>
      </c>
      <c r="K1487">
        <f>COUNTIF(DF_Calculation!E:E,Table1[[#This Row],[ACS_CODE]])</f>
        <v>1</v>
      </c>
    </row>
    <row r="1488" spans="1:11" x14ac:dyDescent="0.25">
      <c r="A1488" t="s">
        <v>1548</v>
      </c>
      <c r="B1488" t="s">
        <v>937</v>
      </c>
      <c r="C1488" t="s">
        <v>1280</v>
      </c>
      <c r="D1488" t="s">
        <v>1547</v>
      </c>
      <c r="E1488">
        <v>0</v>
      </c>
      <c r="F1488">
        <v>0</v>
      </c>
      <c r="G1488">
        <v>0</v>
      </c>
      <c r="H1488">
        <v>0</v>
      </c>
      <c r="J1488">
        <v>0</v>
      </c>
      <c r="K1488">
        <f>COUNTIF(DF_Calculation!E:E,Table1[[#This Row],[ACS_CODE]])</f>
        <v>1</v>
      </c>
    </row>
    <row r="1489" spans="1:11" x14ac:dyDescent="0.25">
      <c r="A1489">
        <v>26214</v>
      </c>
      <c r="B1489" t="s">
        <v>916</v>
      </c>
      <c r="C1489" t="s">
        <v>1295</v>
      </c>
      <c r="D1489" t="s">
        <v>1549</v>
      </c>
      <c r="E1489">
        <v>0</v>
      </c>
      <c r="F1489">
        <v>0</v>
      </c>
      <c r="G1489">
        <v>0</v>
      </c>
      <c r="H1489">
        <v>70</v>
      </c>
      <c r="I1489">
        <v>9</v>
      </c>
      <c r="J1489">
        <v>79</v>
      </c>
      <c r="K1489">
        <f>COUNTIF(DF_Calculation!E:E,Table1[[#This Row],[ACS_CODE]])</f>
        <v>1</v>
      </c>
    </row>
    <row r="1490" spans="1:11" x14ac:dyDescent="0.25">
      <c r="A1490">
        <v>26374</v>
      </c>
      <c r="B1490" t="s">
        <v>916</v>
      </c>
      <c r="C1490" t="s">
        <v>1295</v>
      </c>
      <c r="D1490" t="s">
        <v>1550</v>
      </c>
      <c r="E1490">
        <v>0</v>
      </c>
      <c r="F1490">
        <v>0</v>
      </c>
      <c r="G1490">
        <v>0</v>
      </c>
      <c r="H1490">
        <v>0</v>
      </c>
      <c r="I1490">
        <v>60</v>
      </c>
      <c r="J1490">
        <v>60</v>
      </c>
      <c r="K1490">
        <f>COUNTIF(DF_Calculation!E:E,Table1[[#This Row],[ACS_CODE]])</f>
        <v>1</v>
      </c>
    </row>
    <row r="1491" spans="1:11" x14ac:dyDescent="0.25">
      <c r="A1491">
        <v>26392</v>
      </c>
      <c r="B1491" t="s">
        <v>916</v>
      </c>
      <c r="C1491" t="s">
        <v>1295</v>
      </c>
      <c r="D1491" t="s">
        <v>1551</v>
      </c>
      <c r="E1491">
        <v>0</v>
      </c>
      <c r="F1491">
        <v>0</v>
      </c>
      <c r="G1491">
        <v>0</v>
      </c>
      <c r="H1491">
        <v>84</v>
      </c>
      <c r="J1491">
        <v>84</v>
      </c>
      <c r="K1491">
        <f>COUNTIF(DF_Calculation!E:E,Table1[[#This Row],[ACS_CODE]])</f>
        <v>1</v>
      </c>
    </row>
    <row r="1492" spans="1:11" x14ac:dyDescent="0.25">
      <c r="A1492">
        <v>26259</v>
      </c>
      <c r="B1492" t="s">
        <v>916</v>
      </c>
      <c r="C1492" t="s">
        <v>1295</v>
      </c>
      <c r="D1492" t="s">
        <v>2474</v>
      </c>
      <c r="E1492">
        <v>0</v>
      </c>
      <c r="F1492">
        <v>0</v>
      </c>
      <c r="G1492">
        <v>0</v>
      </c>
      <c r="H1492">
        <v>246</v>
      </c>
      <c r="I1492">
        <v>7</v>
      </c>
      <c r="J1492">
        <v>253</v>
      </c>
      <c r="K1492">
        <f>COUNTIF(DF_Calculation!E:E,Table1[[#This Row],[ACS_CODE]])</f>
        <v>1</v>
      </c>
    </row>
    <row r="1493" spans="1:11" x14ac:dyDescent="0.25">
      <c r="A1493">
        <v>26297</v>
      </c>
      <c r="B1493" t="s">
        <v>916</v>
      </c>
      <c r="C1493" t="s">
        <v>1295</v>
      </c>
      <c r="D1493" t="s">
        <v>2475</v>
      </c>
      <c r="E1493">
        <v>0</v>
      </c>
      <c r="F1493">
        <v>0</v>
      </c>
      <c r="G1493">
        <v>0</v>
      </c>
      <c r="H1493">
        <v>99</v>
      </c>
      <c r="I1493">
        <v>22</v>
      </c>
      <c r="J1493">
        <v>121</v>
      </c>
      <c r="K1493">
        <f>COUNTIF(DF_Calculation!E:E,Table1[[#This Row],[ACS_CODE]])</f>
        <v>1</v>
      </c>
    </row>
    <row r="1494" spans="1:11" x14ac:dyDescent="0.25">
      <c r="A1494">
        <v>26237</v>
      </c>
      <c r="B1494" t="s">
        <v>916</v>
      </c>
      <c r="C1494" t="s">
        <v>1295</v>
      </c>
      <c r="D1494" t="s">
        <v>1552</v>
      </c>
      <c r="E1494">
        <v>0</v>
      </c>
      <c r="F1494">
        <v>0</v>
      </c>
      <c r="G1494">
        <v>0</v>
      </c>
      <c r="H1494">
        <v>111</v>
      </c>
      <c r="I1494">
        <v>6</v>
      </c>
      <c r="J1494">
        <v>117</v>
      </c>
      <c r="K1494">
        <f>COUNTIF(DF_Calculation!E:E,Table1[[#This Row],[ACS_CODE]])</f>
        <v>1</v>
      </c>
    </row>
    <row r="1495" spans="1:11" x14ac:dyDescent="0.25">
      <c r="A1495">
        <v>26283</v>
      </c>
      <c r="B1495" t="s">
        <v>916</v>
      </c>
      <c r="C1495" t="s">
        <v>1295</v>
      </c>
      <c r="D1495" t="s">
        <v>1553</v>
      </c>
      <c r="E1495">
        <v>0</v>
      </c>
      <c r="F1495">
        <v>0</v>
      </c>
      <c r="G1495">
        <v>0</v>
      </c>
      <c r="H1495">
        <v>41</v>
      </c>
      <c r="I1495">
        <v>13</v>
      </c>
      <c r="J1495">
        <v>54</v>
      </c>
      <c r="K1495">
        <f>COUNTIF(DF_Calculation!E:E,Table1[[#This Row],[ACS_CODE]])</f>
        <v>1</v>
      </c>
    </row>
    <row r="1496" spans="1:11" x14ac:dyDescent="0.25">
      <c r="A1496">
        <v>26354</v>
      </c>
      <c r="B1496" t="s">
        <v>916</v>
      </c>
      <c r="C1496" t="s">
        <v>1295</v>
      </c>
      <c r="D1496" t="s">
        <v>1554</v>
      </c>
      <c r="E1496">
        <v>0</v>
      </c>
      <c r="F1496">
        <v>0</v>
      </c>
      <c r="G1496">
        <v>0</v>
      </c>
      <c r="H1496">
        <v>0</v>
      </c>
      <c r="I1496">
        <v>2</v>
      </c>
      <c r="J1496">
        <v>2</v>
      </c>
      <c r="K1496">
        <f>COUNTIF(DF_Calculation!E:E,Table1[[#This Row],[ACS_CODE]])</f>
        <v>1</v>
      </c>
    </row>
    <row r="1497" spans="1:11" x14ac:dyDescent="0.25">
      <c r="A1497">
        <v>26001</v>
      </c>
      <c r="B1497" t="s">
        <v>916</v>
      </c>
      <c r="C1497" t="s">
        <v>1295</v>
      </c>
      <c r="D1497" t="s">
        <v>1490</v>
      </c>
      <c r="E1497">
        <v>0</v>
      </c>
      <c r="F1497">
        <v>0</v>
      </c>
      <c r="G1497">
        <v>0</v>
      </c>
      <c r="H1497">
        <v>0</v>
      </c>
      <c r="J1497">
        <v>0</v>
      </c>
      <c r="K1497">
        <f>COUNTIF(DF_Calculation!E:E,Table1[[#This Row],[ACS_CODE]])</f>
        <v>1</v>
      </c>
    </row>
    <row r="1498" spans="1:11" x14ac:dyDescent="0.25">
      <c r="A1498">
        <v>26002</v>
      </c>
      <c r="B1498" t="s">
        <v>916</v>
      </c>
      <c r="C1498" t="s">
        <v>1295</v>
      </c>
      <c r="D1498" t="s">
        <v>1490</v>
      </c>
      <c r="E1498">
        <v>0</v>
      </c>
      <c r="F1498">
        <v>0</v>
      </c>
      <c r="G1498">
        <v>0</v>
      </c>
      <c r="H1498">
        <v>0</v>
      </c>
      <c r="J1498">
        <v>0</v>
      </c>
      <c r="K1498">
        <f>COUNTIF(DF_Calculation!E:E,Table1[[#This Row],[ACS_CODE]])</f>
        <v>1</v>
      </c>
    </row>
    <row r="1499" spans="1:11" x14ac:dyDescent="0.25">
      <c r="A1499">
        <v>26003</v>
      </c>
      <c r="B1499" t="s">
        <v>916</v>
      </c>
      <c r="C1499" t="s">
        <v>1295</v>
      </c>
      <c r="D1499" t="s">
        <v>1490</v>
      </c>
      <c r="E1499">
        <v>0</v>
      </c>
      <c r="F1499">
        <v>0</v>
      </c>
      <c r="G1499">
        <v>0</v>
      </c>
      <c r="H1499">
        <v>0</v>
      </c>
      <c r="J1499">
        <v>0</v>
      </c>
      <c r="K1499">
        <f>COUNTIF(DF_Calculation!E:E,Table1[[#This Row],[ACS_CODE]])</f>
        <v>1</v>
      </c>
    </row>
    <row r="1500" spans="1:11" x14ac:dyDescent="0.25">
      <c r="A1500">
        <v>26004</v>
      </c>
      <c r="B1500" t="s">
        <v>916</v>
      </c>
      <c r="C1500" t="s">
        <v>1295</v>
      </c>
      <c r="D1500" t="s">
        <v>1490</v>
      </c>
      <c r="E1500">
        <v>0</v>
      </c>
      <c r="F1500">
        <v>0</v>
      </c>
      <c r="G1500">
        <v>0</v>
      </c>
      <c r="H1500">
        <v>0</v>
      </c>
      <c r="J1500">
        <v>0</v>
      </c>
      <c r="K1500">
        <f>COUNTIF(DF_Calculation!E:E,Table1[[#This Row],[ACS_CODE]])</f>
        <v>1</v>
      </c>
    </row>
    <row r="1501" spans="1:11" x14ac:dyDescent="0.25">
      <c r="A1501">
        <v>26005</v>
      </c>
      <c r="B1501" t="s">
        <v>916</v>
      </c>
      <c r="C1501" t="s">
        <v>1295</v>
      </c>
      <c r="D1501" t="s">
        <v>1490</v>
      </c>
      <c r="E1501">
        <v>0</v>
      </c>
      <c r="F1501">
        <v>0</v>
      </c>
      <c r="G1501">
        <v>0</v>
      </c>
      <c r="H1501">
        <v>0</v>
      </c>
      <c r="J1501">
        <v>0</v>
      </c>
      <c r="K1501">
        <f>COUNTIF(DF_Calculation!E:E,Table1[[#This Row],[ACS_CODE]])</f>
        <v>1</v>
      </c>
    </row>
    <row r="1502" spans="1:11" x14ac:dyDescent="0.25">
      <c r="A1502">
        <v>26006</v>
      </c>
      <c r="B1502" t="s">
        <v>916</v>
      </c>
      <c r="C1502" t="s">
        <v>1295</v>
      </c>
      <c r="D1502" t="s">
        <v>1490</v>
      </c>
      <c r="E1502">
        <v>0</v>
      </c>
      <c r="F1502">
        <v>0</v>
      </c>
      <c r="G1502">
        <v>0</v>
      </c>
      <c r="H1502">
        <v>0</v>
      </c>
      <c r="J1502">
        <v>0</v>
      </c>
      <c r="K1502">
        <f>COUNTIF(DF_Calculation!E:E,Table1[[#This Row],[ACS_CODE]])</f>
        <v>1</v>
      </c>
    </row>
    <row r="1503" spans="1:11" x14ac:dyDescent="0.25">
      <c r="A1503">
        <v>26007</v>
      </c>
      <c r="B1503" t="s">
        <v>916</v>
      </c>
      <c r="C1503" t="s">
        <v>1295</v>
      </c>
      <c r="D1503" t="s">
        <v>1490</v>
      </c>
      <c r="E1503">
        <v>0</v>
      </c>
      <c r="F1503">
        <v>0</v>
      </c>
      <c r="G1503">
        <v>0</v>
      </c>
      <c r="H1503">
        <v>0</v>
      </c>
      <c r="J1503">
        <v>0</v>
      </c>
      <c r="K1503">
        <f>COUNTIF(DF_Calculation!E:E,Table1[[#This Row],[ACS_CODE]])</f>
        <v>1</v>
      </c>
    </row>
    <row r="1504" spans="1:11" x14ac:dyDescent="0.25">
      <c r="A1504">
        <v>26009</v>
      </c>
      <c r="B1504" t="s">
        <v>916</v>
      </c>
      <c r="C1504" t="s">
        <v>1295</v>
      </c>
      <c r="D1504" t="s">
        <v>1490</v>
      </c>
      <c r="E1504">
        <v>0</v>
      </c>
      <c r="F1504">
        <v>0</v>
      </c>
      <c r="G1504">
        <v>0</v>
      </c>
      <c r="H1504">
        <v>0</v>
      </c>
      <c r="J1504">
        <v>0</v>
      </c>
      <c r="K1504">
        <f>COUNTIF(DF_Calculation!E:E,Table1[[#This Row],[ACS_CODE]])</f>
        <v>1</v>
      </c>
    </row>
    <row r="1505" spans="1:11" x14ac:dyDescent="0.25">
      <c r="A1505">
        <v>26223</v>
      </c>
      <c r="B1505" t="s">
        <v>916</v>
      </c>
      <c r="C1505" t="s">
        <v>1295</v>
      </c>
      <c r="D1505" t="s">
        <v>2476</v>
      </c>
      <c r="E1505">
        <v>0</v>
      </c>
      <c r="F1505">
        <v>0</v>
      </c>
      <c r="G1505">
        <v>0</v>
      </c>
      <c r="H1505">
        <v>13</v>
      </c>
      <c r="I1505">
        <v>3</v>
      </c>
      <c r="J1505">
        <v>16</v>
      </c>
      <c r="K1505">
        <f>COUNTIF(DF_Calculation!E:E,Table1[[#This Row],[ACS_CODE]])</f>
        <v>1</v>
      </c>
    </row>
    <row r="1506" spans="1:11" x14ac:dyDescent="0.25">
      <c r="A1506">
        <v>26324</v>
      </c>
      <c r="B1506" t="s">
        <v>916</v>
      </c>
      <c r="C1506" t="s">
        <v>1295</v>
      </c>
      <c r="D1506" t="s">
        <v>1555</v>
      </c>
      <c r="E1506">
        <v>0</v>
      </c>
      <c r="F1506">
        <v>0</v>
      </c>
      <c r="G1506">
        <v>0</v>
      </c>
      <c r="H1506">
        <v>111</v>
      </c>
      <c r="I1506">
        <v>14</v>
      </c>
      <c r="J1506">
        <v>125</v>
      </c>
      <c r="K1506">
        <f>COUNTIF(DF_Calculation!E:E,Table1[[#This Row],[ACS_CODE]])</f>
        <v>1</v>
      </c>
    </row>
    <row r="1507" spans="1:11" x14ac:dyDescent="0.25">
      <c r="A1507">
        <v>26390</v>
      </c>
      <c r="B1507" t="s">
        <v>916</v>
      </c>
      <c r="C1507" t="s">
        <v>1295</v>
      </c>
      <c r="D1507" t="s">
        <v>1556</v>
      </c>
      <c r="E1507">
        <v>0</v>
      </c>
      <c r="F1507">
        <v>0</v>
      </c>
      <c r="G1507">
        <v>0</v>
      </c>
      <c r="H1507">
        <v>0</v>
      </c>
      <c r="J1507">
        <v>0</v>
      </c>
      <c r="K1507">
        <f>COUNTIF(DF_Calculation!E:E,Table1[[#This Row],[ACS_CODE]])</f>
        <v>1</v>
      </c>
    </row>
    <row r="1508" spans="1:11" x14ac:dyDescent="0.25">
      <c r="A1508">
        <v>26388</v>
      </c>
      <c r="B1508" t="s">
        <v>916</v>
      </c>
      <c r="C1508" t="s">
        <v>1295</v>
      </c>
      <c r="D1508" t="s">
        <v>2477</v>
      </c>
      <c r="E1508">
        <v>0</v>
      </c>
      <c r="F1508">
        <v>0</v>
      </c>
      <c r="G1508">
        <v>0</v>
      </c>
      <c r="H1508">
        <v>13</v>
      </c>
      <c r="I1508">
        <v>10</v>
      </c>
      <c r="J1508">
        <v>23</v>
      </c>
      <c r="K1508">
        <f>COUNTIF(DF_Calculation!E:E,Table1[[#This Row],[ACS_CODE]])</f>
        <v>1</v>
      </c>
    </row>
    <row r="1509" spans="1:11" x14ac:dyDescent="0.25">
      <c r="A1509">
        <v>26327</v>
      </c>
      <c r="B1509" t="s">
        <v>916</v>
      </c>
      <c r="C1509" t="s">
        <v>1295</v>
      </c>
      <c r="D1509" t="s">
        <v>2478</v>
      </c>
      <c r="E1509">
        <v>0</v>
      </c>
      <c r="F1509">
        <v>0</v>
      </c>
      <c r="G1509">
        <v>0</v>
      </c>
      <c r="H1509">
        <v>91</v>
      </c>
      <c r="I1509">
        <v>2</v>
      </c>
      <c r="J1509">
        <v>93</v>
      </c>
      <c r="K1509">
        <f>COUNTIF(DF_Calculation!E:E,Table1[[#This Row],[ACS_CODE]])</f>
        <v>1</v>
      </c>
    </row>
    <row r="1510" spans="1:11" x14ac:dyDescent="0.25">
      <c r="A1510">
        <v>26274</v>
      </c>
      <c r="B1510" t="s">
        <v>916</v>
      </c>
      <c r="C1510" t="s">
        <v>1295</v>
      </c>
      <c r="D1510" t="s">
        <v>2479</v>
      </c>
      <c r="E1510">
        <v>0</v>
      </c>
      <c r="F1510">
        <v>0</v>
      </c>
      <c r="G1510">
        <v>0</v>
      </c>
      <c r="H1510">
        <v>41</v>
      </c>
      <c r="I1510">
        <v>40</v>
      </c>
      <c r="J1510">
        <v>81</v>
      </c>
      <c r="K1510">
        <f>COUNTIF(DF_Calculation!E:E,Table1[[#This Row],[ACS_CODE]])</f>
        <v>1</v>
      </c>
    </row>
    <row r="1511" spans="1:11" x14ac:dyDescent="0.25">
      <c r="A1511">
        <v>26236</v>
      </c>
      <c r="B1511" t="s">
        <v>916</v>
      </c>
      <c r="C1511" t="s">
        <v>1295</v>
      </c>
      <c r="D1511" t="s">
        <v>1557</v>
      </c>
      <c r="E1511">
        <v>0</v>
      </c>
      <c r="F1511">
        <v>0</v>
      </c>
      <c r="G1511">
        <v>0</v>
      </c>
      <c r="H1511">
        <v>99</v>
      </c>
      <c r="J1511">
        <v>99</v>
      </c>
      <c r="K1511">
        <f>COUNTIF(DF_Calculation!E:E,Table1[[#This Row],[ACS_CODE]])</f>
        <v>1</v>
      </c>
    </row>
    <row r="1512" spans="1:11" x14ac:dyDescent="0.25">
      <c r="A1512">
        <v>26273</v>
      </c>
      <c r="B1512" t="s">
        <v>916</v>
      </c>
      <c r="C1512" t="s">
        <v>1295</v>
      </c>
      <c r="D1512" t="s">
        <v>2480</v>
      </c>
      <c r="E1512">
        <v>0</v>
      </c>
      <c r="F1512">
        <v>0</v>
      </c>
      <c r="G1512">
        <v>0</v>
      </c>
      <c r="H1512">
        <v>398</v>
      </c>
      <c r="I1512">
        <v>15</v>
      </c>
      <c r="J1512">
        <v>413</v>
      </c>
      <c r="K1512">
        <f>COUNTIF(DF_Calculation!E:E,Table1[[#This Row],[ACS_CODE]])</f>
        <v>1</v>
      </c>
    </row>
    <row r="1513" spans="1:11" x14ac:dyDescent="0.25">
      <c r="A1513">
        <v>26249</v>
      </c>
      <c r="B1513" t="s">
        <v>916</v>
      </c>
      <c r="C1513" t="s">
        <v>1295</v>
      </c>
      <c r="D1513" t="s">
        <v>2481</v>
      </c>
      <c r="E1513">
        <v>0</v>
      </c>
      <c r="F1513">
        <v>0</v>
      </c>
      <c r="G1513">
        <v>0</v>
      </c>
      <c r="H1513">
        <v>266</v>
      </c>
      <c r="I1513">
        <v>10</v>
      </c>
      <c r="J1513">
        <v>276</v>
      </c>
      <c r="K1513">
        <f>COUNTIF(DF_Calculation!E:E,Table1[[#This Row],[ACS_CODE]])</f>
        <v>1</v>
      </c>
    </row>
    <row r="1514" spans="1:11" x14ac:dyDescent="0.25">
      <c r="A1514">
        <v>26314</v>
      </c>
      <c r="B1514" t="s">
        <v>916</v>
      </c>
      <c r="C1514" t="s">
        <v>1295</v>
      </c>
      <c r="D1514" t="s">
        <v>1558</v>
      </c>
      <c r="E1514">
        <v>0</v>
      </c>
      <c r="F1514">
        <v>0</v>
      </c>
      <c r="G1514">
        <v>0</v>
      </c>
      <c r="H1514">
        <v>111</v>
      </c>
      <c r="J1514">
        <v>111</v>
      </c>
      <c r="K1514">
        <f>COUNTIF(DF_Calculation!E:E,Table1[[#This Row],[ACS_CODE]])</f>
        <v>1</v>
      </c>
    </row>
    <row r="1515" spans="1:11" x14ac:dyDescent="0.25">
      <c r="A1515">
        <v>26213</v>
      </c>
      <c r="B1515" t="s">
        <v>916</v>
      </c>
      <c r="C1515" t="s">
        <v>1295</v>
      </c>
      <c r="D1515" t="s">
        <v>1559</v>
      </c>
      <c r="E1515">
        <v>0</v>
      </c>
      <c r="F1515">
        <v>0</v>
      </c>
      <c r="G1515">
        <v>0</v>
      </c>
      <c r="H1515">
        <v>0</v>
      </c>
      <c r="I1515">
        <v>70</v>
      </c>
      <c r="J1515">
        <v>70</v>
      </c>
      <c r="K1515">
        <f>COUNTIF(DF_Calculation!E:E,Table1[[#This Row],[ACS_CODE]])</f>
        <v>1</v>
      </c>
    </row>
    <row r="1516" spans="1:11" x14ac:dyDescent="0.25">
      <c r="A1516">
        <v>26351</v>
      </c>
      <c r="B1516" t="s">
        <v>916</v>
      </c>
      <c r="C1516" t="s">
        <v>1295</v>
      </c>
      <c r="D1516" t="s">
        <v>2482</v>
      </c>
      <c r="E1516">
        <v>0</v>
      </c>
      <c r="F1516">
        <v>0</v>
      </c>
      <c r="G1516">
        <v>0</v>
      </c>
      <c r="H1516">
        <v>161</v>
      </c>
      <c r="J1516">
        <v>161</v>
      </c>
      <c r="K1516">
        <f>COUNTIF(DF_Calculation!E:E,Table1[[#This Row],[ACS_CODE]])</f>
        <v>1</v>
      </c>
    </row>
    <row r="1517" spans="1:11" x14ac:dyDescent="0.25">
      <c r="A1517">
        <v>26261</v>
      </c>
      <c r="B1517" t="s">
        <v>916</v>
      </c>
      <c r="C1517" t="s">
        <v>1295</v>
      </c>
      <c r="D1517" t="s">
        <v>2483</v>
      </c>
      <c r="E1517">
        <v>0</v>
      </c>
      <c r="F1517">
        <v>0</v>
      </c>
      <c r="G1517">
        <v>0</v>
      </c>
      <c r="H1517">
        <v>111</v>
      </c>
      <c r="J1517">
        <v>111</v>
      </c>
      <c r="K1517">
        <f>COUNTIF(DF_Calculation!E:E,Table1[[#This Row],[ACS_CODE]])</f>
        <v>1</v>
      </c>
    </row>
    <row r="1518" spans="1:11" x14ac:dyDescent="0.25">
      <c r="A1518">
        <v>26377</v>
      </c>
      <c r="B1518" t="s">
        <v>916</v>
      </c>
      <c r="C1518" t="s">
        <v>1295</v>
      </c>
      <c r="D1518" t="s">
        <v>2484</v>
      </c>
      <c r="E1518">
        <v>0</v>
      </c>
      <c r="F1518">
        <v>0</v>
      </c>
      <c r="G1518">
        <v>0</v>
      </c>
      <c r="H1518">
        <v>91</v>
      </c>
      <c r="I1518">
        <v>27</v>
      </c>
      <c r="J1518">
        <v>118</v>
      </c>
      <c r="K1518">
        <f>COUNTIF(DF_Calculation!E:E,Table1[[#This Row],[ACS_CODE]])</f>
        <v>1</v>
      </c>
    </row>
    <row r="1519" spans="1:11" x14ac:dyDescent="0.25">
      <c r="A1519">
        <v>26263</v>
      </c>
      <c r="B1519" t="s">
        <v>916</v>
      </c>
      <c r="C1519" t="s">
        <v>1295</v>
      </c>
      <c r="D1519" t="s">
        <v>2485</v>
      </c>
      <c r="E1519">
        <v>0</v>
      </c>
      <c r="F1519">
        <v>0</v>
      </c>
      <c r="G1519">
        <v>0</v>
      </c>
      <c r="H1519">
        <v>133</v>
      </c>
      <c r="J1519">
        <v>133</v>
      </c>
      <c r="K1519">
        <f>COUNTIF(DF_Calculation!E:E,Table1[[#This Row],[ACS_CODE]])</f>
        <v>1</v>
      </c>
    </row>
    <row r="1520" spans="1:11" x14ac:dyDescent="0.25">
      <c r="A1520">
        <v>26254</v>
      </c>
      <c r="B1520" t="s">
        <v>916</v>
      </c>
      <c r="C1520" t="s">
        <v>1295</v>
      </c>
      <c r="D1520" t="s">
        <v>1560</v>
      </c>
      <c r="E1520">
        <v>0</v>
      </c>
      <c r="F1520">
        <v>0</v>
      </c>
      <c r="G1520">
        <v>0</v>
      </c>
      <c r="H1520">
        <v>0</v>
      </c>
      <c r="J1520">
        <v>0</v>
      </c>
      <c r="K1520">
        <f>COUNTIF(DF_Calculation!E:E,Table1[[#This Row],[ACS_CODE]])</f>
        <v>1</v>
      </c>
    </row>
    <row r="1521" spans="1:11" x14ac:dyDescent="0.25">
      <c r="A1521">
        <v>26220</v>
      </c>
      <c r="B1521" t="s">
        <v>916</v>
      </c>
      <c r="C1521" t="s">
        <v>1295</v>
      </c>
      <c r="D1521" t="s">
        <v>2486</v>
      </c>
      <c r="E1521">
        <v>0</v>
      </c>
      <c r="F1521">
        <v>0</v>
      </c>
      <c r="G1521">
        <v>0</v>
      </c>
      <c r="H1521">
        <v>50</v>
      </c>
      <c r="I1521">
        <v>16</v>
      </c>
      <c r="J1521">
        <v>66</v>
      </c>
      <c r="K1521">
        <f>COUNTIF(DF_Calculation!E:E,Table1[[#This Row],[ACS_CODE]])</f>
        <v>1</v>
      </c>
    </row>
    <row r="1522" spans="1:11" x14ac:dyDescent="0.25">
      <c r="A1522">
        <v>26344</v>
      </c>
      <c r="B1522" t="s">
        <v>916</v>
      </c>
      <c r="C1522" t="s">
        <v>1295</v>
      </c>
      <c r="D1522" t="s">
        <v>1561</v>
      </c>
      <c r="E1522">
        <v>0</v>
      </c>
      <c r="F1522">
        <v>0</v>
      </c>
      <c r="G1522">
        <v>0</v>
      </c>
      <c r="H1522">
        <v>0</v>
      </c>
      <c r="I1522">
        <v>10</v>
      </c>
      <c r="J1522">
        <v>10</v>
      </c>
      <c r="K1522">
        <f>COUNTIF(DF_Calculation!E:E,Table1[[#This Row],[ACS_CODE]])</f>
        <v>1</v>
      </c>
    </row>
    <row r="1523" spans="1:11" x14ac:dyDescent="0.25">
      <c r="A1523">
        <v>63174</v>
      </c>
      <c r="B1523" t="s">
        <v>1270</v>
      </c>
      <c r="C1523" t="s">
        <v>1332</v>
      </c>
      <c r="D1523" t="s">
        <v>1562</v>
      </c>
      <c r="E1523">
        <v>0</v>
      </c>
      <c r="F1523">
        <v>0</v>
      </c>
      <c r="G1523">
        <v>0</v>
      </c>
      <c r="H1523">
        <v>21</v>
      </c>
      <c r="J1523">
        <v>21</v>
      </c>
      <c r="K1523">
        <f>COUNTIF(DF_Calculation!E:E,Table1[[#This Row],[ACS_CODE]])</f>
        <v>1</v>
      </c>
    </row>
    <row r="1524" spans="1:11" x14ac:dyDescent="0.25">
      <c r="A1524">
        <v>63385</v>
      </c>
      <c r="B1524" t="s">
        <v>1270</v>
      </c>
      <c r="C1524" t="s">
        <v>1332</v>
      </c>
      <c r="D1524" t="s">
        <v>2487</v>
      </c>
      <c r="E1524">
        <v>0</v>
      </c>
      <c r="F1524">
        <v>0</v>
      </c>
      <c r="G1524">
        <v>0</v>
      </c>
      <c r="H1524">
        <v>103</v>
      </c>
      <c r="J1524">
        <v>103</v>
      </c>
      <c r="K1524">
        <f>COUNTIF(DF_Calculation!E:E,Table1[[#This Row],[ACS_CODE]])</f>
        <v>1</v>
      </c>
    </row>
    <row r="1525" spans="1:11" x14ac:dyDescent="0.25">
      <c r="A1525">
        <v>63347</v>
      </c>
      <c r="B1525" t="s">
        <v>1270</v>
      </c>
      <c r="C1525" t="s">
        <v>1332</v>
      </c>
      <c r="D1525" t="s">
        <v>1563</v>
      </c>
      <c r="E1525">
        <v>0</v>
      </c>
      <c r="F1525">
        <v>0</v>
      </c>
      <c r="G1525">
        <v>0</v>
      </c>
      <c r="H1525">
        <v>0</v>
      </c>
      <c r="J1525">
        <v>0</v>
      </c>
      <c r="K1525">
        <f>COUNTIF(DF_Calculation!E:E,Table1[[#This Row],[ACS_CODE]])</f>
        <v>1</v>
      </c>
    </row>
    <row r="1526" spans="1:11" x14ac:dyDescent="0.25">
      <c r="A1526">
        <v>63001</v>
      </c>
      <c r="B1526" t="s">
        <v>1270</v>
      </c>
      <c r="C1526" t="s">
        <v>1332</v>
      </c>
      <c r="D1526" t="s">
        <v>1490</v>
      </c>
      <c r="E1526">
        <v>0</v>
      </c>
      <c r="F1526">
        <v>0</v>
      </c>
      <c r="G1526">
        <v>0</v>
      </c>
      <c r="H1526">
        <v>0</v>
      </c>
      <c r="J1526">
        <v>0</v>
      </c>
      <c r="K1526">
        <f>COUNTIF(DF_Calculation!E:E,Table1[[#This Row],[ACS_CODE]])</f>
        <v>1</v>
      </c>
    </row>
    <row r="1527" spans="1:11" x14ac:dyDescent="0.25">
      <c r="A1527">
        <v>63002</v>
      </c>
      <c r="B1527" t="s">
        <v>1270</v>
      </c>
      <c r="C1527" t="s">
        <v>1332</v>
      </c>
      <c r="D1527" t="s">
        <v>1490</v>
      </c>
      <c r="E1527">
        <v>0</v>
      </c>
      <c r="F1527">
        <v>0</v>
      </c>
      <c r="G1527">
        <v>0</v>
      </c>
      <c r="H1527">
        <v>0</v>
      </c>
      <c r="J1527">
        <v>0</v>
      </c>
      <c r="K1527">
        <f>COUNTIF(DF_Calculation!E:E,Table1[[#This Row],[ACS_CODE]])</f>
        <v>1</v>
      </c>
    </row>
    <row r="1528" spans="1:11" x14ac:dyDescent="0.25">
      <c r="A1528">
        <v>63003</v>
      </c>
      <c r="B1528" t="s">
        <v>1270</v>
      </c>
      <c r="C1528" t="s">
        <v>1332</v>
      </c>
      <c r="D1528" t="s">
        <v>1490</v>
      </c>
      <c r="E1528">
        <v>0</v>
      </c>
      <c r="F1528">
        <v>0</v>
      </c>
      <c r="G1528">
        <v>0</v>
      </c>
      <c r="H1528">
        <v>0</v>
      </c>
      <c r="J1528">
        <v>0</v>
      </c>
      <c r="K1528">
        <f>COUNTIF(DF_Calculation!E:E,Table1[[#This Row],[ACS_CODE]])</f>
        <v>1</v>
      </c>
    </row>
    <row r="1529" spans="1:11" x14ac:dyDescent="0.25">
      <c r="A1529">
        <v>63257</v>
      </c>
      <c r="B1529" t="s">
        <v>1270</v>
      </c>
      <c r="C1529" t="s">
        <v>1332</v>
      </c>
      <c r="D1529" t="s">
        <v>1564</v>
      </c>
      <c r="E1529">
        <v>0</v>
      </c>
      <c r="F1529">
        <v>0</v>
      </c>
      <c r="G1529">
        <v>0</v>
      </c>
      <c r="H1529">
        <v>16</v>
      </c>
      <c r="J1529">
        <v>16</v>
      </c>
      <c r="K1529">
        <f>COUNTIF(DF_Calculation!E:E,Table1[[#This Row],[ACS_CODE]])</f>
        <v>1</v>
      </c>
    </row>
    <row r="1530" spans="1:11" x14ac:dyDescent="0.25">
      <c r="A1530">
        <v>63284</v>
      </c>
      <c r="B1530" t="s">
        <v>1270</v>
      </c>
      <c r="C1530" t="s">
        <v>1332</v>
      </c>
      <c r="D1530" t="s">
        <v>2488</v>
      </c>
      <c r="E1530">
        <v>0</v>
      </c>
      <c r="F1530">
        <v>0</v>
      </c>
      <c r="G1530">
        <v>0</v>
      </c>
      <c r="H1530">
        <v>21</v>
      </c>
      <c r="J1530">
        <v>21</v>
      </c>
      <c r="K1530">
        <f>COUNTIF(DF_Calculation!E:E,Table1[[#This Row],[ACS_CODE]])</f>
        <v>1</v>
      </c>
    </row>
    <row r="1531" spans="1:11" x14ac:dyDescent="0.25">
      <c r="A1531">
        <v>63379</v>
      </c>
      <c r="B1531" t="s">
        <v>1270</v>
      </c>
      <c r="C1531" t="s">
        <v>1332</v>
      </c>
      <c r="D1531" t="s">
        <v>1565</v>
      </c>
      <c r="E1531">
        <v>0</v>
      </c>
      <c r="F1531">
        <v>0</v>
      </c>
      <c r="G1531">
        <v>0</v>
      </c>
      <c r="H1531">
        <v>27</v>
      </c>
      <c r="J1531">
        <v>27</v>
      </c>
      <c r="K1531">
        <f>COUNTIF(DF_Calculation!E:E,Table1[[#This Row],[ACS_CODE]])</f>
        <v>1</v>
      </c>
    </row>
    <row r="1532" spans="1:11" x14ac:dyDescent="0.25">
      <c r="A1532">
        <v>63241</v>
      </c>
      <c r="B1532" t="s">
        <v>1270</v>
      </c>
      <c r="C1532" t="s">
        <v>1332</v>
      </c>
      <c r="D1532" t="s">
        <v>2489</v>
      </c>
      <c r="E1532">
        <v>0</v>
      </c>
      <c r="F1532">
        <v>0</v>
      </c>
      <c r="G1532">
        <v>0</v>
      </c>
      <c r="H1532">
        <v>286</v>
      </c>
      <c r="I1532">
        <v>4</v>
      </c>
      <c r="J1532">
        <v>290</v>
      </c>
      <c r="K1532">
        <f>COUNTIF(DF_Calculation!E:E,Table1[[#This Row],[ACS_CODE]])</f>
        <v>1</v>
      </c>
    </row>
    <row r="1533" spans="1:11" x14ac:dyDescent="0.25">
      <c r="A1533">
        <v>63137</v>
      </c>
      <c r="B1533" t="s">
        <v>1270</v>
      </c>
      <c r="C1533" t="s">
        <v>1332</v>
      </c>
      <c r="D1533" t="s">
        <v>2490</v>
      </c>
      <c r="E1533">
        <v>0</v>
      </c>
      <c r="F1533">
        <v>0</v>
      </c>
      <c r="G1533">
        <v>0</v>
      </c>
      <c r="H1533">
        <v>156</v>
      </c>
      <c r="I1533">
        <v>5</v>
      </c>
      <c r="J1533">
        <v>161</v>
      </c>
      <c r="K1533">
        <f>COUNTIF(DF_Calculation!E:E,Table1[[#This Row],[ACS_CODE]])</f>
        <v>1</v>
      </c>
    </row>
    <row r="1534" spans="1:11" x14ac:dyDescent="0.25">
      <c r="A1534">
        <v>63281</v>
      </c>
      <c r="B1534" t="s">
        <v>1270</v>
      </c>
      <c r="C1534" t="s">
        <v>1332</v>
      </c>
      <c r="D1534" t="s">
        <v>1566</v>
      </c>
      <c r="E1534">
        <v>0</v>
      </c>
      <c r="F1534">
        <v>0</v>
      </c>
      <c r="G1534">
        <v>0</v>
      </c>
      <c r="H1534">
        <v>232</v>
      </c>
      <c r="J1534">
        <v>232</v>
      </c>
      <c r="K1534">
        <f>COUNTIF(DF_Calculation!E:E,Table1[[#This Row],[ACS_CODE]])</f>
        <v>1</v>
      </c>
    </row>
    <row r="1535" spans="1:11" x14ac:dyDescent="0.25">
      <c r="A1535">
        <v>63164</v>
      </c>
      <c r="B1535" t="s">
        <v>1270</v>
      </c>
      <c r="C1535" t="s">
        <v>1332</v>
      </c>
      <c r="D1535" t="s">
        <v>1567</v>
      </c>
      <c r="E1535">
        <v>0</v>
      </c>
      <c r="F1535">
        <v>0</v>
      </c>
      <c r="G1535">
        <v>0</v>
      </c>
      <c r="H1535">
        <v>4</v>
      </c>
      <c r="J1535">
        <v>4</v>
      </c>
      <c r="K1535">
        <f>COUNTIF(DF_Calculation!E:E,Table1[[#This Row],[ACS_CODE]])</f>
        <v>1</v>
      </c>
    </row>
    <row r="1536" spans="1:11" x14ac:dyDescent="0.25">
      <c r="A1536">
        <v>63157</v>
      </c>
      <c r="B1536" t="s">
        <v>1270</v>
      </c>
      <c r="C1536" t="s">
        <v>1332</v>
      </c>
      <c r="D1536" t="s">
        <v>2491</v>
      </c>
      <c r="E1536">
        <v>0</v>
      </c>
      <c r="F1536">
        <v>0</v>
      </c>
      <c r="G1536">
        <v>0</v>
      </c>
      <c r="H1536">
        <v>163</v>
      </c>
      <c r="I1536">
        <v>3</v>
      </c>
      <c r="J1536">
        <v>166</v>
      </c>
      <c r="K1536">
        <f>COUNTIF(DF_Calculation!E:E,Table1[[#This Row],[ACS_CODE]])</f>
        <v>1</v>
      </c>
    </row>
    <row r="1537" spans="1:11" x14ac:dyDescent="0.25">
      <c r="A1537">
        <v>63371</v>
      </c>
      <c r="B1537" t="s">
        <v>1270</v>
      </c>
      <c r="C1537" t="s">
        <v>1332</v>
      </c>
      <c r="D1537" t="s">
        <v>1568</v>
      </c>
      <c r="E1537">
        <v>0</v>
      </c>
      <c r="F1537">
        <v>0</v>
      </c>
      <c r="G1537">
        <v>0</v>
      </c>
      <c r="H1537">
        <v>16</v>
      </c>
      <c r="J1537">
        <v>16</v>
      </c>
      <c r="K1537">
        <f>COUNTIF(DF_Calculation!E:E,Table1[[#This Row],[ACS_CODE]])</f>
        <v>1</v>
      </c>
    </row>
    <row r="1538" spans="1:11" x14ac:dyDescent="0.25">
      <c r="A1538">
        <v>63323</v>
      </c>
      <c r="B1538" t="s">
        <v>1270</v>
      </c>
      <c r="C1538" t="s">
        <v>1332</v>
      </c>
      <c r="D1538" t="s">
        <v>1569</v>
      </c>
      <c r="E1538">
        <v>0</v>
      </c>
      <c r="F1538">
        <v>0</v>
      </c>
      <c r="G1538">
        <v>0</v>
      </c>
      <c r="H1538">
        <v>1</v>
      </c>
      <c r="J1538">
        <v>1</v>
      </c>
      <c r="K1538">
        <f>COUNTIF(DF_Calculation!E:E,Table1[[#This Row],[ACS_CODE]])</f>
        <v>1</v>
      </c>
    </row>
    <row r="1539" spans="1:11" x14ac:dyDescent="0.25">
      <c r="A1539">
        <v>63367</v>
      </c>
      <c r="B1539" t="s">
        <v>1270</v>
      </c>
      <c r="C1539" t="s">
        <v>1332</v>
      </c>
      <c r="D1539" t="s">
        <v>1570</v>
      </c>
      <c r="E1539">
        <v>0</v>
      </c>
      <c r="F1539">
        <v>0</v>
      </c>
      <c r="G1539">
        <v>0</v>
      </c>
      <c r="H1539">
        <v>0</v>
      </c>
      <c r="J1539">
        <v>0</v>
      </c>
      <c r="K1539">
        <f>COUNTIF(DF_Calculation!E:E,Table1[[#This Row],[ACS_CODE]])</f>
        <v>1</v>
      </c>
    </row>
    <row r="1540" spans="1:11" x14ac:dyDescent="0.25">
      <c r="A1540">
        <v>63297</v>
      </c>
      <c r="B1540" t="s">
        <v>1270</v>
      </c>
      <c r="C1540" t="s">
        <v>1332</v>
      </c>
      <c r="D1540" t="s">
        <v>2492</v>
      </c>
      <c r="E1540">
        <v>0</v>
      </c>
      <c r="F1540">
        <v>0</v>
      </c>
      <c r="G1540">
        <v>0</v>
      </c>
      <c r="H1540">
        <v>323</v>
      </c>
      <c r="I1540">
        <v>4</v>
      </c>
      <c r="J1540">
        <v>327</v>
      </c>
      <c r="K1540">
        <f>COUNTIF(DF_Calculation!E:E,Table1[[#This Row],[ACS_CODE]])</f>
        <v>1</v>
      </c>
    </row>
    <row r="1541" spans="1:11" x14ac:dyDescent="0.25">
      <c r="A1541">
        <v>63194</v>
      </c>
      <c r="B1541" t="s">
        <v>1270</v>
      </c>
      <c r="C1541" t="s">
        <v>1332</v>
      </c>
      <c r="D1541" t="s">
        <v>1571</v>
      </c>
      <c r="E1541">
        <v>0</v>
      </c>
      <c r="F1541">
        <v>0</v>
      </c>
      <c r="G1541">
        <v>0</v>
      </c>
      <c r="H1541">
        <v>0</v>
      </c>
      <c r="I1541">
        <v>10</v>
      </c>
      <c r="J1541">
        <v>10</v>
      </c>
      <c r="K1541">
        <f>COUNTIF(DF_Calculation!E:E,Table1[[#This Row],[ACS_CODE]])</f>
        <v>1</v>
      </c>
    </row>
    <row r="1542" spans="1:11" x14ac:dyDescent="0.25">
      <c r="A1542">
        <v>63348</v>
      </c>
      <c r="B1542" t="s">
        <v>1270</v>
      </c>
      <c r="C1542" t="s">
        <v>1332</v>
      </c>
      <c r="D1542" t="s">
        <v>1572</v>
      </c>
      <c r="E1542">
        <v>0</v>
      </c>
      <c r="F1542">
        <v>0</v>
      </c>
      <c r="G1542">
        <v>0</v>
      </c>
      <c r="H1542">
        <v>0</v>
      </c>
      <c r="J1542">
        <v>0</v>
      </c>
      <c r="K1542">
        <f>COUNTIF(DF_Calculation!E:E,Table1[[#This Row],[ACS_CODE]])</f>
        <v>1</v>
      </c>
    </row>
    <row r="1543" spans="1:11" x14ac:dyDescent="0.25">
      <c r="A1543">
        <v>63339</v>
      </c>
      <c r="B1543" t="s">
        <v>1270</v>
      </c>
      <c r="C1543" t="s">
        <v>1332</v>
      </c>
      <c r="D1543" t="s">
        <v>1573</v>
      </c>
      <c r="E1543">
        <v>0</v>
      </c>
      <c r="F1543">
        <v>0</v>
      </c>
      <c r="G1543">
        <v>0</v>
      </c>
      <c r="H1543">
        <v>0</v>
      </c>
      <c r="J1543">
        <v>0</v>
      </c>
      <c r="K1543">
        <f>COUNTIF(DF_Calculation!E:E,Table1[[#This Row],[ACS_CODE]])</f>
        <v>1</v>
      </c>
    </row>
    <row r="1544" spans="1:11" x14ac:dyDescent="0.25">
      <c r="A1544">
        <v>63383</v>
      </c>
      <c r="B1544" t="s">
        <v>1270</v>
      </c>
      <c r="C1544" t="s">
        <v>1332</v>
      </c>
      <c r="D1544" t="s">
        <v>1574</v>
      </c>
      <c r="E1544">
        <v>0</v>
      </c>
      <c r="F1544">
        <v>0</v>
      </c>
      <c r="G1544">
        <v>0</v>
      </c>
      <c r="H1544">
        <v>0</v>
      </c>
      <c r="J1544">
        <v>0</v>
      </c>
      <c r="K1544">
        <f>COUNTIF(DF_Calculation!E:E,Table1[[#This Row],[ACS_CODE]])</f>
        <v>1</v>
      </c>
    </row>
    <row r="1545" spans="1:11" x14ac:dyDescent="0.25">
      <c r="A1545">
        <v>63343</v>
      </c>
      <c r="B1545" t="s">
        <v>1270</v>
      </c>
      <c r="C1545" t="s">
        <v>1332</v>
      </c>
      <c r="D1545" t="s">
        <v>1575</v>
      </c>
      <c r="E1545">
        <v>0</v>
      </c>
      <c r="F1545">
        <v>0</v>
      </c>
      <c r="G1545">
        <v>0</v>
      </c>
      <c r="H1545">
        <v>0</v>
      </c>
      <c r="J1545">
        <v>0</v>
      </c>
      <c r="K1545">
        <f>COUNTIF(DF_Calculation!E:E,Table1[[#This Row],[ACS_CODE]])</f>
        <v>1</v>
      </c>
    </row>
    <row r="1546" spans="1:11" x14ac:dyDescent="0.25">
      <c r="A1546">
        <v>63363</v>
      </c>
      <c r="B1546" t="s">
        <v>1270</v>
      </c>
      <c r="C1546" t="s">
        <v>1332</v>
      </c>
      <c r="D1546" t="s">
        <v>1576</v>
      </c>
      <c r="E1546">
        <v>0</v>
      </c>
      <c r="F1546">
        <v>0</v>
      </c>
      <c r="G1546">
        <v>0</v>
      </c>
      <c r="H1546">
        <v>1</v>
      </c>
      <c r="J1546">
        <v>1</v>
      </c>
      <c r="K1546">
        <f>COUNTIF(DF_Calculation!E:E,Table1[[#This Row],[ACS_CODE]])</f>
        <v>1</v>
      </c>
    </row>
    <row r="1547" spans="1:11" x14ac:dyDescent="0.25">
      <c r="A1547">
        <v>63117</v>
      </c>
      <c r="B1547" t="s">
        <v>1270</v>
      </c>
      <c r="C1547" t="s">
        <v>1332</v>
      </c>
      <c r="D1547" t="s">
        <v>1577</v>
      </c>
      <c r="E1547">
        <v>0</v>
      </c>
      <c r="F1547">
        <v>0</v>
      </c>
      <c r="G1547">
        <v>0</v>
      </c>
      <c r="H1547">
        <v>4</v>
      </c>
      <c r="J1547">
        <v>4</v>
      </c>
      <c r="K1547">
        <f>COUNTIF(DF_Calculation!E:E,Table1[[#This Row],[ACS_CODE]])</f>
        <v>1</v>
      </c>
    </row>
    <row r="1548" spans="1:11" x14ac:dyDescent="0.25">
      <c r="A1548">
        <v>63291</v>
      </c>
      <c r="B1548" t="s">
        <v>1270</v>
      </c>
      <c r="C1548" t="s">
        <v>1332</v>
      </c>
      <c r="D1548" t="s">
        <v>2493</v>
      </c>
      <c r="E1548">
        <v>0</v>
      </c>
      <c r="F1548">
        <v>0</v>
      </c>
      <c r="G1548">
        <v>0</v>
      </c>
      <c r="H1548">
        <v>65</v>
      </c>
      <c r="J1548">
        <v>65</v>
      </c>
      <c r="K1548">
        <f>COUNTIF(DF_Calculation!E:E,Table1[[#This Row],[ACS_CODE]])</f>
        <v>1</v>
      </c>
    </row>
    <row r="1549" spans="1:11" x14ac:dyDescent="0.25">
      <c r="A1549">
        <v>63154</v>
      </c>
      <c r="B1549" t="s">
        <v>1270</v>
      </c>
      <c r="C1549" t="s">
        <v>1332</v>
      </c>
      <c r="D1549" t="s">
        <v>1578</v>
      </c>
      <c r="E1549">
        <v>0</v>
      </c>
      <c r="F1549">
        <v>0</v>
      </c>
      <c r="G1549">
        <v>0</v>
      </c>
      <c r="H1549">
        <v>4</v>
      </c>
      <c r="J1549">
        <v>4</v>
      </c>
      <c r="K1549">
        <f>COUNTIF(DF_Calculation!E:E,Table1[[#This Row],[ACS_CODE]])</f>
        <v>1</v>
      </c>
    </row>
    <row r="1550" spans="1:11" x14ac:dyDescent="0.25">
      <c r="A1550">
        <v>63271</v>
      </c>
      <c r="B1550" t="s">
        <v>1270</v>
      </c>
      <c r="C1550" t="s">
        <v>1332</v>
      </c>
      <c r="D1550" t="s">
        <v>2494</v>
      </c>
      <c r="E1550">
        <v>0</v>
      </c>
      <c r="F1550">
        <v>0</v>
      </c>
      <c r="G1550">
        <v>0</v>
      </c>
      <c r="H1550">
        <v>395</v>
      </c>
      <c r="J1550">
        <v>395</v>
      </c>
      <c r="K1550">
        <f>COUNTIF(DF_Calculation!E:E,Table1[[#This Row],[ACS_CODE]])</f>
        <v>1</v>
      </c>
    </row>
    <row r="1551" spans="1:11" x14ac:dyDescent="0.25">
      <c r="A1551">
        <v>63298</v>
      </c>
      <c r="B1551" t="s">
        <v>1270</v>
      </c>
      <c r="C1551" t="s">
        <v>1332</v>
      </c>
      <c r="D1551" t="s">
        <v>2495</v>
      </c>
      <c r="E1551">
        <v>0</v>
      </c>
      <c r="F1551">
        <v>0</v>
      </c>
      <c r="G1551">
        <v>0</v>
      </c>
      <c r="H1551">
        <v>0</v>
      </c>
      <c r="J1551">
        <v>0</v>
      </c>
      <c r="K1551">
        <f>COUNTIF(DF_Calculation!E:E,Table1[[#This Row],[ACS_CODE]])</f>
        <v>1</v>
      </c>
    </row>
    <row r="1552" spans="1:11" x14ac:dyDescent="0.25">
      <c r="A1552">
        <v>63187</v>
      </c>
      <c r="B1552" t="s">
        <v>1270</v>
      </c>
      <c r="C1552" t="s">
        <v>1332</v>
      </c>
      <c r="D1552" t="s">
        <v>2496</v>
      </c>
      <c r="E1552">
        <v>0</v>
      </c>
      <c r="F1552">
        <v>0</v>
      </c>
      <c r="G1552">
        <v>0</v>
      </c>
      <c r="H1552">
        <v>65</v>
      </c>
      <c r="I1552">
        <v>2</v>
      </c>
      <c r="J1552">
        <v>67</v>
      </c>
      <c r="K1552">
        <f>COUNTIF(DF_Calculation!E:E,Table1[[#This Row],[ACS_CODE]])</f>
        <v>1</v>
      </c>
    </row>
    <row r="1553" spans="1:11" x14ac:dyDescent="0.25">
      <c r="A1553">
        <v>25479</v>
      </c>
      <c r="B1553" t="s">
        <v>916</v>
      </c>
      <c r="C1553" t="s">
        <v>1307</v>
      </c>
      <c r="D1553" t="s">
        <v>2497</v>
      </c>
      <c r="E1553">
        <v>0</v>
      </c>
      <c r="F1553">
        <v>0</v>
      </c>
      <c r="G1553">
        <v>0</v>
      </c>
      <c r="H1553">
        <v>241</v>
      </c>
      <c r="I1553">
        <v>1</v>
      </c>
      <c r="J1553">
        <v>242</v>
      </c>
      <c r="K1553">
        <f>COUNTIF(DF_Calculation!E:E,Table1[[#This Row],[ACS_CODE]])</f>
        <v>1</v>
      </c>
    </row>
    <row r="1554" spans="1:11" x14ac:dyDescent="0.25">
      <c r="A1554">
        <v>25001</v>
      </c>
      <c r="B1554" t="s">
        <v>916</v>
      </c>
      <c r="C1554" t="s">
        <v>1307</v>
      </c>
      <c r="D1554" t="s">
        <v>1490</v>
      </c>
      <c r="E1554">
        <v>0</v>
      </c>
      <c r="F1554">
        <v>0</v>
      </c>
      <c r="G1554">
        <v>0</v>
      </c>
      <c r="H1554">
        <v>0</v>
      </c>
      <c r="J1554">
        <v>0</v>
      </c>
      <c r="K1554">
        <f>COUNTIF(DF_Calculation!E:E,Table1[[#This Row],[ACS_CODE]])</f>
        <v>1</v>
      </c>
    </row>
    <row r="1555" spans="1:11" x14ac:dyDescent="0.25">
      <c r="A1555">
        <v>25002</v>
      </c>
      <c r="B1555" t="s">
        <v>916</v>
      </c>
      <c r="C1555" t="s">
        <v>1307</v>
      </c>
      <c r="D1555" t="s">
        <v>1490</v>
      </c>
      <c r="E1555">
        <v>0</v>
      </c>
      <c r="F1555">
        <v>0</v>
      </c>
      <c r="G1555">
        <v>0</v>
      </c>
      <c r="H1555">
        <v>0</v>
      </c>
      <c r="J1555">
        <v>0</v>
      </c>
      <c r="K1555">
        <f>COUNTIF(DF_Calculation!E:E,Table1[[#This Row],[ACS_CODE]])</f>
        <v>1</v>
      </c>
    </row>
    <row r="1556" spans="1:11" x14ac:dyDescent="0.25">
      <c r="A1556">
        <v>25003</v>
      </c>
      <c r="B1556" t="s">
        <v>916</v>
      </c>
      <c r="C1556" t="s">
        <v>1307</v>
      </c>
      <c r="D1556" t="s">
        <v>1490</v>
      </c>
      <c r="E1556">
        <v>0</v>
      </c>
      <c r="F1556">
        <v>0</v>
      </c>
      <c r="G1556">
        <v>0</v>
      </c>
      <c r="H1556">
        <v>0</v>
      </c>
      <c r="J1556">
        <v>0</v>
      </c>
      <c r="K1556">
        <f>COUNTIF(DF_Calculation!E:E,Table1[[#This Row],[ACS_CODE]])</f>
        <v>1</v>
      </c>
    </row>
    <row r="1557" spans="1:11" x14ac:dyDescent="0.25">
      <c r="A1557">
        <v>26008</v>
      </c>
      <c r="B1557" t="s">
        <v>916</v>
      </c>
      <c r="C1557" t="s">
        <v>1307</v>
      </c>
      <c r="D1557" t="s">
        <v>1490</v>
      </c>
      <c r="E1557">
        <v>0</v>
      </c>
      <c r="F1557">
        <v>0</v>
      </c>
      <c r="G1557">
        <v>0</v>
      </c>
      <c r="H1557">
        <v>0</v>
      </c>
      <c r="J1557">
        <v>0</v>
      </c>
      <c r="K1557">
        <f>COUNTIF(DF_Calculation!E:E,Table1[[#This Row],[ACS_CODE]])</f>
        <v>1</v>
      </c>
    </row>
    <row r="1558" spans="1:11" x14ac:dyDescent="0.25">
      <c r="A1558">
        <v>25335</v>
      </c>
      <c r="B1558" t="s">
        <v>916</v>
      </c>
      <c r="C1558" t="s">
        <v>1307</v>
      </c>
      <c r="D1558" t="s">
        <v>1579</v>
      </c>
      <c r="E1558">
        <v>0</v>
      </c>
      <c r="F1558">
        <v>0</v>
      </c>
      <c r="G1558">
        <v>0</v>
      </c>
      <c r="H1558">
        <v>0</v>
      </c>
      <c r="J1558">
        <v>0</v>
      </c>
      <c r="K1558">
        <f>COUNTIF(DF_Calculation!E:E,Table1[[#This Row],[ACS_CODE]])</f>
        <v>1</v>
      </c>
    </row>
    <row r="1559" spans="1:11" x14ac:dyDescent="0.25">
      <c r="A1559">
        <v>25391</v>
      </c>
      <c r="B1559" t="s">
        <v>916</v>
      </c>
      <c r="C1559" t="s">
        <v>1307</v>
      </c>
      <c r="D1559" t="s">
        <v>2498</v>
      </c>
      <c r="E1559">
        <v>0</v>
      </c>
      <c r="F1559">
        <v>0</v>
      </c>
      <c r="G1559">
        <v>0</v>
      </c>
      <c r="H1559">
        <v>71</v>
      </c>
      <c r="J1559">
        <v>71</v>
      </c>
      <c r="K1559">
        <f>COUNTIF(DF_Calculation!E:E,Table1[[#This Row],[ACS_CODE]])</f>
        <v>1</v>
      </c>
    </row>
    <row r="1560" spans="1:11" x14ac:dyDescent="0.25">
      <c r="A1560">
        <v>25359</v>
      </c>
      <c r="B1560" t="s">
        <v>916</v>
      </c>
      <c r="C1560" t="s">
        <v>1307</v>
      </c>
      <c r="D1560" t="s">
        <v>1580</v>
      </c>
      <c r="E1560">
        <v>0</v>
      </c>
      <c r="F1560">
        <v>0</v>
      </c>
      <c r="G1560">
        <v>0</v>
      </c>
      <c r="H1560">
        <v>36</v>
      </c>
      <c r="I1560">
        <v>14</v>
      </c>
      <c r="J1560">
        <v>50</v>
      </c>
      <c r="K1560">
        <f>COUNTIF(DF_Calculation!E:E,Table1[[#This Row],[ACS_CODE]])</f>
        <v>1</v>
      </c>
    </row>
    <row r="1561" spans="1:11" x14ac:dyDescent="0.25">
      <c r="A1561">
        <v>25447</v>
      </c>
      <c r="B1561" t="s">
        <v>916</v>
      </c>
      <c r="C1561" t="s">
        <v>1307</v>
      </c>
      <c r="D1561" t="s">
        <v>1581</v>
      </c>
      <c r="E1561">
        <v>0</v>
      </c>
      <c r="F1561">
        <v>0</v>
      </c>
      <c r="G1561">
        <v>0</v>
      </c>
      <c r="H1561">
        <v>0</v>
      </c>
      <c r="I1561">
        <v>25</v>
      </c>
      <c r="J1561">
        <v>25</v>
      </c>
      <c r="K1561">
        <f>COUNTIF(DF_Calculation!E:E,Table1[[#This Row],[ACS_CODE]])</f>
        <v>1</v>
      </c>
    </row>
    <row r="1562" spans="1:11" x14ac:dyDescent="0.25">
      <c r="A1562">
        <v>25419</v>
      </c>
      <c r="B1562" t="s">
        <v>916</v>
      </c>
      <c r="C1562" t="s">
        <v>1307</v>
      </c>
      <c r="D1562" t="s">
        <v>1582</v>
      </c>
      <c r="E1562">
        <v>0</v>
      </c>
      <c r="F1562">
        <v>0</v>
      </c>
      <c r="G1562">
        <v>0</v>
      </c>
      <c r="H1562">
        <v>184</v>
      </c>
      <c r="I1562">
        <v>14</v>
      </c>
      <c r="J1562">
        <v>198</v>
      </c>
      <c r="K1562">
        <f>COUNTIF(DF_Calculation!E:E,Table1[[#This Row],[ACS_CODE]])</f>
        <v>1</v>
      </c>
    </row>
    <row r="1563" spans="1:11" x14ac:dyDescent="0.25">
      <c r="A1563">
        <v>25488</v>
      </c>
      <c r="B1563" t="s">
        <v>916</v>
      </c>
      <c r="C1563" t="s">
        <v>1307</v>
      </c>
      <c r="D1563" t="s">
        <v>1583</v>
      </c>
      <c r="E1563">
        <v>0</v>
      </c>
      <c r="F1563">
        <v>0</v>
      </c>
      <c r="G1563">
        <v>0</v>
      </c>
      <c r="H1563">
        <v>0</v>
      </c>
      <c r="J1563">
        <v>0</v>
      </c>
      <c r="K1563">
        <f>COUNTIF(DF_Calculation!E:E,Table1[[#This Row],[ACS_CODE]])</f>
        <v>1</v>
      </c>
    </row>
    <row r="1564" spans="1:11" x14ac:dyDescent="0.25">
      <c r="A1564">
        <v>25467</v>
      </c>
      <c r="B1564" t="s">
        <v>916</v>
      </c>
      <c r="C1564" t="s">
        <v>1307</v>
      </c>
      <c r="D1564" t="s">
        <v>1584</v>
      </c>
      <c r="E1564">
        <v>0</v>
      </c>
      <c r="F1564">
        <v>0</v>
      </c>
      <c r="G1564">
        <v>0</v>
      </c>
      <c r="H1564">
        <v>0</v>
      </c>
      <c r="I1564">
        <v>2</v>
      </c>
      <c r="J1564">
        <v>2</v>
      </c>
      <c r="K1564">
        <f>COUNTIF(DF_Calculation!E:E,Table1[[#This Row],[ACS_CODE]])</f>
        <v>1</v>
      </c>
    </row>
    <row r="1565" spans="1:11" x14ac:dyDescent="0.25">
      <c r="A1565">
        <v>25341</v>
      </c>
      <c r="B1565" t="s">
        <v>916</v>
      </c>
      <c r="C1565" t="s">
        <v>1307</v>
      </c>
      <c r="D1565" t="s">
        <v>2499</v>
      </c>
      <c r="E1565">
        <v>0</v>
      </c>
      <c r="F1565">
        <v>0</v>
      </c>
      <c r="G1565">
        <v>0</v>
      </c>
      <c r="H1565">
        <v>730</v>
      </c>
      <c r="I1565">
        <v>13</v>
      </c>
      <c r="J1565">
        <v>743</v>
      </c>
      <c r="K1565">
        <f>COUNTIF(DF_Calculation!E:E,Table1[[#This Row],[ACS_CODE]])</f>
        <v>1</v>
      </c>
    </row>
    <row r="1566" spans="1:11" x14ac:dyDescent="0.25">
      <c r="A1566">
        <v>25141</v>
      </c>
      <c r="B1566" t="s">
        <v>916</v>
      </c>
      <c r="C1566" t="s">
        <v>1307</v>
      </c>
      <c r="D1566" t="s">
        <v>1585</v>
      </c>
      <c r="E1566">
        <v>0</v>
      </c>
      <c r="F1566">
        <v>0</v>
      </c>
      <c r="G1566">
        <v>0</v>
      </c>
      <c r="H1566">
        <v>1374</v>
      </c>
      <c r="I1566">
        <v>800</v>
      </c>
      <c r="J1566">
        <v>2174</v>
      </c>
      <c r="K1566">
        <f>COUNTIF(DF_Calculation!E:E,Table1[[#This Row],[ACS_CODE]])</f>
        <v>1</v>
      </c>
    </row>
    <row r="1567" spans="1:11" x14ac:dyDescent="0.25">
      <c r="A1567" t="s">
        <v>1586</v>
      </c>
      <c r="B1567" t="s">
        <v>937</v>
      </c>
      <c r="C1567" t="s">
        <v>1278</v>
      </c>
      <c r="D1567" t="s">
        <v>1490</v>
      </c>
      <c r="E1567">
        <v>0</v>
      </c>
      <c r="F1567">
        <v>0</v>
      </c>
      <c r="G1567">
        <v>0</v>
      </c>
      <c r="H1567">
        <v>0</v>
      </c>
      <c r="J1567">
        <v>0</v>
      </c>
      <c r="K1567">
        <f>COUNTIF(DF_Calculation!E:E,Table1[[#This Row],[ACS_CODE]])</f>
        <v>1</v>
      </c>
    </row>
    <row r="1568" spans="1:11" x14ac:dyDescent="0.25">
      <c r="A1568">
        <v>73183</v>
      </c>
      <c r="B1568" t="s">
        <v>937</v>
      </c>
      <c r="C1568" t="s">
        <v>1278</v>
      </c>
      <c r="D1568" t="s">
        <v>1587</v>
      </c>
      <c r="E1568">
        <v>0</v>
      </c>
      <c r="F1568">
        <v>0</v>
      </c>
      <c r="G1568">
        <v>0</v>
      </c>
      <c r="H1568">
        <v>33</v>
      </c>
      <c r="J1568">
        <v>33</v>
      </c>
      <c r="K1568">
        <f>COUNTIF(DF_Calculation!E:E,Table1[[#This Row],[ACS_CODE]])</f>
        <v>1</v>
      </c>
    </row>
    <row r="1569" spans="1:11" x14ac:dyDescent="0.25">
      <c r="A1569">
        <v>73143</v>
      </c>
      <c r="B1569" t="s">
        <v>937</v>
      </c>
      <c r="C1569" t="s">
        <v>1278</v>
      </c>
      <c r="D1569" t="s">
        <v>1588</v>
      </c>
      <c r="E1569">
        <v>0</v>
      </c>
      <c r="F1569">
        <v>0</v>
      </c>
      <c r="G1569">
        <v>0</v>
      </c>
      <c r="H1569">
        <v>0</v>
      </c>
      <c r="J1569">
        <v>0</v>
      </c>
      <c r="K1569">
        <f>COUNTIF(DF_Calculation!E:E,Table1[[#This Row],[ACS_CODE]])</f>
        <v>1</v>
      </c>
    </row>
    <row r="1570" spans="1:11" x14ac:dyDescent="0.25">
      <c r="A1570">
        <v>73248</v>
      </c>
      <c r="B1570" t="s">
        <v>937</v>
      </c>
      <c r="C1570" t="s">
        <v>1278</v>
      </c>
      <c r="D1570" t="s">
        <v>2500</v>
      </c>
      <c r="E1570">
        <v>0</v>
      </c>
      <c r="F1570">
        <v>0</v>
      </c>
      <c r="G1570">
        <v>0</v>
      </c>
      <c r="H1570">
        <v>325</v>
      </c>
      <c r="J1570">
        <v>325</v>
      </c>
      <c r="K1570">
        <f>COUNTIF(DF_Calculation!E:E,Table1[[#This Row],[ACS_CODE]])</f>
        <v>1</v>
      </c>
    </row>
    <row r="1571" spans="1:11" x14ac:dyDescent="0.25">
      <c r="A1571">
        <v>55001</v>
      </c>
      <c r="B1571" t="s">
        <v>1260</v>
      </c>
      <c r="C1571" t="s">
        <v>1291</v>
      </c>
      <c r="D1571" t="s">
        <v>1490</v>
      </c>
      <c r="E1571">
        <v>0</v>
      </c>
      <c r="F1571">
        <v>0</v>
      </c>
      <c r="G1571">
        <v>0</v>
      </c>
      <c r="H1571">
        <v>0</v>
      </c>
      <c r="J1571">
        <v>0</v>
      </c>
      <c r="K1571">
        <f>COUNTIF(DF_Calculation!E:E,Table1[[#This Row],[ACS_CODE]])</f>
        <v>1</v>
      </c>
    </row>
    <row r="1572" spans="1:11" x14ac:dyDescent="0.25">
      <c r="A1572">
        <v>55002</v>
      </c>
      <c r="B1572" t="s">
        <v>1260</v>
      </c>
      <c r="C1572" t="s">
        <v>1291</v>
      </c>
      <c r="D1572" t="s">
        <v>1490</v>
      </c>
      <c r="E1572">
        <v>0</v>
      </c>
      <c r="F1572">
        <v>0</v>
      </c>
      <c r="G1572">
        <v>0</v>
      </c>
      <c r="H1572">
        <v>0</v>
      </c>
      <c r="J1572">
        <v>0</v>
      </c>
      <c r="K1572">
        <f>COUNTIF(DF_Calculation!E:E,Table1[[#This Row],[ACS_CODE]])</f>
        <v>1</v>
      </c>
    </row>
    <row r="1573" spans="1:11" x14ac:dyDescent="0.25">
      <c r="A1573">
        <v>55003</v>
      </c>
      <c r="B1573" t="s">
        <v>1260</v>
      </c>
      <c r="C1573" t="s">
        <v>1291</v>
      </c>
      <c r="D1573" t="s">
        <v>1490</v>
      </c>
      <c r="E1573">
        <v>0</v>
      </c>
      <c r="F1573">
        <v>0</v>
      </c>
      <c r="G1573">
        <v>0</v>
      </c>
      <c r="H1573">
        <v>0</v>
      </c>
      <c r="J1573">
        <v>0</v>
      </c>
      <c r="K1573">
        <f>COUNTIF(DF_Calculation!E:E,Table1[[#This Row],[ACS_CODE]])</f>
        <v>1</v>
      </c>
    </row>
    <row r="1574" spans="1:11" x14ac:dyDescent="0.25">
      <c r="A1574">
        <v>55004</v>
      </c>
      <c r="B1574" t="s">
        <v>1260</v>
      </c>
      <c r="C1574" t="s">
        <v>1291</v>
      </c>
      <c r="D1574" t="s">
        <v>1490</v>
      </c>
      <c r="E1574">
        <v>0</v>
      </c>
      <c r="F1574">
        <v>0</v>
      </c>
      <c r="G1574">
        <v>0</v>
      </c>
      <c r="H1574">
        <v>0</v>
      </c>
      <c r="J1574">
        <v>0</v>
      </c>
      <c r="K1574">
        <f>COUNTIF(DF_Calculation!E:E,Table1[[#This Row],[ACS_CODE]])</f>
        <v>1</v>
      </c>
    </row>
    <row r="1575" spans="1:11" x14ac:dyDescent="0.25">
      <c r="A1575">
        <v>55005</v>
      </c>
      <c r="B1575" t="s">
        <v>1260</v>
      </c>
      <c r="C1575" t="s">
        <v>1291</v>
      </c>
      <c r="D1575" t="s">
        <v>1490</v>
      </c>
      <c r="E1575">
        <v>0</v>
      </c>
      <c r="F1575">
        <v>0</v>
      </c>
      <c r="G1575">
        <v>0</v>
      </c>
      <c r="H1575">
        <v>0</v>
      </c>
      <c r="J1575">
        <v>0</v>
      </c>
      <c r="K1575">
        <f>COUNTIF(DF_Calculation!E:E,Table1[[#This Row],[ACS_CODE]])</f>
        <v>1</v>
      </c>
    </row>
    <row r="1576" spans="1:11" x14ac:dyDescent="0.25">
      <c r="A1576">
        <v>55006</v>
      </c>
      <c r="B1576" t="s">
        <v>1260</v>
      </c>
      <c r="C1576" t="s">
        <v>1291</v>
      </c>
      <c r="D1576" t="s">
        <v>1490</v>
      </c>
      <c r="E1576">
        <v>0</v>
      </c>
      <c r="F1576">
        <v>0</v>
      </c>
      <c r="G1576">
        <v>0</v>
      </c>
      <c r="H1576">
        <v>0</v>
      </c>
      <c r="J1576">
        <v>0</v>
      </c>
      <c r="K1576">
        <f>COUNTIF(DF_Calculation!E:E,Table1[[#This Row],[ACS_CODE]])</f>
        <v>1</v>
      </c>
    </row>
    <row r="1577" spans="1:11" x14ac:dyDescent="0.25">
      <c r="A1577">
        <v>55007</v>
      </c>
      <c r="B1577" t="s">
        <v>1260</v>
      </c>
      <c r="C1577" t="s">
        <v>1291</v>
      </c>
      <c r="D1577" t="s">
        <v>1490</v>
      </c>
      <c r="E1577">
        <v>0</v>
      </c>
      <c r="F1577">
        <v>0</v>
      </c>
      <c r="G1577">
        <v>0</v>
      </c>
      <c r="H1577">
        <v>0</v>
      </c>
      <c r="J1577">
        <v>0</v>
      </c>
      <c r="K1577">
        <f>COUNTIF(DF_Calculation!E:E,Table1[[#This Row],[ACS_CODE]])</f>
        <v>1</v>
      </c>
    </row>
    <row r="1578" spans="1:11" x14ac:dyDescent="0.25">
      <c r="A1578">
        <v>55008</v>
      </c>
      <c r="B1578" t="s">
        <v>1260</v>
      </c>
      <c r="C1578" t="s">
        <v>1291</v>
      </c>
      <c r="D1578" t="s">
        <v>1490</v>
      </c>
      <c r="E1578">
        <v>0</v>
      </c>
      <c r="F1578">
        <v>0</v>
      </c>
      <c r="G1578">
        <v>0</v>
      </c>
      <c r="H1578">
        <v>0</v>
      </c>
      <c r="J1578">
        <v>0</v>
      </c>
      <c r="K1578">
        <f>COUNTIF(DF_Calculation!E:E,Table1[[#This Row],[ACS_CODE]])</f>
        <v>1</v>
      </c>
    </row>
    <row r="1579" spans="1:11" x14ac:dyDescent="0.25">
      <c r="A1579">
        <v>55009</v>
      </c>
      <c r="B1579" t="s">
        <v>1260</v>
      </c>
      <c r="C1579" t="s">
        <v>1291</v>
      </c>
      <c r="D1579" t="s">
        <v>1490</v>
      </c>
      <c r="E1579">
        <v>0</v>
      </c>
      <c r="F1579">
        <v>0</v>
      </c>
      <c r="G1579">
        <v>0</v>
      </c>
      <c r="H1579">
        <v>0</v>
      </c>
      <c r="J1579">
        <v>0</v>
      </c>
      <c r="K1579">
        <f>COUNTIF(DF_Calculation!E:E,Table1[[#This Row],[ACS_CODE]])</f>
        <v>1</v>
      </c>
    </row>
    <row r="1580" spans="1:11" x14ac:dyDescent="0.25">
      <c r="A1580">
        <v>55010</v>
      </c>
      <c r="B1580" t="s">
        <v>1260</v>
      </c>
      <c r="C1580" t="s">
        <v>1291</v>
      </c>
      <c r="D1580" t="s">
        <v>1490</v>
      </c>
      <c r="E1580">
        <v>0</v>
      </c>
      <c r="F1580">
        <v>0</v>
      </c>
      <c r="G1580">
        <v>0</v>
      </c>
      <c r="H1580">
        <v>0</v>
      </c>
      <c r="J1580">
        <v>0</v>
      </c>
      <c r="K1580">
        <f>COUNTIF(DF_Calculation!E:E,Table1[[#This Row],[ACS_CODE]])</f>
        <v>1</v>
      </c>
    </row>
    <row r="1581" spans="1:11" x14ac:dyDescent="0.25">
      <c r="A1581" t="s">
        <v>1589</v>
      </c>
      <c r="B1581" t="s">
        <v>1260</v>
      </c>
      <c r="C1581" t="s">
        <v>1291</v>
      </c>
      <c r="D1581" t="s">
        <v>1490</v>
      </c>
      <c r="E1581">
        <v>0</v>
      </c>
      <c r="F1581">
        <v>0</v>
      </c>
      <c r="G1581">
        <v>0</v>
      </c>
      <c r="H1581">
        <v>0</v>
      </c>
      <c r="J1581">
        <v>0</v>
      </c>
      <c r="K1581">
        <f>COUNTIF(DF_Calculation!E:E,Table1[[#This Row],[ACS_CODE]])</f>
        <v>1</v>
      </c>
    </row>
    <row r="1582" spans="1:11" x14ac:dyDescent="0.25">
      <c r="A1582" t="s">
        <v>1590</v>
      </c>
      <c r="B1582" t="s">
        <v>1260</v>
      </c>
      <c r="C1582" t="s">
        <v>1291</v>
      </c>
      <c r="D1582" t="s">
        <v>1490</v>
      </c>
      <c r="E1582">
        <v>0</v>
      </c>
      <c r="F1582">
        <v>0</v>
      </c>
      <c r="G1582">
        <v>0</v>
      </c>
      <c r="H1582">
        <v>0</v>
      </c>
      <c r="J1582">
        <v>0</v>
      </c>
      <c r="K1582">
        <f>COUNTIF(DF_Calculation!E:E,Table1[[#This Row],[ACS_CODE]])</f>
        <v>1</v>
      </c>
    </row>
    <row r="1583" spans="1:11" x14ac:dyDescent="0.25">
      <c r="A1583" t="s">
        <v>1591</v>
      </c>
      <c r="B1583" t="s">
        <v>1260</v>
      </c>
      <c r="C1583" t="s">
        <v>1291</v>
      </c>
      <c r="D1583" t="s">
        <v>1490</v>
      </c>
      <c r="E1583">
        <v>0</v>
      </c>
      <c r="F1583">
        <v>0</v>
      </c>
      <c r="G1583">
        <v>0</v>
      </c>
      <c r="H1583">
        <v>0</v>
      </c>
      <c r="J1583">
        <v>0</v>
      </c>
      <c r="K1583">
        <f>COUNTIF(DF_Calculation!E:E,Table1[[#This Row],[ACS_CODE]])</f>
        <v>1</v>
      </c>
    </row>
    <row r="1584" spans="1:11" x14ac:dyDescent="0.25">
      <c r="A1584">
        <v>55197</v>
      </c>
      <c r="B1584" t="s">
        <v>1260</v>
      </c>
      <c r="C1584" t="s">
        <v>1291</v>
      </c>
      <c r="D1584" t="s">
        <v>2501</v>
      </c>
      <c r="E1584">
        <v>0</v>
      </c>
      <c r="F1584">
        <v>0</v>
      </c>
      <c r="G1584">
        <v>0</v>
      </c>
      <c r="H1584">
        <v>57</v>
      </c>
      <c r="I1584">
        <v>2</v>
      </c>
      <c r="J1584">
        <v>59</v>
      </c>
      <c r="K1584">
        <f>COUNTIF(DF_Calculation!E:E,Table1[[#This Row],[ACS_CODE]])</f>
        <v>1</v>
      </c>
    </row>
    <row r="1585" spans="1:11" x14ac:dyDescent="0.25">
      <c r="A1585">
        <v>55199</v>
      </c>
      <c r="B1585" t="s">
        <v>1260</v>
      </c>
      <c r="C1585" t="s">
        <v>1291</v>
      </c>
      <c r="D1585" t="s">
        <v>1592</v>
      </c>
      <c r="E1585">
        <v>0</v>
      </c>
      <c r="F1585">
        <v>0</v>
      </c>
      <c r="G1585">
        <v>0</v>
      </c>
      <c r="H1585">
        <v>34</v>
      </c>
      <c r="J1585">
        <v>34</v>
      </c>
      <c r="K1585">
        <f>COUNTIF(DF_Calculation!E:E,Table1[[#This Row],[ACS_CODE]])</f>
        <v>1</v>
      </c>
    </row>
    <row r="1586" spans="1:11" x14ac:dyDescent="0.25">
      <c r="A1586">
        <v>55191</v>
      </c>
      <c r="B1586" t="s">
        <v>1260</v>
      </c>
      <c r="C1586" t="s">
        <v>1291</v>
      </c>
      <c r="D1586" t="s">
        <v>2502</v>
      </c>
      <c r="E1586">
        <v>0</v>
      </c>
      <c r="F1586">
        <v>0</v>
      </c>
      <c r="G1586">
        <v>0</v>
      </c>
      <c r="H1586">
        <v>6</v>
      </c>
      <c r="J1586">
        <v>6</v>
      </c>
      <c r="K1586">
        <f>COUNTIF(DF_Calculation!E:E,Table1[[#This Row],[ACS_CODE]])</f>
        <v>1</v>
      </c>
    </row>
    <row r="1587" spans="1:11" x14ac:dyDescent="0.25">
      <c r="A1587">
        <v>61001</v>
      </c>
      <c r="B1587" t="s">
        <v>1270</v>
      </c>
      <c r="C1587" t="s">
        <v>1288</v>
      </c>
      <c r="D1587" t="s">
        <v>1490</v>
      </c>
      <c r="E1587">
        <v>0</v>
      </c>
      <c r="F1587">
        <v>0</v>
      </c>
      <c r="G1587">
        <v>0</v>
      </c>
      <c r="H1587">
        <v>0</v>
      </c>
      <c r="J1587">
        <v>0</v>
      </c>
      <c r="K1587">
        <f>COUNTIF(DF_Calculation!E:E,Table1[[#This Row],[ACS_CODE]])</f>
        <v>1</v>
      </c>
    </row>
    <row r="1588" spans="1:11" x14ac:dyDescent="0.25">
      <c r="A1588">
        <v>61423</v>
      </c>
      <c r="B1588" t="s">
        <v>1270</v>
      </c>
      <c r="C1588" t="s">
        <v>1288</v>
      </c>
      <c r="D1588" t="s">
        <v>1593</v>
      </c>
      <c r="E1588">
        <v>0</v>
      </c>
      <c r="F1588">
        <v>0</v>
      </c>
      <c r="G1588">
        <v>0</v>
      </c>
      <c r="H1588">
        <v>16</v>
      </c>
      <c r="J1588">
        <v>16</v>
      </c>
      <c r="K1588">
        <f>COUNTIF(DF_Calculation!E:E,Table1[[#This Row],[ACS_CODE]])</f>
        <v>1</v>
      </c>
    </row>
    <row r="1589" spans="1:11" x14ac:dyDescent="0.25">
      <c r="A1589">
        <v>61467</v>
      </c>
      <c r="B1589" t="s">
        <v>1270</v>
      </c>
      <c r="C1589" t="s">
        <v>1288</v>
      </c>
      <c r="D1589" t="s">
        <v>1594</v>
      </c>
      <c r="E1589">
        <v>0</v>
      </c>
      <c r="F1589">
        <v>0</v>
      </c>
      <c r="G1589">
        <v>0</v>
      </c>
      <c r="H1589">
        <v>629</v>
      </c>
      <c r="I1589">
        <v>29</v>
      </c>
      <c r="J1589">
        <v>658</v>
      </c>
      <c r="K1589">
        <f>COUNTIF(DF_Calculation!E:E,Table1[[#This Row],[ACS_CODE]])</f>
        <v>1</v>
      </c>
    </row>
    <row r="1590" spans="1:11" x14ac:dyDescent="0.25">
      <c r="A1590">
        <v>61473</v>
      </c>
      <c r="B1590" t="s">
        <v>1270</v>
      </c>
      <c r="C1590" t="s">
        <v>1288</v>
      </c>
      <c r="D1590" t="s">
        <v>1595</v>
      </c>
      <c r="E1590">
        <v>0</v>
      </c>
      <c r="F1590">
        <v>0</v>
      </c>
      <c r="G1590">
        <v>0</v>
      </c>
      <c r="H1590">
        <v>11</v>
      </c>
      <c r="J1590">
        <v>11</v>
      </c>
      <c r="K1590">
        <f>COUNTIF(DF_Calculation!E:E,Table1[[#This Row],[ACS_CODE]])</f>
        <v>1</v>
      </c>
    </row>
    <row r="1591" spans="1:11" x14ac:dyDescent="0.25">
      <c r="A1591">
        <v>61424</v>
      </c>
      <c r="B1591" t="s">
        <v>1270</v>
      </c>
      <c r="C1591" t="s">
        <v>1288</v>
      </c>
      <c r="D1591" t="s">
        <v>1596</v>
      </c>
      <c r="E1591">
        <v>0</v>
      </c>
      <c r="F1591">
        <v>0</v>
      </c>
      <c r="G1591">
        <v>0</v>
      </c>
      <c r="H1591">
        <v>1</v>
      </c>
      <c r="J1591">
        <v>1</v>
      </c>
      <c r="K1591">
        <f>COUNTIF(DF_Calculation!E:E,Table1[[#This Row],[ACS_CODE]])</f>
        <v>1</v>
      </c>
    </row>
    <row r="1592" spans="1:11" x14ac:dyDescent="0.25">
      <c r="A1592">
        <v>61433</v>
      </c>
      <c r="B1592" t="s">
        <v>1270</v>
      </c>
      <c r="C1592" t="s">
        <v>1288</v>
      </c>
      <c r="D1592" t="s">
        <v>1597</v>
      </c>
      <c r="E1592">
        <v>0</v>
      </c>
      <c r="F1592">
        <v>0</v>
      </c>
      <c r="G1592">
        <v>0</v>
      </c>
      <c r="H1592">
        <v>0</v>
      </c>
      <c r="I1592">
        <v>15</v>
      </c>
      <c r="J1592">
        <v>15</v>
      </c>
      <c r="K1592">
        <f>COUNTIF(DF_Calculation!E:E,Table1[[#This Row],[ACS_CODE]])</f>
        <v>1</v>
      </c>
    </row>
    <row r="1593" spans="1:11" x14ac:dyDescent="0.25">
      <c r="A1593">
        <v>61429</v>
      </c>
      <c r="B1593" t="s">
        <v>1270</v>
      </c>
      <c r="C1593" t="s">
        <v>1288</v>
      </c>
      <c r="D1593" t="s">
        <v>1598</v>
      </c>
      <c r="E1593">
        <v>0</v>
      </c>
      <c r="F1593">
        <v>0</v>
      </c>
      <c r="G1593">
        <v>0</v>
      </c>
      <c r="H1593">
        <v>27</v>
      </c>
      <c r="J1593">
        <v>27</v>
      </c>
      <c r="K1593">
        <f>COUNTIF(DF_Calculation!E:E,Table1[[#This Row],[ACS_CODE]])</f>
        <v>1</v>
      </c>
    </row>
    <row r="1594" spans="1:11" x14ac:dyDescent="0.25">
      <c r="A1594">
        <v>61457</v>
      </c>
      <c r="B1594" t="s">
        <v>1270</v>
      </c>
      <c r="C1594" t="s">
        <v>1288</v>
      </c>
      <c r="D1594" t="s">
        <v>1599</v>
      </c>
      <c r="E1594">
        <v>0</v>
      </c>
      <c r="F1594">
        <v>0</v>
      </c>
      <c r="G1594">
        <v>0</v>
      </c>
      <c r="H1594">
        <v>11</v>
      </c>
      <c r="J1594">
        <v>11</v>
      </c>
      <c r="K1594">
        <f>COUNTIF(DF_Calculation!E:E,Table1[[#This Row],[ACS_CODE]])</f>
        <v>1</v>
      </c>
    </row>
    <row r="1595" spans="1:11" x14ac:dyDescent="0.25">
      <c r="A1595">
        <v>61484</v>
      </c>
      <c r="B1595" t="s">
        <v>1270</v>
      </c>
      <c r="C1595" t="s">
        <v>1288</v>
      </c>
      <c r="D1595" t="s">
        <v>1600</v>
      </c>
      <c r="E1595">
        <v>0</v>
      </c>
      <c r="F1595">
        <v>1221</v>
      </c>
      <c r="G1595">
        <v>0</v>
      </c>
      <c r="H1595">
        <v>232</v>
      </c>
      <c r="I1595">
        <v>3</v>
      </c>
      <c r="J1595">
        <v>1456</v>
      </c>
      <c r="K1595">
        <f>COUNTIF(DF_Calculation!E:E,Table1[[#This Row],[ACS_CODE]])</f>
        <v>1</v>
      </c>
    </row>
    <row r="1596" spans="1:11" x14ac:dyDescent="0.25">
      <c r="A1596">
        <v>61497</v>
      </c>
      <c r="B1596" t="s">
        <v>1270</v>
      </c>
      <c r="C1596" t="s">
        <v>1288</v>
      </c>
      <c r="D1596" t="s">
        <v>1601</v>
      </c>
      <c r="E1596">
        <v>0</v>
      </c>
      <c r="F1596">
        <v>0</v>
      </c>
      <c r="G1596">
        <v>0</v>
      </c>
      <c r="H1596">
        <v>0</v>
      </c>
      <c r="J1596">
        <v>0</v>
      </c>
      <c r="K1596">
        <f>COUNTIF(DF_Calculation!E:E,Table1[[#This Row],[ACS_CODE]])</f>
        <v>1</v>
      </c>
    </row>
    <row r="1597" spans="1:11" x14ac:dyDescent="0.25">
      <c r="A1597">
        <v>62242</v>
      </c>
      <c r="B1597" t="s">
        <v>1270</v>
      </c>
      <c r="C1597" t="s">
        <v>1269</v>
      </c>
      <c r="D1597" t="s">
        <v>1602</v>
      </c>
      <c r="E1597">
        <v>0</v>
      </c>
      <c r="F1597">
        <v>0</v>
      </c>
      <c r="G1597">
        <v>0</v>
      </c>
      <c r="H1597">
        <v>532</v>
      </c>
      <c r="I1597">
        <v>5</v>
      </c>
      <c r="J1597">
        <v>537</v>
      </c>
      <c r="K1597">
        <f>COUNTIF(DF_Calculation!E:E,Table1[[#This Row],[ACS_CODE]])</f>
        <v>1</v>
      </c>
    </row>
    <row r="1598" spans="1:11" x14ac:dyDescent="0.25">
      <c r="A1598">
        <v>62319</v>
      </c>
      <c r="B1598" t="s">
        <v>1270</v>
      </c>
      <c r="C1598" t="s">
        <v>1269</v>
      </c>
      <c r="D1598" t="s">
        <v>1603</v>
      </c>
      <c r="E1598">
        <v>0</v>
      </c>
      <c r="F1598">
        <v>0</v>
      </c>
      <c r="G1598">
        <v>0</v>
      </c>
      <c r="H1598">
        <v>84</v>
      </c>
      <c r="J1598">
        <v>84</v>
      </c>
      <c r="K1598">
        <f>COUNTIF(DF_Calculation!E:E,Table1[[#This Row],[ACS_CODE]])</f>
        <v>1</v>
      </c>
    </row>
    <row r="1599" spans="1:11" x14ac:dyDescent="0.25">
      <c r="A1599">
        <v>62331</v>
      </c>
      <c r="B1599" t="s">
        <v>1270</v>
      </c>
      <c r="C1599" t="s">
        <v>1269</v>
      </c>
      <c r="D1599" t="s">
        <v>1604</v>
      </c>
      <c r="E1599">
        <v>0</v>
      </c>
      <c r="F1599">
        <v>0</v>
      </c>
      <c r="G1599">
        <v>0</v>
      </c>
      <c r="H1599">
        <v>37</v>
      </c>
      <c r="I1599">
        <v>150</v>
      </c>
      <c r="J1599">
        <v>187</v>
      </c>
      <c r="K1599">
        <f>COUNTIF(DF_Calculation!E:E,Table1[[#This Row],[ACS_CODE]])</f>
        <v>1</v>
      </c>
    </row>
    <row r="1600" spans="1:11" x14ac:dyDescent="0.25">
      <c r="A1600">
        <v>62314</v>
      </c>
      <c r="B1600" t="s">
        <v>1270</v>
      </c>
      <c r="C1600" t="s">
        <v>1269</v>
      </c>
      <c r="D1600" t="s">
        <v>1605</v>
      </c>
      <c r="E1600">
        <v>0</v>
      </c>
      <c r="F1600">
        <v>0</v>
      </c>
      <c r="G1600">
        <v>0</v>
      </c>
      <c r="H1600">
        <v>11</v>
      </c>
      <c r="J1600">
        <v>11</v>
      </c>
      <c r="K1600">
        <f>COUNTIF(DF_Calculation!E:E,Table1[[#This Row],[ACS_CODE]])</f>
        <v>1</v>
      </c>
    </row>
    <row r="1601" spans="1:11" x14ac:dyDescent="0.25">
      <c r="A1601">
        <v>62284</v>
      </c>
      <c r="B1601" t="s">
        <v>1270</v>
      </c>
      <c r="C1601" t="s">
        <v>1269</v>
      </c>
      <c r="D1601" t="s">
        <v>1606</v>
      </c>
      <c r="E1601">
        <v>0</v>
      </c>
      <c r="F1601">
        <v>0</v>
      </c>
      <c r="G1601">
        <v>0</v>
      </c>
      <c r="H1601">
        <v>5</v>
      </c>
      <c r="J1601">
        <v>5</v>
      </c>
      <c r="K1601">
        <f>COUNTIF(DF_Calculation!E:E,Table1[[#This Row],[ACS_CODE]])</f>
        <v>1</v>
      </c>
    </row>
    <row r="1602" spans="1:11" x14ac:dyDescent="0.25">
      <c r="A1602">
        <v>62281</v>
      </c>
      <c r="B1602" t="s">
        <v>1270</v>
      </c>
      <c r="C1602" t="s">
        <v>1269</v>
      </c>
      <c r="D1602" t="s">
        <v>1607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f>COUNTIF(DF_Calculation!E:E,Table1[[#This Row],[ACS_CODE]])</f>
        <v>1</v>
      </c>
    </row>
    <row r="1603" spans="1:11" x14ac:dyDescent="0.25">
      <c r="A1603">
        <v>62257</v>
      </c>
      <c r="B1603" t="s">
        <v>1270</v>
      </c>
      <c r="C1603" t="s">
        <v>1269</v>
      </c>
      <c r="D1603" t="s">
        <v>1608</v>
      </c>
      <c r="E1603">
        <v>0</v>
      </c>
      <c r="F1603">
        <v>0</v>
      </c>
      <c r="G1603">
        <v>0</v>
      </c>
      <c r="H1603">
        <v>295</v>
      </c>
      <c r="I1603">
        <v>5</v>
      </c>
      <c r="J1603">
        <v>300</v>
      </c>
      <c r="K1603">
        <f>COUNTIF(DF_Calculation!E:E,Table1[[#This Row],[ACS_CODE]])</f>
        <v>1</v>
      </c>
    </row>
    <row r="1604" spans="1:11" x14ac:dyDescent="0.25">
      <c r="A1604">
        <v>62273</v>
      </c>
      <c r="B1604" t="s">
        <v>1270</v>
      </c>
      <c r="C1604" t="s">
        <v>1269</v>
      </c>
      <c r="D1604" t="s">
        <v>1609</v>
      </c>
      <c r="E1604">
        <v>0</v>
      </c>
      <c r="F1604">
        <v>0</v>
      </c>
      <c r="G1604">
        <v>0</v>
      </c>
      <c r="H1604">
        <v>42</v>
      </c>
      <c r="J1604">
        <v>42</v>
      </c>
      <c r="K1604">
        <f>COUNTIF(DF_Calculation!E:E,Table1[[#This Row],[ACS_CODE]])</f>
        <v>1</v>
      </c>
    </row>
    <row r="1605" spans="1:11" x14ac:dyDescent="0.25">
      <c r="A1605">
        <v>52181</v>
      </c>
      <c r="B1605" t="s">
        <v>1260</v>
      </c>
      <c r="C1605" t="s">
        <v>1323</v>
      </c>
      <c r="D1605" t="s">
        <v>2503</v>
      </c>
      <c r="E1605">
        <v>0</v>
      </c>
      <c r="F1605">
        <v>0</v>
      </c>
      <c r="G1605">
        <v>0</v>
      </c>
      <c r="H1605">
        <v>0</v>
      </c>
      <c r="J1605">
        <v>0</v>
      </c>
      <c r="K1605">
        <f>COUNTIF(DF_Calculation!E:E,Table1[[#This Row],[ACS_CODE]])</f>
        <v>1</v>
      </c>
    </row>
    <row r="1606" spans="1:11" x14ac:dyDescent="0.25">
      <c r="A1606">
        <v>52001</v>
      </c>
      <c r="B1606" t="s">
        <v>1260</v>
      </c>
      <c r="C1606" t="s">
        <v>1323</v>
      </c>
      <c r="D1606" t="s">
        <v>1490</v>
      </c>
      <c r="E1606">
        <v>0</v>
      </c>
      <c r="F1606">
        <v>0</v>
      </c>
      <c r="G1606">
        <v>0</v>
      </c>
      <c r="H1606">
        <v>0</v>
      </c>
      <c r="J1606">
        <v>0</v>
      </c>
      <c r="K1606">
        <f>COUNTIF(DF_Calculation!E:E,Table1[[#This Row],[ACS_CODE]])</f>
        <v>1</v>
      </c>
    </row>
    <row r="1607" spans="1:11" x14ac:dyDescent="0.25">
      <c r="A1607">
        <v>52002</v>
      </c>
      <c r="B1607" t="s">
        <v>1260</v>
      </c>
      <c r="C1607" t="s">
        <v>1323</v>
      </c>
      <c r="D1607" t="s">
        <v>1490</v>
      </c>
      <c r="E1607">
        <v>0</v>
      </c>
      <c r="F1607">
        <v>0</v>
      </c>
      <c r="G1607">
        <v>0</v>
      </c>
      <c r="H1607">
        <v>0</v>
      </c>
      <c r="J1607">
        <v>0</v>
      </c>
      <c r="K1607">
        <f>COUNTIF(DF_Calculation!E:E,Table1[[#This Row],[ACS_CODE]])</f>
        <v>1</v>
      </c>
    </row>
    <row r="1608" spans="1:11" x14ac:dyDescent="0.25">
      <c r="A1608">
        <v>52003</v>
      </c>
      <c r="B1608" t="s">
        <v>1260</v>
      </c>
      <c r="C1608" t="s">
        <v>1323</v>
      </c>
      <c r="D1608" t="s">
        <v>1490</v>
      </c>
      <c r="E1608">
        <v>0</v>
      </c>
      <c r="F1608">
        <v>0</v>
      </c>
      <c r="G1608">
        <v>0</v>
      </c>
      <c r="H1608">
        <v>0</v>
      </c>
      <c r="J1608">
        <v>0</v>
      </c>
      <c r="K1608">
        <f>COUNTIF(DF_Calculation!E:E,Table1[[#This Row],[ACS_CODE]])</f>
        <v>1</v>
      </c>
    </row>
    <row r="1609" spans="1:11" x14ac:dyDescent="0.25">
      <c r="A1609">
        <v>52131</v>
      </c>
      <c r="B1609" t="s">
        <v>1260</v>
      </c>
      <c r="C1609" t="s">
        <v>1323</v>
      </c>
      <c r="D1609" t="s">
        <v>1610</v>
      </c>
      <c r="E1609">
        <v>0</v>
      </c>
      <c r="F1609">
        <v>0</v>
      </c>
      <c r="G1609">
        <v>0</v>
      </c>
      <c r="H1609">
        <v>12</v>
      </c>
      <c r="I1609">
        <v>50</v>
      </c>
      <c r="J1609">
        <v>62</v>
      </c>
      <c r="K1609">
        <f>COUNTIF(DF_Calculation!E:E,Table1[[#This Row],[ACS_CODE]])</f>
        <v>1</v>
      </c>
    </row>
    <row r="1610" spans="1:11" x14ac:dyDescent="0.25">
      <c r="A1610">
        <v>52257</v>
      </c>
      <c r="B1610" t="s">
        <v>1260</v>
      </c>
      <c r="C1610" t="s">
        <v>1323</v>
      </c>
      <c r="D1610" t="s">
        <v>1611</v>
      </c>
      <c r="E1610">
        <v>0</v>
      </c>
      <c r="F1610">
        <v>0</v>
      </c>
      <c r="G1610">
        <v>0</v>
      </c>
      <c r="H1610">
        <v>154</v>
      </c>
      <c r="J1610">
        <v>154</v>
      </c>
      <c r="K1610">
        <f>COUNTIF(DF_Calculation!E:E,Table1[[#This Row],[ACS_CODE]])</f>
        <v>1</v>
      </c>
    </row>
    <row r="1611" spans="1:11" x14ac:dyDescent="0.25">
      <c r="A1611">
        <v>52274</v>
      </c>
      <c r="B1611" t="s">
        <v>1260</v>
      </c>
      <c r="C1611" t="s">
        <v>1323</v>
      </c>
      <c r="D1611" t="s">
        <v>2504</v>
      </c>
      <c r="E1611">
        <v>0</v>
      </c>
      <c r="F1611">
        <v>0</v>
      </c>
      <c r="G1611">
        <v>0</v>
      </c>
      <c r="H1611">
        <v>2372</v>
      </c>
      <c r="I1611">
        <v>5</v>
      </c>
      <c r="J1611">
        <v>2377</v>
      </c>
      <c r="K1611">
        <f>COUNTIF(DF_Calculation!E:E,Table1[[#This Row],[ACS_CODE]])</f>
        <v>1</v>
      </c>
    </row>
    <row r="1612" spans="1:11" x14ac:dyDescent="0.25">
      <c r="A1612">
        <v>52261</v>
      </c>
      <c r="B1612" t="s">
        <v>1260</v>
      </c>
      <c r="C1612" t="s">
        <v>1323</v>
      </c>
      <c r="D1612" t="s">
        <v>2505</v>
      </c>
      <c r="E1612">
        <v>0</v>
      </c>
      <c r="F1612">
        <v>0</v>
      </c>
      <c r="G1612">
        <v>0</v>
      </c>
      <c r="H1612">
        <v>0</v>
      </c>
      <c r="J1612">
        <v>0</v>
      </c>
      <c r="K1612">
        <f>COUNTIF(DF_Calculation!E:E,Table1[[#This Row],[ACS_CODE]])</f>
        <v>1</v>
      </c>
    </row>
    <row r="1613" spans="1:11" x14ac:dyDescent="0.25">
      <c r="A1613">
        <v>51247</v>
      </c>
      <c r="B1613" t="s">
        <v>1260</v>
      </c>
      <c r="C1613" t="s">
        <v>1259</v>
      </c>
      <c r="D1613" t="s">
        <v>1612</v>
      </c>
      <c r="E1613">
        <v>0</v>
      </c>
      <c r="F1613">
        <v>0</v>
      </c>
      <c r="G1613">
        <v>0</v>
      </c>
      <c r="H1613">
        <v>31</v>
      </c>
      <c r="J1613">
        <v>31</v>
      </c>
      <c r="K1613">
        <f>COUNTIF(DF_Calculation!E:E,Table1[[#This Row],[ACS_CODE]])</f>
        <v>1</v>
      </c>
    </row>
    <row r="1614" spans="1:11" x14ac:dyDescent="0.25">
      <c r="A1614">
        <v>51001</v>
      </c>
      <c r="B1614" t="s">
        <v>1260</v>
      </c>
      <c r="C1614" t="s">
        <v>1259</v>
      </c>
      <c r="D1614" t="s">
        <v>1490</v>
      </c>
      <c r="E1614">
        <v>0</v>
      </c>
      <c r="F1614">
        <v>0</v>
      </c>
      <c r="G1614">
        <v>0</v>
      </c>
      <c r="H1614">
        <v>0</v>
      </c>
      <c r="J1614">
        <v>0</v>
      </c>
      <c r="K1614">
        <f>COUNTIF(DF_Calculation!E:E,Table1[[#This Row],[ACS_CODE]])</f>
        <v>1</v>
      </c>
    </row>
    <row r="1615" spans="1:11" x14ac:dyDescent="0.25">
      <c r="A1615" t="s">
        <v>1613</v>
      </c>
      <c r="B1615" t="s">
        <v>1260</v>
      </c>
      <c r="C1615" t="s">
        <v>1259</v>
      </c>
      <c r="D1615" t="s">
        <v>1490</v>
      </c>
      <c r="E1615">
        <v>0</v>
      </c>
      <c r="F1615">
        <v>0</v>
      </c>
      <c r="G1615">
        <v>0</v>
      </c>
      <c r="H1615">
        <v>0</v>
      </c>
      <c r="J1615">
        <v>0</v>
      </c>
      <c r="K1615">
        <f>COUNTIF(DF_Calculation!E:E,Table1[[#This Row],[ACS_CODE]])</f>
        <v>1</v>
      </c>
    </row>
    <row r="1616" spans="1:11" x14ac:dyDescent="0.25">
      <c r="A1616">
        <v>51189</v>
      </c>
      <c r="B1616" t="s">
        <v>1260</v>
      </c>
      <c r="C1616" t="s">
        <v>1259</v>
      </c>
      <c r="D1616" t="s">
        <v>2506</v>
      </c>
      <c r="E1616">
        <v>0</v>
      </c>
      <c r="F1616">
        <v>0</v>
      </c>
      <c r="G1616">
        <v>0</v>
      </c>
      <c r="H1616">
        <v>1152</v>
      </c>
      <c r="I1616">
        <v>20</v>
      </c>
      <c r="J1616">
        <v>1172</v>
      </c>
      <c r="K1616">
        <f>COUNTIF(DF_Calculation!E:E,Table1[[#This Row],[ACS_CODE]])</f>
        <v>1</v>
      </c>
    </row>
    <row r="1617" spans="1:11" x14ac:dyDescent="0.25">
      <c r="A1617">
        <v>51274</v>
      </c>
      <c r="B1617" t="s">
        <v>1260</v>
      </c>
      <c r="C1617" t="s">
        <v>1259</v>
      </c>
      <c r="D1617" t="s">
        <v>1614</v>
      </c>
      <c r="E1617">
        <v>0</v>
      </c>
      <c r="F1617">
        <v>0</v>
      </c>
      <c r="G1617">
        <v>0</v>
      </c>
      <c r="H1617">
        <v>233</v>
      </c>
      <c r="J1617">
        <v>233</v>
      </c>
      <c r="K1617">
        <f>COUNTIF(DF_Calculation!E:E,Table1[[#This Row],[ACS_CODE]])</f>
        <v>1</v>
      </c>
    </row>
    <row r="1618" spans="1:11" x14ac:dyDescent="0.25">
      <c r="A1618">
        <v>51261</v>
      </c>
      <c r="B1618" t="s">
        <v>1260</v>
      </c>
      <c r="C1618" t="s">
        <v>1259</v>
      </c>
      <c r="D1618" t="s">
        <v>1615</v>
      </c>
      <c r="E1618">
        <v>0</v>
      </c>
      <c r="F1618">
        <v>0</v>
      </c>
      <c r="G1618">
        <v>0</v>
      </c>
      <c r="H1618">
        <v>0</v>
      </c>
      <c r="J1618">
        <v>0</v>
      </c>
      <c r="K1618">
        <f>COUNTIF(DF_Calculation!E:E,Table1[[#This Row],[ACS_CODE]])</f>
        <v>1</v>
      </c>
    </row>
    <row r="1619" spans="1:11" x14ac:dyDescent="0.25">
      <c r="A1619">
        <v>51214</v>
      </c>
      <c r="B1619" t="s">
        <v>1260</v>
      </c>
      <c r="C1619" t="s">
        <v>1259</v>
      </c>
      <c r="D1619" t="s">
        <v>1616</v>
      </c>
      <c r="E1619">
        <v>0</v>
      </c>
      <c r="F1619">
        <v>0</v>
      </c>
      <c r="G1619">
        <v>0</v>
      </c>
      <c r="H1619">
        <v>347</v>
      </c>
      <c r="I1619">
        <v>27</v>
      </c>
      <c r="J1619">
        <v>374</v>
      </c>
      <c r="K1619">
        <f>COUNTIF(DF_Calculation!E:E,Table1[[#This Row],[ACS_CODE]])</f>
        <v>1</v>
      </c>
    </row>
    <row r="1620" spans="1:11" x14ac:dyDescent="0.25">
      <c r="A1620">
        <v>33239</v>
      </c>
      <c r="B1620" t="s">
        <v>919</v>
      </c>
      <c r="C1620" t="s">
        <v>1297</v>
      </c>
      <c r="D1620" t="s">
        <v>1617</v>
      </c>
      <c r="E1620">
        <v>0</v>
      </c>
      <c r="F1620">
        <v>0</v>
      </c>
      <c r="G1620">
        <v>0</v>
      </c>
      <c r="H1620">
        <v>182</v>
      </c>
      <c r="I1620">
        <v>18</v>
      </c>
      <c r="J1620">
        <v>200</v>
      </c>
      <c r="K1620">
        <f>COUNTIF(DF_Calculation!E:E,Table1[[#This Row],[ACS_CODE]])</f>
        <v>1</v>
      </c>
    </row>
    <row r="1621" spans="1:11" x14ac:dyDescent="0.25">
      <c r="A1621">
        <v>33279</v>
      </c>
      <c r="B1621" t="s">
        <v>919</v>
      </c>
      <c r="C1621" t="s">
        <v>1297</v>
      </c>
      <c r="D1621" t="s">
        <v>2507</v>
      </c>
      <c r="E1621">
        <v>0</v>
      </c>
      <c r="F1621">
        <v>0</v>
      </c>
      <c r="G1621">
        <v>0</v>
      </c>
      <c r="H1621">
        <v>182</v>
      </c>
      <c r="J1621">
        <v>182</v>
      </c>
      <c r="K1621">
        <f>COUNTIF(DF_Calculation!E:E,Table1[[#This Row],[ACS_CODE]])</f>
        <v>1</v>
      </c>
    </row>
    <row r="1622" spans="1:11" x14ac:dyDescent="0.25">
      <c r="A1622">
        <v>33137</v>
      </c>
      <c r="B1622" t="s">
        <v>919</v>
      </c>
      <c r="C1622" t="s">
        <v>1297</v>
      </c>
      <c r="D1622" t="s">
        <v>2508</v>
      </c>
      <c r="E1622">
        <v>0</v>
      </c>
      <c r="F1622">
        <v>0</v>
      </c>
      <c r="G1622">
        <v>0</v>
      </c>
      <c r="H1622">
        <v>528</v>
      </c>
      <c r="I1622">
        <v>4</v>
      </c>
      <c r="J1622">
        <v>532</v>
      </c>
      <c r="K1622">
        <f>COUNTIF(DF_Calculation!E:E,Table1[[#This Row],[ACS_CODE]])</f>
        <v>1</v>
      </c>
    </row>
    <row r="1623" spans="1:11" x14ac:dyDescent="0.25">
      <c r="A1623">
        <v>33152</v>
      </c>
      <c r="B1623" t="s">
        <v>919</v>
      </c>
      <c r="C1623" t="s">
        <v>1297</v>
      </c>
      <c r="D1623" t="s">
        <v>2509</v>
      </c>
      <c r="E1623">
        <v>0</v>
      </c>
      <c r="F1623">
        <v>0</v>
      </c>
      <c r="G1623">
        <v>0</v>
      </c>
      <c r="H1623">
        <v>0</v>
      </c>
      <c r="J1623">
        <v>0</v>
      </c>
      <c r="K1623">
        <f>COUNTIF(DF_Calculation!E:E,Table1[[#This Row],[ACS_CODE]])</f>
        <v>1</v>
      </c>
    </row>
    <row r="1624" spans="1:11" x14ac:dyDescent="0.25">
      <c r="A1624">
        <v>33287</v>
      </c>
      <c r="B1624" t="s">
        <v>919</v>
      </c>
      <c r="C1624" t="s">
        <v>1297</v>
      </c>
      <c r="D1624" t="s">
        <v>2510</v>
      </c>
      <c r="E1624">
        <v>0</v>
      </c>
      <c r="F1624">
        <v>0</v>
      </c>
      <c r="G1624">
        <v>0</v>
      </c>
      <c r="H1624">
        <v>490</v>
      </c>
      <c r="J1624">
        <v>490</v>
      </c>
      <c r="K1624">
        <f>COUNTIF(DF_Calculation!E:E,Table1[[#This Row],[ACS_CODE]])</f>
        <v>1</v>
      </c>
    </row>
    <row r="1625" spans="1:11" x14ac:dyDescent="0.25">
      <c r="A1625">
        <v>33127</v>
      </c>
      <c r="B1625" t="s">
        <v>919</v>
      </c>
      <c r="C1625" t="s">
        <v>1297</v>
      </c>
      <c r="D1625" t="s">
        <v>1618</v>
      </c>
      <c r="E1625">
        <v>0</v>
      </c>
      <c r="F1625">
        <v>0</v>
      </c>
      <c r="G1625">
        <v>0</v>
      </c>
      <c r="H1625">
        <v>0</v>
      </c>
      <c r="J1625">
        <v>0</v>
      </c>
      <c r="K1625">
        <f>COUNTIF(DF_Calculation!E:E,Table1[[#This Row],[ACS_CODE]])</f>
        <v>1</v>
      </c>
    </row>
    <row r="1626" spans="1:11" x14ac:dyDescent="0.25">
      <c r="A1626">
        <v>33135</v>
      </c>
      <c r="B1626" t="s">
        <v>919</v>
      </c>
      <c r="C1626" t="s">
        <v>1297</v>
      </c>
      <c r="D1626" t="s">
        <v>1619</v>
      </c>
      <c r="E1626">
        <v>0</v>
      </c>
      <c r="F1626">
        <v>0</v>
      </c>
      <c r="G1626">
        <v>0</v>
      </c>
      <c r="H1626">
        <v>0</v>
      </c>
      <c r="J1626">
        <v>0</v>
      </c>
      <c r="K1626">
        <f>COUNTIF(DF_Calculation!E:E,Table1[[#This Row],[ACS_CODE]])</f>
        <v>1</v>
      </c>
    </row>
    <row r="1627" spans="1:11" x14ac:dyDescent="0.25">
      <c r="A1627">
        <v>33283</v>
      </c>
      <c r="B1627" t="s">
        <v>919</v>
      </c>
      <c r="C1627" t="s">
        <v>1297</v>
      </c>
      <c r="D1627" t="s">
        <v>2511</v>
      </c>
      <c r="E1627">
        <v>0</v>
      </c>
      <c r="F1627">
        <v>0</v>
      </c>
      <c r="G1627">
        <v>0</v>
      </c>
      <c r="H1627">
        <v>65</v>
      </c>
      <c r="J1627">
        <v>65</v>
      </c>
      <c r="K1627">
        <f>COUNTIF(DF_Calculation!E:E,Table1[[#This Row],[ACS_CODE]])</f>
        <v>1</v>
      </c>
    </row>
    <row r="1628" spans="1:11" x14ac:dyDescent="0.25">
      <c r="A1628">
        <v>33171</v>
      </c>
      <c r="B1628" t="s">
        <v>919</v>
      </c>
      <c r="C1628" t="s">
        <v>1297</v>
      </c>
      <c r="D1628" t="s">
        <v>2512</v>
      </c>
      <c r="E1628">
        <v>0</v>
      </c>
      <c r="F1628">
        <v>0</v>
      </c>
      <c r="G1628">
        <v>0</v>
      </c>
      <c r="H1628">
        <v>46</v>
      </c>
      <c r="J1628">
        <v>46</v>
      </c>
      <c r="K1628">
        <f>COUNTIF(DF_Calculation!E:E,Table1[[#This Row],[ACS_CODE]])</f>
        <v>1</v>
      </c>
    </row>
  </sheetData>
  <conditionalFormatting sqref="A1:A162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Master Sheet</vt:lpstr>
      <vt:lpstr>DISTRICT</vt:lpstr>
      <vt:lpstr>DF_Calculation</vt:lpstr>
      <vt:lpstr>Sheet2</vt:lpstr>
      <vt:lpstr>Prediction Model Variable H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Szigeti</cp:lastModifiedBy>
  <cp:revision/>
  <dcterms:created xsi:type="dcterms:W3CDTF">2026-04-10T14:11:28Z</dcterms:created>
  <dcterms:modified xsi:type="dcterms:W3CDTF">2026-06-09T10:34:05Z</dcterms:modified>
  <cp:category/>
  <cp:contentStatus/>
</cp:coreProperties>
</file>