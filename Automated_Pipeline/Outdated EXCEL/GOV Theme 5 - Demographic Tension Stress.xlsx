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GOV\"/>
    </mc:Choice>
  </mc:AlternateContent>
  <xr:revisionPtr revIDLastSave="0" documentId="13_ncr:1_{F4A20B49-642A-4C37-8187-3B02FF8D60B8}" xr6:coauthVersionLast="47" xr6:coauthVersionMax="47" xr10:uidLastSave="{00000000-0000-0000-0000-000000000000}"/>
  <bookViews>
    <workbookView xWindow="12495" yWindow="1395" windowWidth="15075" windowHeight="13635" xr2:uid="{00000000-000D-0000-FFFF-FFFF00000000}"/>
  </bookViews>
  <sheets>
    <sheet name="Master Shee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F7" i="5" s="1"/>
  <c r="E6" i="5"/>
  <c r="F6" i="5" s="1"/>
  <c r="E4" i="5"/>
  <c r="F4" i="5"/>
  <c r="E9" i="5"/>
  <c r="F9" i="5" s="1"/>
  <c r="E5" i="5"/>
  <c r="F5" i="5" s="1"/>
  <c r="E2" i="5"/>
  <c r="F2" i="5" s="1"/>
  <c r="E3" i="5"/>
  <c r="F3" i="5"/>
  <c r="E8" i="5"/>
  <c r="F8" i="5" s="1"/>
</calcChain>
</file>

<file path=xl/sharedStrings.xml><?xml version="1.0" encoding="utf-8"?>
<sst xmlns="http://schemas.openxmlformats.org/spreadsheetml/2006/main" count="14" uniqueCount="14">
  <si>
    <t>Akkar</t>
  </si>
  <si>
    <t>Baalbek-El Hermel</t>
  </si>
  <si>
    <t>Beirut</t>
  </si>
  <si>
    <t>Bekaa</t>
  </si>
  <si>
    <t>El Nabatieh</t>
  </si>
  <si>
    <t>Mount Lebanon</t>
  </si>
  <si>
    <t>North</t>
  </si>
  <si>
    <t>South</t>
  </si>
  <si>
    <t>ADM1_Name</t>
  </si>
  <si>
    <t>Resident Population</t>
  </si>
  <si>
    <t>Displaced Population</t>
  </si>
  <si>
    <t>Heterogeneity</t>
  </si>
  <si>
    <t>Displacement Ratio</t>
  </si>
  <si>
    <t>Demographic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</si>
</sst>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768A-7F80-461B-8AF7-3578E6D07A10}">
  <dimension ref="A1:F9"/>
  <sheetViews>
    <sheetView tabSelected="1" zoomScale="70" zoomScaleNormal="70" workbookViewId="0">
      <selection sqref="A1:F9"/>
    </sheetView>
  </sheetViews>
  <sheetFormatPr defaultRowHeight="15" x14ac:dyDescent="0.25"/>
  <cols>
    <col min="1" max="1" width="18.85546875" bestFit="1" customWidth="1"/>
    <col min="2" max="2" width="20.5703125" bestFit="1" customWidth="1"/>
    <col min="3" max="3" width="21.7109375" bestFit="1" customWidth="1"/>
    <col min="4" max="4" width="14.85546875" bestFit="1" customWidth="1"/>
    <col min="5" max="5" width="19.7109375" bestFit="1" customWidth="1"/>
    <col min="6" max="6" width="20.7109375" bestFit="1" customWidth="1"/>
    <col min="7" max="7" width="26.42578125" customWidth="1"/>
  </cols>
  <sheetData>
    <row r="1" spans="1:6" x14ac:dyDescent="0.25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t="s">
        <v>0</v>
      </c>
      <c r="B2">
        <v>636152</v>
      </c>
      <c r="C2">
        <v>14309</v>
      </c>
      <c r="D2">
        <v>0.50299745318147582</v>
      </c>
      <c r="E2">
        <f t="shared" ref="E2:E9" si="0">C2/B2</f>
        <v>2.2493051974999685E-2</v>
      </c>
      <c r="F2">
        <f t="shared" ref="F2:F9" si="1">E2*D2</f>
        <v>1.1313947857703406E-2</v>
      </c>
    </row>
    <row r="3" spans="1:6" x14ac:dyDescent="0.25">
      <c r="A3" t="s">
        <v>1</v>
      </c>
      <c r="B3">
        <v>922156</v>
      </c>
      <c r="C3">
        <v>28625</v>
      </c>
      <c r="D3">
        <v>0.63852282401394755</v>
      </c>
      <c r="E3">
        <f t="shared" si="0"/>
        <v>3.104138562238927E-2</v>
      </c>
      <c r="F3">
        <f t="shared" si="1"/>
        <v>1.9820633208913946E-2</v>
      </c>
    </row>
    <row r="4" spans="1:6" x14ac:dyDescent="0.25">
      <c r="A4" t="s">
        <v>2</v>
      </c>
      <c r="B4">
        <v>114436</v>
      </c>
      <c r="C4">
        <v>145939</v>
      </c>
      <c r="D4">
        <v>0.6280710830141486</v>
      </c>
      <c r="E4">
        <f t="shared" si="0"/>
        <v>1.275289244643294</v>
      </c>
      <c r="F4">
        <f t="shared" si="1"/>
        <v>0.8009722970394092</v>
      </c>
    </row>
    <row r="5" spans="1:6" x14ac:dyDescent="0.25">
      <c r="A5" t="s">
        <v>3</v>
      </c>
      <c r="B5">
        <v>778430</v>
      </c>
      <c r="C5">
        <v>16933</v>
      </c>
      <c r="D5">
        <v>0.70289996238774965</v>
      </c>
      <c r="E5">
        <f t="shared" si="0"/>
        <v>2.1752758758012924E-2</v>
      </c>
      <c r="F5">
        <f t="shared" si="1"/>
        <v>1.5290013312837076E-2</v>
      </c>
    </row>
    <row r="6" spans="1:6" x14ac:dyDescent="0.25">
      <c r="A6" t="s">
        <v>4</v>
      </c>
      <c r="B6">
        <v>344721</v>
      </c>
      <c r="C6">
        <v>4758</v>
      </c>
      <c r="D6">
        <v>0.72101329404779324</v>
      </c>
      <c r="E6">
        <f t="shared" si="0"/>
        <v>1.380246634234642E-2</v>
      </c>
      <c r="F6">
        <f t="shared" si="1"/>
        <v>9.9517617234789885E-3</v>
      </c>
    </row>
    <row r="7" spans="1:6" x14ac:dyDescent="0.25">
      <c r="A7" t="s">
        <v>5</v>
      </c>
      <c r="B7">
        <v>1429596</v>
      </c>
      <c r="C7">
        <v>397761</v>
      </c>
      <c r="D7">
        <v>0.73253814855986399</v>
      </c>
      <c r="E7">
        <f t="shared" si="0"/>
        <v>0.27823315118397085</v>
      </c>
      <c r="F7">
        <f t="shared" si="1"/>
        <v>0.20381639743628274</v>
      </c>
    </row>
    <row r="8" spans="1:6" x14ac:dyDescent="0.25">
      <c r="A8" t="s">
        <v>6</v>
      </c>
      <c r="B8">
        <v>615801</v>
      </c>
      <c r="C8">
        <v>32627</v>
      </c>
      <c r="D8">
        <v>0.61268740943439048</v>
      </c>
      <c r="E8">
        <f t="shared" si="0"/>
        <v>5.2983025360465473E-2</v>
      </c>
      <c r="F8">
        <f t="shared" si="1"/>
        <v>3.2462032552100201E-2</v>
      </c>
    </row>
    <row r="9" spans="1:6" x14ac:dyDescent="0.25">
      <c r="A9" t="s">
        <v>7</v>
      </c>
      <c r="B9">
        <v>531846</v>
      </c>
      <c r="C9">
        <v>160086</v>
      </c>
      <c r="D9">
        <v>0.64522107223246394</v>
      </c>
      <c r="E9">
        <f t="shared" si="0"/>
        <v>0.30100066560620931</v>
      </c>
      <c r="F9">
        <f t="shared" si="1"/>
        <v>0.19421197220512371</v>
      </c>
    </row>
  </sheetData>
  <sortState xmlns:xlrd2="http://schemas.microsoft.com/office/spreadsheetml/2017/richdata2" ref="A2:F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Szigeti</cp:lastModifiedBy>
  <cp:revision/>
  <dcterms:created xsi:type="dcterms:W3CDTF">2026-04-10T14:11:28Z</dcterms:created>
  <dcterms:modified xsi:type="dcterms:W3CDTF">2026-06-17T10:00:51Z</dcterms:modified>
  <cp:category/>
  <cp:contentStatus/>
</cp:coreProperties>
</file>