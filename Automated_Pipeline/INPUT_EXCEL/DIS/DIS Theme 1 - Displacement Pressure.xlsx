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DIS\"/>
    </mc:Choice>
  </mc:AlternateContent>
  <xr:revisionPtr revIDLastSave="0" documentId="13_ncr:1_{F9A42B34-EB33-4F24-B5CE-AC7DC6B999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ster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19" i="1"/>
  <c r="B16" i="1"/>
  <c r="B13" i="1"/>
  <c r="B7" i="1"/>
  <c r="B6" i="1"/>
  <c r="B4" i="1"/>
  <c r="B3" i="1"/>
  <c r="B2" i="1"/>
  <c r="B5" i="1"/>
  <c r="B8" i="1"/>
  <c r="B9" i="1"/>
  <c r="B10" i="1"/>
  <c r="B11" i="1"/>
  <c r="B12" i="1"/>
  <c r="B14" i="1"/>
  <c r="B15" i="1"/>
  <c r="B17" i="1"/>
  <c r="B18" i="1"/>
  <c r="B20" i="1"/>
  <c r="B21" i="1"/>
  <c r="B22" i="1"/>
  <c r="B23" i="1"/>
  <c r="B24" i="1"/>
  <c r="B26" i="1"/>
  <c r="B27" i="1"/>
</calcChain>
</file>

<file path=xl/sharedStrings.xml><?xml version="1.0" encoding="utf-8"?>
<sst xmlns="http://schemas.openxmlformats.org/spreadsheetml/2006/main" count="32" uniqueCount="32">
  <si>
    <t>El Batroun</t>
  </si>
  <si>
    <t>Chouf</t>
  </si>
  <si>
    <t>El Minieh-Dennie</t>
  </si>
  <si>
    <t>El Koura</t>
  </si>
  <si>
    <t>El Meten</t>
  </si>
  <si>
    <t>El Nabatieh</t>
  </si>
  <si>
    <t>Bcharre</t>
  </si>
  <si>
    <t>Baabda</t>
  </si>
  <si>
    <t>Bent Jbeil</t>
  </si>
  <si>
    <t>Beirut</t>
  </si>
  <si>
    <t>Jbeil</t>
  </si>
  <si>
    <t>Jezzine</t>
  </si>
  <si>
    <t>Zahle</t>
  </si>
  <si>
    <t>Aley</t>
  </si>
  <si>
    <t>Zgharta</t>
  </si>
  <si>
    <t>Sour</t>
  </si>
  <si>
    <t>Akkar</t>
  </si>
  <si>
    <t>Hasbaya</t>
  </si>
  <si>
    <t>Rachaya</t>
  </si>
  <si>
    <t>Kesrwane</t>
  </si>
  <si>
    <t>El Hermel</t>
  </si>
  <si>
    <t>Marjaayoun</t>
  </si>
  <si>
    <t>Saida</t>
  </si>
  <si>
    <t>West Bekaa</t>
  </si>
  <si>
    <t>Baalbek</t>
  </si>
  <si>
    <t>Tripoli</t>
  </si>
  <si>
    <t>Outside CS</t>
  </si>
  <si>
    <t>Inside CS</t>
  </si>
  <si>
    <t>Overall IDPs</t>
  </si>
  <si>
    <t>Population</t>
  </si>
  <si>
    <t>Displacement Ratio</t>
  </si>
  <si>
    <t>ADM2_Name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</si>
</sst>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A12" sqref="A12"/>
    </sheetView>
  </sheetViews>
  <sheetFormatPr defaultRowHeight="15" x14ac:dyDescent="0.25"/>
  <cols>
    <col min="1" max="1" width="24.7109375" customWidth="1"/>
    <col min="2" max="2" width="11" bestFit="1" customWidth="1"/>
  </cols>
  <sheetData>
    <row r="1" spans="1:6" x14ac:dyDescent="0.25">
      <c r="A1" s="2" t="s">
        <v>31</v>
      </c>
      <c r="B1" t="s">
        <v>30</v>
      </c>
      <c r="C1" s="3" t="s">
        <v>26</v>
      </c>
      <c r="D1" t="s">
        <v>27</v>
      </c>
      <c r="E1" t="s">
        <v>28</v>
      </c>
      <c r="F1" t="s">
        <v>29</v>
      </c>
    </row>
    <row r="2" spans="1:6" x14ac:dyDescent="0.25">
      <c r="A2" s="1" t="s">
        <v>0</v>
      </c>
      <c r="B2">
        <f>E2/F2</f>
        <v>1.1135019636757603E-2</v>
      </c>
      <c r="C2">
        <v>395</v>
      </c>
      <c r="D2">
        <v>345</v>
      </c>
      <c r="E2">
        <v>740</v>
      </c>
      <c r="F2">
        <v>66457</v>
      </c>
    </row>
    <row r="3" spans="1:6" x14ac:dyDescent="0.25">
      <c r="A3" s="1" t="s">
        <v>1</v>
      </c>
      <c r="B3">
        <f t="shared" ref="B3:B27" si="0">E3/F3</f>
        <v>0.52800422956480586</v>
      </c>
      <c r="C3">
        <v>128746</v>
      </c>
      <c r="D3">
        <v>14067</v>
      </c>
      <c r="E3">
        <v>142813</v>
      </c>
      <c r="F3">
        <v>270477</v>
      </c>
    </row>
    <row r="4" spans="1:6" x14ac:dyDescent="0.25">
      <c r="A4" s="1" t="s">
        <v>2</v>
      </c>
      <c r="B4">
        <f t="shared" si="0"/>
        <v>5.4115455020920501E-2</v>
      </c>
      <c r="C4">
        <v>9193</v>
      </c>
      <c r="D4">
        <v>740</v>
      </c>
      <c r="E4">
        <v>9933</v>
      </c>
      <c r="F4">
        <v>183552</v>
      </c>
    </row>
    <row r="5" spans="1:6" x14ac:dyDescent="0.25">
      <c r="A5" s="1" t="s">
        <v>3</v>
      </c>
      <c r="B5">
        <f t="shared" si="0"/>
        <v>6.5562716248632039E-2</v>
      </c>
      <c r="C5">
        <v>5397</v>
      </c>
      <c r="D5">
        <v>534</v>
      </c>
      <c r="E5">
        <v>5931</v>
      </c>
      <c r="F5">
        <v>90463</v>
      </c>
    </row>
    <row r="6" spans="1:6" x14ac:dyDescent="0.25">
      <c r="A6" s="1" t="s">
        <v>4</v>
      </c>
      <c r="B6">
        <f t="shared" si="0"/>
        <v>3.5615415657788536E-2</v>
      </c>
      <c r="C6">
        <v>11249</v>
      </c>
      <c r="D6">
        <v>6402</v>
      </c>
      <c r="E6">
        <v>17651</v>
      </c>
      <c r="F6">
        <v>495600</v>
      </c>
    </row>
    <row r="7" spans="1:6" x14ac:dyDescent="0.25">
      <c r="A7" s="1" t="s">
        <v>5</v>
      </c>
      <c r="B7">
        <f t="shared" si="0"/>
        <v>9.3720752513673875E-3</v>
      </c>
      <c r="C7">
        <v>2108</v>
      </c>
      <c r="D7">
        <v>75</v>
      </c>
      <c r="E7">
        <v>2183</v>
      </c>
      <c r="F7">
        <v>232926</v>
      </c>
    </row>
    <row r="8" spans="1:6" x14ac:dyDescent="0.25">
      <c r="A8" s="1" t="s">
        <v>6</v>
      </c>
      <c r="B8">
        <f t="shared" si="0"/>
        <v>1.4359846112552564E-2</v>
      </c>
      <c r="C8">
        <v>292</v>
      </c>
      <c r="D8">
        <v>29</v>
      </c>
      <c r="E8">
        <v>321</v>
      </c>
      <c r="F8">
        <v>22354</v>
      </c>
    </row>
    <row r="9" spans="1:6" x14ac:dyDescent="0.25">
      <c r="A9" s="1" t="s">
        <v>7</v>
      </c>
      <c r="B9">
        <f t="shared" si="0"/>
        <v>4.2590481016934835E-2</v>
      </c>
      <c r="C9">
        <v>15910</v>
      </c>
      <c r="D9">
        <v>8294</v>
      </c>
      <c r="E9">
        <v>24204</v>
      </c>
      <c r="F9">
        <v>568296</v>
      </c>
    </row>
    <row r="10" spans="1:6" x14ac:dyDescent="0.25">
      <c r="A10" s="1" t="s">
        <v>8</v>
      </c>
      <c r="B10">
        <f t="shared" si="0"/>
        <v>2.0822410306344094E-3</v>
      </c>
      <c r="C10">
        <v>116</v>
      </c>
      <c r="D10">
        <v>23</v>
      </c>
      <c r="E10">
        <v>139</v>
      </c>
      <c r="F10">
        <v>66755</v>
      </c>
    </row>
    <row r="11" spans="1:6" x14ac:dyDescent="0.25">
      <c r="A11" s="1" t="s">
        <v>9</v>
      </c>
      <c r="B11">
        <f t="shared" si="0"/>
        <v>0.15777697105706082</v>
      </c>
      <c r="C11">
        <v>96921</v>
      </c>
      <c r="D11">
        <v>47808</v>
      </c>
      <c r="E11">
        <v>47808</v>
      </c>
      <c r="F11">
        <v>303010</v>
      </c>
    </row>
    <row r="12" spans="1:6" x14ac:dyDescent="0.25">
      <c r="A12" s="1" t="s">
        <v>10</v>
      </c>
      <c r="B12">
        <f t="shared" si="0"/>
        <v>0.15013327460644121</v>
      </c>
      <c r="C12">
        <v>17075</v>
      </c>
      <c r="D12">
        <v>2695</v>
      </c>
      <c r="E12">
        <v>19770</v>
      </c>
      <c r="F12">
        <v>131683</v>
      </c>
    </row>
    <row r="13" spans="1:6" x14ac:dyDescent="0.25">
      <c r="A13" s="1" t="s">
        <v>11</v>
      </c>
      <c r="B13">
        <f t="shared" si="0"/>
        <v>0.34529608642343507</v>
      </c>
      <c r="C13">
        <v>8252</v>
      </c>
      <c r="D13">
        <v>2168</v>
      </c>
      <c r="E13">
        <v>10420</v>
      </c>
      <c r="F13">
        <v>30177</v>
      </c>
    </row>
    <row r="14" spans="1:6" x14ac:dyDescent="0.25">
      <c r="A14" s="1" t="s">
        <v>12</v>
      </c>
      <c r="B14">
        <f t="shared" si="0"/>
        <v>3.9963284123860451E-2</v>
      </c>
      <c r="C14">
        <v>10075</v>
      </c>
      <c r="D14">
        <v>1419</v>
      </c>
      <c r="E14">
        <v>11494</v>
      </c>
      <c r="F14">
        <v>287614</v>
      </c>
    </row>
    <row r="15" spans="1:6" x14ac:dyDescent="0.25">
      <c r="A15" s="1" t="s">
        <v>13</v>
      </c>
      <c r="B15">
        <f t="shared" si="0"/>
        <v>0.26271034074034616</v>
      </c>
      <c r="C15">
        <v>68443</v>
      </c>
      <c r="D15">
        <v>10461</v>
      </c>
      <c r="E15">
        <v>78904</v>
      </c>
      <c r="F15">
        <v>300346</v>
      </c>
    </row>
    <row r="16" spans="1:6" x14ac:dyDescent="0.25">
      <c r="A16" s="1" t="s">
        <v>14</v>
      </c>
      <c r="B16">
        <f t="shared" si="0"/>
        <v>6.8582983925327606E-2</v>
      </c>
      <c r="C16">
        <v>5288</v>
      </c>
      <c r="D16">
        <v>715</v>
      </c>
      <c r="E16">
        <v>6003</v>
      </c>
      <c r="F16">
        <v>87529</v>
      </c>
    </row>
    <row r="17" spans="1:6" x14ac:dyDescent="0.25">
      <c r="A17" s="1" t="s">
        <v>15</v>
      </c>
      <c r="B17">
        <f t="shared" si="0"/>
        <v>9.4266491998902524E-2</v>
      </c>
      <c r="C17">
        <v>19780</v>
      </c>
      <c r="D17">
        <v>4614</v>
      </c>
      <c r="E17">
        <v>24394</v>
      </c>
      <c r="F17">
        <v>258777</v>
      </c>
    </row>
    <row r="18" spans="1:6" x14ac:dyDescent="0.25">
      <c r="A18" s="1" t="s">
        <v>16</v>
      </c>
      <c r="B18">
        <f t="shared" si="0"/>
        <v>3.2186729652512042E-2</v>
      </c>
      <c r="C18">
        <v>14500</v>
      </c>
      <c r="D18">
        <v>1103</v>
      </c>
      <c r="E18">
        <v>15603</v>
      </c>
      <c r="F18">
        <v>484765</v>
      </c>
    </row>
    <row r="19" spans="1:6" x14ac:dyDescent="0.25">
      <c r="A19" s="1" t="s">
        <v>17</v>
      </c>
      <c r="B19">
        <f t="shared" si="0"/>
        <v>6.7070411750374162E-2</v>
      </c>
      <c r="C19">
        <v>1264</v>
      </c>
      <c r="D19">
        <v>663</v>
      </c>
      <c r="E19">
        <v>1927</v>
      </c>
      <c r="F19">
        <v>28731</v>
      </c>
    </row>
    <row r="20" spans="1:6" x14ac:dyDescent="0.25">
      <c r="A20" s="1" t="s">
        <v>18</v>
      </c>
      <c r="B20">
        <f t="shared" si="0"/>
        <v>0.14255957340443259</v>
      </c>
      <c r="C20">
        <v>3871</v>
      </c>
      <c r="D20">
        <v>1262</v>
      </c>
      <c r="E20">
        <v>5133</v>
      </c>
      <c r="F20">
        <v>36006</v>
      </c>
    </row>
    <row r="21" spans="1:6" x14ac:dyDescent="0.25">
      <c r="A21" s="1" t="s">
        <v>19</v>
      </c>
      <c r="B21">
        <f t="shared" si="0"/>
        <v>6.5345175923455193E-2</v>
      </c>
      <c r="C21">
        <v>14962</v>
      </c>
      <c r="D21">
        <v>2180</v>
      </c>
      <c r="E21">
        <v>17142</v>
      </c>
      <c r="F21">
        <v>262330</v>
      </c>
    </row>
    <row r="22" spans="1:6" x14ac:dyDescent="0.25">
      <c r="A22" s="1" t="s">
        <v>20</v>
      </c>
      <c r="B22">
        <f t="shared" si="0"/>
        <v>2.8208876893087421E-2</v>
      </c>
      <c r="C22">
        <v>1505</v>
      </c>
      <c r="D22">
        <v>0</v>
      </c>
      <c r="E22">
        <v>1505</v>
      </c>
      <c r="F22">
        <v>53352</v>
      </c>
    </row>
    <row r="23" spans="1:6" x14ac:dyDescent="0.25">
      <c r="A23" s="1" t="s">
        <v>21</v>
      </c>
      <c r="B23">
        <f t="shared" si="0"/>
        <v>7.6340502877915786E-3</v>
      </c>
      <c r="C23">
        <v>252</v>
      </c>
      <c r="D23">
        <v>0</v>
      </c>
      <c r="E23">
        <v>252</v>
      </c>
      <c r="F23">
        <v>33010</v>
      </c>
    </row>
    <row r="24" spans="1:6" x14ac:dyDescent="0.25">
      <c r="A24" s="1" t="s">
        <v>22</v>
      </c>
      <c r="B24">
        <f t="shared" si="0"/>
        <v>0.34577783366244957</v>
      </c>
      <c r="C24">
        <v>104328</v>
      </c>
      <c r="D24">
        <v>16669</v>
      </c>
      <c r="E24">
        <v>120997</v>
      </c>
      <c r="F24">
        <v>349927</v>
      </c>
    </row>
    <row r="25" spans="1:6" x14ac:dyDescent="0.25">
      <c r="A25" s="1" t="s">
        <v>23</v>
      </c>
      <c r="B25">
        <f t="shared" si="0"/>
        <v>2.1177022122713569E-2</v>
      </c>
      <c r="C25">
        <v>455</v>
      </c>
      <c r="D25">
        <v>2165</v>
      </c>
      <c r="E25">
        <v>2620</v>
      </c>
      <c r="F25">
        <v>123719</v>
      </c>
    </row>
    <row r="26" spans="1:6" x14ac:dyDescent="0.25">
      <c r="A26" s="1" t="s">
        <v>24</v>
      </c>
      <c r="B26">
        <f t="shared" si="0"/>
        <v>5.6498257066098269E-2</v>
      </c>
      <c r="C26">
        <v>20357</v>
      </c>
      <c r="D26">
        <v>0</v>
      </c>
      <c r="E26">
        <v>20357</v>
      </c>
      <c r="F26">
        <v>360312</v>
      </c>
    </row>
    <row r="27" spans="1:6" x14ac:dyDescent="0.25">
      <c r="A27" s="1" t="s">
        <v>25</v>
      </c>
      <c r="B27">
        <f t="shared" si="0"/>
        <v>1.9096712051457864E-2</v>
      </c>
      <c r="C27">
        <v>1736</v>
      </c>
      <c r="D27">
        <v>2943</v>
      </c>
      <c r="E27">
        <v>4679</v>
      </c>
      <c r="F27">
        <v>245016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Nasser</dc:creator>
  <cp:keywords/>
  <dc:description/>
  <cp:lastModifiedBy>Martin Szigeti</cp:lastModifiedBy>
  <cp:revision/>
  <dcterms:created xsi:type="dcterms:W3CDTF">2015-06-05T18:17:20Z</dcterms:created>
  <dcterms:modified xsi:type="dcterms:W3CDTF">2026-06-17T09:35:22Z</dcterms:modified>
  <cp:category/>
  <cp:contentStatus/>
</cp:coreProperties>
</file>